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inaGarcia/Documents/Budgets TKG 2026/Cacería/"/>
    </mc:Choice>
  </mc:AlternateContent>
  <xr:revisionPtr revIDLastSave="0" documentId="13_ncr:1_{C1A14EBA-6599-424F-BA06-60612652189B}" xr6:coauthVersionLast="47" xr6:coauthVersionMax="47" xr10:uidLastSave="{00000000-0000-0000-0000-000000000000}"/>
  <bookViews>
    <workbookView xWindow="0" yWindow="500" windowWidth="28800" windowHeight="16060" activeTab="2" xr2:uid="{A5155916-BC77-4E46-9CAD-32E40E0A6730}"/>
  </bookViews>
  <sheets>
    <sheet name="Real al 31-7-24" sheetId="8" state="hidden" r:id="rId1"/>
    <sheet name="Budget 2026" sheetId="1" r:id="rId2"/>
    <sheet name="Sueldos" sheetId="9" r:id="rId3"/>
  </sheets>
  <externalReferences>
    <externalReference r:id="rId4"/>
  </externalReferences>
  <definedNames>
    <definedName name="_Regression_X" hidden="1">#REF!</definedName>
    <definedName name="_Rt12">#REF!</definedName>
    <definedName name="AJUSTES">#REF!</definedName>
    <definedName name="Assumptions">#REF!</definedName>
    <definedName name="_xlnm.Database">#REF!</definedName>
    <definedName name="BN_CY">#REF!</definedName>
    <definedName name="BN_LY">#REF!</definedName>
    <definedName name="BN_PY">#REF!</definedName>
    <definedName name="BuiltIn_Print_Area">#REF!</definedName>
    <definedName name="BuiltIn_Print_Area___0">#REF!</definedName>
    <definedName name="BuiltIn_Print_Titles">#REF!</definedName>
    <definedName name="BuiltIn_Print_Titles___0">#REF!</definedName>
    <definedName name="CASH_FLOW">#REF!</definedName>
    <definedName name="Costo">#REF!</definedName>
    <definedName name="DAYS_CY">#REF!</definedName>
    <definedName name="Depreciation_Investment">#REF!</definedName>
    <definedName name="EVOLUCION___0">#N/A</definedName>
    <definedName name="FC_CY">#REF!</definedName>
    <definedName name="FC_LY">#REF!</definedName>
    <definedName name="FC_PY">#REF!</definedName>
    <definedName name="FI_CY">#REF!</definedName>
    <definedName name="FI_LY">#REF!</definedName>
    <definedName name="FI_PY">#REF!</definedName>
    <definedName name="Futa" hidden="1">{"Informe de Gastos",#N/A,FALSE,"Informe Gastos"}</definedName>
    <definedName name="IBrutos">#REF!</definedName>
    <definedName name="INCOME_STATEMENT">#REF!</definedName>
    <definedName name="Intang">#REF!</definedName>
    <definedName name="LCR_Real">#REF!</definedName>
    <definedName name="Macro1">#N/A</definedName>
    <definedName name="Monext">#REF!</definedName>
    <definedName name="º" hidden="1">{#N/A,#N/A,FALSE,"11) Det. Balance"}</definedName>
    <definedName name="PAX_CY">#REF!</definedName>
    <definedName name="PAX_LY">#REF!</definedName>
    <definedName name="PAX_PY">#REF!</definedName>
    <definedName name="PERSONNEL">#REF!</definedName>
    <definedName name="Real22">#REF!</definedName>
    <definedName name="Real23">#REF!</definedName>
    <definedName name="RealVM23">#REF!</definedName>
    <definedName name="res" hidden="1">{"Informe de Gastos",#N/A,FALSE,"Informe Gastos"}</definedName>
    <definedName name="Revenues_Expenses">#REF!</definedName>
    <definedName name="Total_Sales__quantity">#REF!</definedName>
    <definedName name="Uniona">#REF!</definedName>
    <definedName name="wrn.balance._.detallado." hidden="1">{#N/A,#N/A,FALSE,"11) Det. Balance"}</definedName>
    <definedName name="wrn.Informe._.de._.Caja._.semanal." hidden="1">{"Informe de Caja",#N/A,FALSE,"Caja"}</definedName>
    <definedName name="wrn.Informe._.Presupuesto._.vs._.Real." hidden="1">{"Informe Presupuesto",#N/A,FALSE,"Presupuesto"}</definedName>
    <definedName name="wrn.Resumen._.de._.Gastos._.por._.semana." hidden="1">{"Informe de Gastos",#N/A,FALSE,"Informe Gastos"}</definedName>
    <definedName name="wrn.Resumen._.de._.Ingresos._.por._.Semana." hidden="1">{"Resumen de Ingresos",#N/A,FALSE,"Informe Ingresos"}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1" i="1" l="1"/>
  <c r="I29" i="1"/>
  <c r="I28" i="1"/>
  <c r="F29" i="1"/>
  <c r="F28" i="1"/>
  <c r="D45" i="1"/>
  <c r="D38" i="1"/>
  <c r="B41" i="9"/>
  <c r="B40" i="9"/>
  <c r="B39" i="9"/>
  <c r="B38" i="9"/>
  <c r="B37" i="9"/>
  <c r="G33" i="9"/>
  <c r="B4" i="9"/>
  <c r="B6" i="9" s="1"/>
  <c r="B7" i="9" s="1"/>
  <c r="G32" i="9" s="1"/>
  <c r="B27" i="9"/>
  <c r="B26" i="9"/>
  <c r="D26" i="9" s="1"/>
  <c r="B25" i="9"/>
  <c r="D25" i="9" s="1"/>
  <c r="B29" i="9"/>
  <c r="C29" i="9" s="1"/>
  <c r="D28" i="9"/>
  <c r="G28" i="9" s="1"/>
  <c r="B31" i="9"/>
  <c r="C31" i="9" s="1"/>
  <c r="B30" i="9"/>
  <c r="C30" i="9" s="1"/>
  <c r="F12" i="9"/>
  <c r="F11" i="9"/>
  <c r="B10" i="9"/>
  <c r="D10" i="9" s="1"/>
  <c r="B20" i="9"/>
  <c r="C20" i="9" s="1"/>
  <c r="D58" i="1"/>
  <c r="D55" i="1"/>
  <c r="D39" i="1"/>
  <c r="D29" i="1"/>
  <c r="D28" i="1"/>
  <c r="D27" i="1"/>
  <c r="D22" i="1"/>
  <c r="E31" i="1"/>
  <c r="D27" i="9" l="1"/>
  <c r="G29" i="9"/>
  <c r="C27" i="9"/>
  <c r="G27" i="9" s="1"/>
  <c r="C26" i="9"/>
  <c r="C25" i="9"/>
  <c r="G25" i="9" s="1"/>
  <c r="D30" i="9"/>
  <c r="G30" i="9" s="1"/>
  <c r="D31" i="9"/>
  <c r="G31" i="9" s="1"/>
  <c r="D20" i="9"/>
  <c r="G20" i="9" s="1"/>
  <c r="D35" i="1" s="1"/>
  <c r="C10" i="9"/>
  <c r="F10" i="9" s="1"/>
  <c r="F15" i="9" s="1"/>
  <c r="D36" i="1" s="1"/>
  <c r="H31" i="1"/>
  <c r="H37" i="1"/>
  <c r="H33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8" i="1"/>
  <c r="H36" i="1"/>
  <c r="H35" i="1"/>
  <c r="H34" i="1"/>
  <c r="H32" i="1"/>
  <c r="H30" i="1"/>
  <c r="H29" i="1"/>
  <c r="H28" i="1"/>
  <c r="H27" i="1"/>
  <c r="H26" i="1"/>
  <c r="H25" i="1"/>
  <c r="H24" i="1"/>
  <c r="H23" i="1"/>
  <c r="H22" i="1"/>
  <c r="H21" i="1"/>
  <c r="H39" i="1"/>
  <c r="E40" i="1"/>
  <c r="E19" i="1"/>
  <c r="E21" i="1"/>
  <c r="D23" i="1"/>
  <c r="D24" i="1" s="1"/>
  <c r="D21" i="1" s="1"/>
  <c r="G28" i="1"/>
  <c r="G29" i="1"/>
  <c r="D64" i="1"/>
  <c r="F64" i="1"/>
  <c r="D19" i="1"/>
  <c r="D16" i="1"/>
  <c r="F33" i="1"/>
  <c r="F40" i="1"/>
  <c r="F19" i="1"/>
  <c r="F23" i="1"/>
  <c r="F24" i="1" s="1"/>
  <c r="R60" i="8"/>
  <c r="K60" i="8"/>
  <c r="AG57" i="8"/>
  <c r="M57" i="8"/>
  <c r="Q55" i="8"/>
  <c r="J55" i="8"/>
  <c r="AF54" i="8"/>
  <c r="Y54" i="8"/>
  <c r="R54" i="8"/>
  <c r="D54" i="8"/>
  <c r="E54" i="8" s="1"/>
  <c r="AG50" i="8"/>
  <c r="AH50" i="8" s="1"/>
  <c r="Z50" i="8"/>
  <c r="AA50" i="8" s="1"/>
  <c r="AF49" i="8"/>
  <c r="Y49" i="8"/>
  <c r="R49" i="8"/>
  <c r="Q49" i="8"/>
  <c r="AF48" i="8"/>
  <c r="Y48" i="8"/>
  <c r="R48" i="8"/>
  <c r="AF47" i="8"/>
  <c r="Y47" i="8"/>
  <c r="R47" i="8"/>
  <c r="AF46" i="8"/>
  <c r="Y46" i="8"/>
  <c r="R46" i="8"/>
  <c r="AF45" i="8"/>
  <c r="Y45" i="8"/>
  <c r="R45" i="8"/>
  <c r="AF44" i="8"/>
  <c r="Y44" i="8"/>
  <c r="R44" i="8"/>
  <c r="Q44" i="8"/>
  <c r="AF43" i="8"/>
  <c r="Y43" i="8"/>
  <c r="R43" i="8"/>
  <c r="R42" i="8" s="1"/>
  <c r="Q43" i="8"/>
  <c r="AF42" i="8"/>
  <c r="Y42" i="8"/>
  <c r="K42" i="8"/>
  <c r="D42" i="8"/>
  <c r="AF41" i="8"/>
  <c r="Y41" i="8"/>
  <c r="R41" i="8"/>
  <c r="AF40" i="8"/>
  <c r="Y40" i="8"/>
  <c r="R40" i="8"/>
  <c r="AF39" i="8"/>
  <c r="Y39" i="8"/>
  <c r="R39" i="8"/>
  <c r="AF38" i="8"/>
  <c r="Y38" i="8"/>
  <c r="R38" i="8"/>
  <c r="AF37" i="8"/>
  <c r="Y37" i="8"/>
  <c r="R37" i="8"/>
  <c r="AF36" i="8"/>
  <c r="Y36" i="8"/>
  <c r="K36" i="8"/>
  <c r="K34" i="8" s="1"/>
  <c r="D36" i="8"/>
  <c r="AF35" i="8"/>
  <c r="Y35" i="8"/>
  <c r="R35" i="8"/>
  <c r="AF34" i="8"/>
  <c r="Y34" i="8"/>
  <c r="D34" i="8"/>
  <c r="AF33" i="8"/>
  <c r="Y33" i="8"/>
  <c r="K33" i="8"/>
  <c r="D33" i="8"/>
  <c r="AG32" i="8"/>
  <c r="AF32" i="8"/>
  <c r="AH32" i="8" s="1"/>
  <c r="Z32" i="8"/>
  <c r="Y32" i="8"/>
  <c r="R32" i="8"/>
  <c r="M32" i="8"/>
  <c r="T32" i="8" s="1"/>
  <c r="AF31" i="8"/>
  <c r="Y31" i="8"/>
  <c r="R31" i="8"/>
  <c r="AF30" i="8"/>
  <c r="Y30" i="8"/>
  <c r="R30" i="8"/>
  <c r="AF29" i="8"/>
  <c r="Y29" i="8"/>
  <c r="R29" i="8"/>
  <c r="AF28" i="8"/>
  <c r="Y28" i="8"/>
  <c r="R28" i="8"/>
  <c r="AF27" i="8"/>
  <c r="Y27" i="8"/>
  <c r="K27" i="8"/>
  <c r="D27" i="8"/>
  <c r="AF26" i="8"/>
  <c r="Y26" i="8"/>
  <c r="R26" i="8"/>
  <c r="AF25" i="8"/>
  <c r="Y25" i="8"/>
  <c r="R25" i="8"/>
  <c r="D25" i="8"/>
  <c r="D23" i="8" s="1"/>
  <c r="AF24" i="8"/>
  <c r="Y24" i="8"/>
  <c r="R24" i="8"/>
  <c r="AF23" i="8"/>
  <c r="Y23" i="8"/>
  <c r="K23" i="8"/>
  <c r="AF16" i="8"/>
  <c r="Y16" i="8"/>
  <c r="K16" i="8"/>
  <c r="L16" i="8" s="1"/>
  <c r="D16" i="8"/>
  <c r="E16" i="8" s="1"/>
  <c r="AF15" i="8"/>
  <c r="Y15" i="8"/>
  <c r="L15" i="8"/>
  <c r="K15" i="8"/>
  <c r="D15" i="8"/>
  <c r="E15" i="8" s="1"/>
  <c r="AF14" i="8"/>
  <c r="Y14" i="8"/>
  <c r="K14" i="8"/>
  <c r="L14" i="8" s="1"/>
  <c r="D14" i="8"/>
  <c r="D18" i="8" s="1"/>
  <c r="AG10" i="8"/>
  <c r="AF10" i="8"/>
  <c r="Z10" i="8"/>
  <c r="Y10" i="8"/>
  <c r="AA10" i="8" s="1"/>
  <c r="M10" i="8"/>
  <c r="P10" i="8" s="1"/>
  <c r="I10" i="8"/>
  <c r="G10" i="8"/>
  <c r="E10" i="8"/>
  <c r="AG9" i="8"/>
  <c r="AF9" i="8"/>
  <c r="AH9" i="8" s="1"/>
  <c r="Z9" i="8"/>
  <c r="Y9" i="8"/>
  <c r="AA9" i="8" s="1"/>
  <c r="T9" i="8"/>
  <c r="U9" i="8" s="1"/>
  <c r="L9" i="8"/>
  <c r="K9" i="8"/>
  <c r="N9" i="8" s="1"/>
  <c r="E9" i="8"/>
  <c r="S9" i="8" s="1"/>
  <c r="D9" i="8"/>
  <c r="R9" i="8" s="1"/>
  <c r="AH8" i="8"/>
  <c r="AG8" i="8"/>
  <c r="AF8" i="8"/>
  <c r="Z8" i="8"/>
  <c r="Y8" i="8"/>
  <c r="T8" i="8"/>
  <c r="U8" i="8" s="1"/>
  <c r="S8" i="8"/>
  <c r="R8" i="8"/>
  <c r="N8" i="8"/>
  <c r="L8" i="8"/>
  <c r="L35" i="8" s="1"/>
  <c r="G8" i="8"/>
  <c r="E8" i="8"/>
  <c r="G26" i="9" l="1"/>
  <c r="D37" i="1" s="1"/>
  <c r="L18" i="8"/>
  <c r="S15" i="8"/>
  <c r="R16" i="8"/>
  <c r="AA8" i="8"/>
  <c r="AH10" i="8"/>
  <c r="Y18" i="8"/>
  <c r="K51" i="8"/>
  <c r="AA32" i="8"/>
  <c r="R36" i="8"/>
  <c r="R34" i="8" s="1"/>
  <c r="R15" i="8"/>
  <c r="S16" i="8"/>
  <c r="Y51" i="8"/>
  <c r="T10" i="8"/>
  <c r="R14" i="8"/>
  <c r="R18" i="8" s="1"/>
  <c r="AF51" i="8"/>
  <c r="R27" i="8"/>
  <c r="L36" i="8"/>
  <c r="E14" i="8"/>
  <c r="E32" i="8"/>
  <c r="E37" i="8"/>
  <c r="E35" i="8"/>
  <c r="G9" i="8"/>
  <c r="L10" i="8"/>
  <c r="E33" i="8"/>
  <c r="L32" i="8"/>
  <c r="N32" i="8" s="1"/>
  <c r="L37" i="8"/>
  <c r="N10" i="8"/>
  <c r="AF18" i="8"/>
  <c r="K18" i="8"/>
  <c r="R23" i="8"/>
  <c r="D51" i="8"/>
  <c r="L33" i="8"/>
  <c r="E36" i="8"/>
  <c r="R33" i="8"/>
  <c r="R51" i="8" l="1"/>
  <c r="G32" i="8"/>
  <c r="S32" i="8"/>
  <c r="U32" i="8" s="1"/>
  <c r="S36" i="8"/>
  <c r="S37" i="8"/>
  <c r="L34" i="8"/>
  <c r="S35" i="8"/>
  <c r="E34" i="8"/>
  <c r="W10" i="8"/>
  <c r="U10" i="8"/>
  <c r="S10" i="8"/>
  <c r="E18" i="8"/>
  <c r="S14" i="8"/>
  <c r="S18" i="8" s="1"/>
  <c r="S33" i="8"/>
  <c r="S34" i="8" l="1"/>
  <c r="I77" i="1" l="1"/>
  <c r="G77" i="1"/>
  <c r="I76" i="1"/>
  <c r="G76" i="1"/>
  <c r="I75" i="1"/>
  <c r="G75" i="1"/>
  <c r="I74" i="1"/>
  <c r="G74" i="1"/>
  <c r="I73" i="1"/>
  <c r="G73" i="1"/>
  <c r="I72" i="1"/>
  <c r="G72" i="1"/>
  <c r="I71" i="1"/>
  <c r="G71" i="1"/>
  <c r="I70" i="1"/>
  <c r="G70" i="1"/>
  <c r="I69" i="1"/>
  <c r="G69" i="1"/>
  <c r="I68" i="1"/>
  <c r="G68" i="1"/>
  <c r="I67" i="1"/>
  <c r="G67" i="1"/>
  <c r="I66" i="1"/>
  <c r="G66" i="1"/>
  <c r="I65" i="1"/>
  <c r="G65" i="1"/>
  <c r="I63" i="1"/>
  <c r="I62" i="1"/>
  <c r="I58" i="1"/>
  <c r="G58" i="1"/>
  <c r="I57" i="1"/>
  <c r="G57" i="1"/>
  <c r="I56" i="1"/>
  <c r="G56" i="1"/>
  <c r="I55" i="1"/>
  <c r="G55" i="1"/>
  <c r="I54" i="1"/>
  <c r="G54" i="1"/>
  <c r="I53" i="1"/>
  <c r="G53" i="1"/>
  <c r="I52" i="1"/>
  <c r="G52" i="1"/>
  <c r="I51" i="1"/>
  <c r="I50" i="1"/>
  <c r="G50" i="1"/>
  <c r="I49" i="1"/>
  <c r="G49" i="1"/>
  <c r="I48" i="1"/>
  <c r="G48" i="1"/>
  <c r="I47" i="1"/>
  <c r="G47" i="1"/>
  <c r="I46" i="1"/>
  <c r="G46" i="1"/>
  <c r="I45" i="1"/>
  <c r="G45" i="1"/>
  <c r="I44" i="1"/>
  <c r="G44" i="1"/>
  <c r="I43" i="1"/>
  <c r="I42" i="1"/>
  <c r="G42" i="1"/>
  <c r="I41" i="1"/>
  <c r="G41" i="1"/>
  <c r="I40" i="1"/>
  <c r="I39" i="1"/>
  <c r="G39" i="1"/>
  <c r="I38" i="1"/>
  <c r="G38" i="1"/>
  <c r="I37" i="1"/>
  <c r="G37" i="1"/>
  <c r="I36" i="1"/>
  <c r="G36" i="1"/>
  <c r="I35" i="1"/>
  <c r="G35" i="1"/>
  <c r="I34" i="1"/>
  <c r="G34" i="1"/>
  <c r="I33" i="1"/>
  <c r="I32" i="1"/>
  <c r="G32" i="1"/>
  <c r="I30" i="1"/>
  <c r="G30" i="1"/>
  <c r="I27" i="1"/>
  <c r="G27" i="1"/>
  <c r="I26" i="1"/>
  <c r="G26" i="1"/>
  <c r="I25" i="1"/>
  <c r="G25" i="1"/>
  <c r="I24" i="1"/>
  <c r="I23" i="1"/>
  <c r="I22" i="1"/>
  <c r="G22" i="1"/>
  <c r="F31" i="1"/>
  <c r="I31" i="1" s="1"/>
  <c r="I21" i="1"/>
  <c r="D51" i="1" l="1"/>
  <c r="G51" i="1" s="1"/>
  <c r="G64" i="1"/>
  <c r="I10" i="1"/>
  <c r="I11" i="1"/>
  <c r="G10" i="1"/>
  <c r="G11" i="1"/>
  <c r="D63" i="1" l="1"/>
  <c r="G63" i="1" s="1"/>
  <c r="D43" i="1" l="1"/>
  <c r="G43" i="1" s="1"/>
  <c r="D33" i="1"/>
  <c r="G33" i="1" s="1"/>
  <c r="D40" i="1"/>
  <c r="G40" i="1" s="1"/>
  <c r="G23" i="1"/>
  <c r="D62" i="1"/>
  <c r="G62" i="1" s="1"/>
  <c r="G24" i="1" l="1"/>
  <c r="D31" i="1"/>
  <c r="G31" i="1" s="1"/>
  <c r="G21" i="1" l="1"/>
  <c r="I64" i="1" l="1"/>
  <c r="M25" i="8" l="1"/>
  <c r="M40" i="8"/>
  <c r="M47" i="8"/>
  <c r="M30" i="8"/>
  <c r="M44" i="8"/>
  <c r="M54" i="8"/>
  <c r="M24" i="8"/>
  <c r="M28" i="8"/>
  <c r="M29" i="8"/>
  <c r="M37" i="8"/>
  <c r="N37" i="8" s="1"/>
  <c r="M56" i="8"/>
  <c r="M14" i="8"/>
  <c r="M26" i="8"/>
  <c r="M45" i="8"/>
  <c r="F24" i="8"/>
  <c r="F30" i="8"/>
  <c r="F28" i="8"/>
  <c r="F37" i="8"/>
  <c r="F35" i="8"/>
  <c r="F29" i="8"/>
  <c r="F54" i="8"/>
  <c r="F45" i="8"/>
  <c r="F47" i="8"/>
  <c r="F14" i="8"/>
  <c r="F26" i="8"/>
  <c r="F44" i="8"/>
  <c r="F56" i="8"/>
  <c r="F25" i="8"/>
  <c r="F40" i="8"/>
  <c r="F38" i="8" l="1"/>
  <c r="M31" i="8"/>
  <c r="L31" i="8" s="1"/>
  <c r="N31" i="8" s="1"/>
  <c r="F16" i="8"/>
  <c r="F49" i="8"/>
  <c r="E49" i="8" s="1"/>
  <c r="F46" i="8"/>
  <c r="M48" i="8"/>
  <c r="L48" i="8" s="1"/>
  <c r="N48" i="8" s="1"/>
  <c r="M46" i="8"/>
  <c r="L46" i="8" s="1"/>
  <c r="N46" i="8" s="1"/>
  <c r="M41" i="8"/>
  <c r="L41" i="8" s="1"/>
  <c r="N41" i="8" s="1"/>
  <c r="P45" i="8"/>
  <c r="L45" i="8"/>
  <c r="N45" i="8" s="1"/>
  <c r="F55" i="8"/>
  <c r="F39" i="8"/>
  <c r="I28" i="8"/>
  <c r="E28" i="8"/>
  <c r="T28" i="8"/>
  <c r="F31" i="8"/>
  <c r="F36" i="8"/>
  <c r="M27" i="8"/>
  <c r="P27" i="8" s="1"/>
  <c r="I29" i="8"/>
  <c r="T29" i="8"/>
  <c r="W29" i="8" s="1"/>
  <c r="E29" i="8"/>
  <c r="T25" i="8"/>
  <c r="W25" i="8" s="1"/>
  <c r="I25" i="8"/>
  <c r="E25" i="8"/>
  <c r="I24" i="8"/>
  <c r="E24" i="8"/>
  <c r="T24" i="8"/>
  <c r="F23" i="8"/>
  <c r="M36" i="8"/>
  <c r="N36" i="8" s="1"/>
  <c r="L28" i="8"/>
  <c r="P28" i="8"/>
  <c r="L44" i="8"/>
  <c r="N44" i="8" s="1"/>
  <c r="P44" i="8"/>
  <c r="M35" i="8"/>
  <c r="T54" i="8"/>
  <c r="W54" i="8" s="1"/>
  <c r="I54" i="8"/>
  <c r="G54" i="8"/>
  <c r="G35" i="8"/>
  <c r="P26" i="8"/>
  <c r="L26" i="8"/>
  <c r="N26" i="8" s="1"/>
  <c r="N14" i="8"/>
  <c r="L29" i="8"/>
  <c r="N29" i="8" s="1"/>
  <c r="P29" i="8"/>
  <c r="M23" i="8"/>
  <c r="L24" i="8"/>
  <c r="P24" i="8"/>
  <c r="T44" i="8"/>
  <c r="W44" i="8" s="1"/>
  <c r="I44" i="8"/>
  <c r="E44" i="8"/>
  <c r="T37" i="8"/>
  <c r="U37" i="8" s="1"/>
  <c r="G37" i="8"/>
  <c r="M53" i="8"/>
  <c r="M39" i="8"/>
  <c r="M43" i="8"/>
  <c r="M55" i="8"/>
  <c r="M33" i="8"/>
  <c r="N33" i="8" s="1"/>
  <c r="L40" i="8"/>
  <c r="N40" i="8" s="1"/>
  <c r="P40" i="8"/>
  <c r="E46" i="8"/>
  <c r="I46" i="8"/>
  <c r="T46" i="8"/>
  <c r="W46" i="8" s="1"/>
  <c r="G16" i="8"/>
  <c r="E40" i="8"/>
  <c r="I40" i="8"/>
  <c r="T40" i="8"/>
  <c r="W40" i="8" s="1"/>
  <c r="F53" i="8"/>
  <c r="P56" i="8"/>
  <c r="L56" i="8"/>
  <c r="P25" i="8"/>
  <c r="L25" i="8"/>
  <c r="N25" i="8" s="1"/>
  <c r="E30" i="8"/>
  <c r="T30" i="8"/>
  <c r="W30" i="8" s="1"/>
  <c r="I30" i="8"/>
  <c r="T56" i="8"/>
  <c r="S56" i="8" s="1"/>
  <c r="U56" i="8" s="1"/>
  <c r="E56" i="8"/>
  <c r="I38" i="8"/>
  <c r="E38" i="8"/>
  <c r="L54" i="8"/>
  <c r="P54" i="8"/>
  <c r="P30" i="8"/>
  <c r="L30" i="8"/>
  <c r="N30" i="8" s="1"/>
  <c r="P47" i="8"/>
  <c r="L47" i="8"/>
  <c r="N47" i="8" s="1"/>
  <c r="I49" i="8"/>
  <c r="I45" i="8"/>
  <c r="T45" i="8"/>
  <c r="W45" i="8" s="1"/>
  <c r="E45" i="8"/>
  <c r="E26" i="8"/>
  <c r="I26" i="8"/>
  <c r="T26" i="8"/>
  <c r="W26" i="8" s="1"/>
  <c r="F41" i="8"/>
  <c r="F48" i="8"/>
  <c r="G14" i="8"/>
  <c r="T14" i="8"/>
  <c r="F15" i="8"/>
  <c r="G15" i="8" s="1"/>
  <c r="E47" i="8"/>
  <c r="T47" i="8"/>
  <c r="W47" i="8" s="1"/>
  <c r="I47" i="8"/>
  <c r="F33" i="8"/>
  <c r="F43" i="8"/>
  <c r="M38" i="8"/>
  <c r="T38" i="8" s="1"/>
  <c r="W38" i="8" s="1"/>
  <c r="P48" i="8" l="1"/>
  <c r="P31" i="8"/>
  <c r="P46" i="8"/>
  <c r="M15" i="8"/>
  <c r="T15" i="8" s="1"/>
  <c r="U15" i="8" s="1"/>
  <c r="P41" i="8"/>
  <c r="M16" i="8"/>
  <c r="M18" i="8" s="1"/>
  <c r="F60" i="8"/>
  <c r="P53" i="8"/>
  <c r="K53" i="8"/>
  <c r="N28" i="8"/>
  <c r="N27" i="8" s="1"/>
  <c r="L27" i="8"/>
  <c r="F27" i="8"/>
  <c r="I27" i="8" s="1"/>
  <c r="T31" i="8"/>
  <c r="W31" i="8" s="1"/>
  <c r="E31" i="8"/>
  <c r="I31" i="8"/>
  <c r="S40" i="8"/>
  <c r="U40" i="8" s="1"/>
  <c r="G40" i="8"/>
  <c r="G18" i="8"/>
  <c r="G26" i="8"/>
  <c r="S26" i="8"/>
  <c r="U26" i="8" s="1"/>
  <c r="S30" i="8"/>
  <c r="U30" i="8" s="1"/>
  <c r="G30" i="8"/>
  <c r="S29" i="8"/>
  <c r="U29" i="8" s="1"/>
  <c r="G29" i="8"/>
  <c r="W28" i="8"/>
  <c r="G33" i="8"/>
  <c r="T33" i="8"/>
  <c r="U33" i="8" s="1"/>
  <c r="M49" i="8"/>
  <c r="S47" i="8"/>
  <c r="U47" i="8" s="1"/>
  <c r="G47" i="8"/>
  <c r="G38" i="8"/>
  <c r="D53" i="8"/>
  <c r="F57" i="8"/>
  <c r="T53" i="8"/>
  <c r="I53" i="8"/>
  <c r="G46" i="8"/>
  <c r="S46" i="8"/>
  <c r="U46" i="8" s="1"/>
  <c r="F18" i="8"/>
  <c r="S45" i="8"/>
  <c r="U45" i="8" s="1"/>
  <c r="G45" i="8"/>
  <c r="S28" i="8"/>
  <c r="G28" i="8"/>
  <c r="I43" i="8"/>
  <c r="F42" i="8"/>
  <c r="T43" i="8"/>
  <c r="E43" i="8"/>
  <c r="P38" i="8"/>
  <c r="L38" i="8"/>
  <c r="N38" i="8" s="1"/>
  <c r="U14" i="8"/>
  <c r="S44" i="8"/>
  <c r="U44" i="8" s="1"/>
  <c r="G44" i="8"/>
  <c r="W24" i="8"/>
  <c r="T23" i="8"/>
  <c r="M34" i="8"/>
  <c r="N35" i="8"/>
  <c r="N34" i="8" s="1"/>
  <c r="G24" i="8"/>
  <c r="S24" i="8"/>
  <c r="E23" i="8"/>
  <c r="T39" i="8"/>
  <c r="W39" i="8" s="1"/>
  <c r="E39" i="8"/>
  <c r="I39" i="8"/>
  <c r="I48" i="8"/>
  <c r="T48" i="8"/>
  <c r="W48" i="8" s="1"/>
  <c r="E48" i="8"/>
  <c r="D56" i="8"/>
  <c r="G56" i="8"/>
  <c r="N56" i="8"/>
  <c r="K56" i="8"/>
  <c r="T55" i="8"/>
  <c r="G49" i="8"/>
  <c r="L43" i="8"/>
  <c r="M42" i="8"/>
  <c r="P43" i="8"/>
  <c r="S25" i="8"/>
  <c r="U25" i="8" s="1"/>
  <c r="G25" i="8"/>
  <c r="I41" i="8"/>
  <c r="T41" i="8"/>
  <c r="W41" i="8" s="1"/>
  <c r="E41" i="8"/>
  <c r="N54" i="8"/>
  <c r="S54" i="8"/>
  <c r="U54" i="8" s="1"/>
  <c r="L39" i="8"/>
  <c r="N39" i="8" s="1"/>
  <c r="P39" i="8"/>
  <c r="L23" i="8"/>
  <c r="N24" i="8"/>
  <c r="N23" i="8" s="1"/>
  <c r="T35" i="8"/>
  <c r="F34" i="8"/>
  <c r="G36" i="8"/>
  <c r="G34" i="8" s="1"/>
  <c r="T36" i="8"/>
  <c r="U36" i="8" s="1"/>
  <c r="N15" i="8" l="1"/>
  <c r="T27" i="8"/>
  <c r="W27" i="8" s="1"/>
  <c r="M51" i="8"/>
  <c r="S38" i="8"/>
  <c r="U38" i="8" s="1"/>
  <c r="N16" i="8"/>
  <c r="N18" i="8" s="1"/>
  <c r="T16" i="8"/>
  <c r="S43" i="8"/>
  <c r="E42" i="8"/>
  <c r="G43" i="8"/>
  <c r="G42" i="8" s="1"/>
  <c r="D55" i="8"/>
  <c r="R56" i="8"/>
  <c r="W56" i="8" s="1"/>
  <c r="I56" i="8"/>
  <c r="U24" i="8"/>
  <c r="U23" i="8" s="1"/>
  <c r="S23" i="8"/>
  <c r="F51" i="8"/>
  <c r="L53" i="8"/>
  <c r="K55" i="8"/>
  <c r="K57" i="8" s="1"/>
  <c r="K61" i="8" s="1"/>
  <c r="K3" i="8" s="1"/>
  <c r="G48" i="8"/>
  <c r="S48" i="8"/>
  <c r="U48" i="8" s="1"/>
  <c r="G23" i="8"/>
  <c r="N43" i="8"/>
  <c r="N42" i="8" s="1"/>
  <c r="L42" i="8"/>
  <c r="W53" i="8"/>
  <c r="T57" i="8"/>
  <c r="P49" i="8"/>
  <c r="L49" i="8"/>
  <c r="T49" i="8"/>
  <c r="W49" i="8" s="1"/>
  <c r="M60" i="8"/>
  <c r="S41" i="8"/>
  <c r="U41" i="8" s="1"/>
  <c r="G41" i="8"/>
  <c r="T34" i="8"/>
  <c r="T51" i="8" s="1"/>
  <c r="U35" i="8"/>
  <c r="U34" i="8" s="1"/>
  <c r="W43" i="8"/>
  <c r="T42" i="8"/>
  <c r="G39" i="8"/>
  <c r="S39" i="8"/>
  <c r="U39" i="8" s="1"/>
  <c r="U28" i="8"/>
  <c r="E27" i="8"/>
  <c r="G31" i="8"/>
  <c r="G27" i="8" s="1"/>
  <c r="S31" i="8"/>
  <c r="U31" i="8" s="1"/>
  <c r="E53" i="8"/>
  <c r="R53" i="8"/>
  <c r="U16" i="8" l="1"/>
  <c r="U18" i="8" s="1"/>
  <c r="T18" i="8"/>
  <c r="M61" i="8"/>
  <c r="M3" i="8" s="1"/>
  <c r="T60" i="8"/>
  <c r="L51" i="8"/>
  <c r="N51" i="8" s="1"/>
  <c r="N49" i="8"/>
  <c r="S49" i="8"/>
  <c r="U49" i="8" s="1"/>
  <c r="D57" i="8"/>
  <c r="D61" i="8" s="1"/>
  <c r="D3" i="8" s="1"/>
  <c r="E55" i="8"/>
  <c r="I55" i="8"/>
  <c r="S27" i="8"/>
  <c r="N53" i="8"/>
  <c r="E51" i="8"/>
  <c r="G51" i="8" s="1"/>
  <c r="R57" i="8"/>
  <c r="R61" i="8" s="1"/>
  <c r="R3" i="8" s="1"/>
  <c r="G53" i="8"/>
  <c r="S53" i="8"/>
  <c r="R55" i="8"/>
  <c r="W55" i="8" s="1"/>
  <c r="L55" i="8"/>
  <c r="N55" i="8" s="1"/>
  <c r="P55" i="8"/>
  <c r="U27" i="8"/>
  <c r="U43" i="8"/>
  <c r="U42" i="8" s="1"/>
  <c r="S42" i="8"/>
  <c r="N57" i="8" l="1"/>
  <c r="S51" i="8"/>
  <c r="U51" i="8" s="1"/>
  <c r="U53" i="8"/>
  <c r="L57" i="8"/>
  <c r="G55" i="8"/>
  <c r="G57" i="8" s="1"/>
  <c r="S55" i="8"/>
  <c r="U55" i="8" s="1"/>
  <c r="U57" i="8" s="1"/>
  <c r="E57" i="8"/>
  <c r="S57" i="8" l="1"/>
  <c r="Z15" i="8" l="1"/>
  <c r="AA15" i="8" s="1"/>
  <c r="AG54" i="8"/>
  <c r="AH54" i="8" s="1"/>
  <c r="AG53" i="8"/>
  <c r="AG33" i="8"/>
  <c r="AH33" i="8" s="1"/>
  <c r="AG56" i="8"/>
  <c r="AG55" i="8"/>
  <c r="AG14" i="8"/>
  <c r="AG15" i="8"/>
  <c r="AH15" i="8" s="1"/>
  <c r="AG39" i="8"/>
  <c r="AH39" i="8" s="1"/>
  <c r="AG46" i="8"/>
  <c r="AH46" i="8" s="1"/>
  <c r="AG38" i="8"/>
  <c r="AH38" i="8" s="1"/>
  <c r="AG36" i="8"/>
  <c r="AH36" i="8" s="1"/>
  <c r="AG41" i="8"/>
  <c r="AH41" i="8" s="1"/>
  <c r="AG48" i="8"/>
  <c r="AH48" i="8" s="1"/>
  <c r="AG16" i="8"/>
  <c r="AH16" i="8" s="1"/>
  <c r="AG35" i="8"/>
  <c r="AH35" i="8" s="1"/>
  <c r="AG31" i="8"/>
  <c r="AH31" i="8" s="1"/>
  <c r="AG49" i="8"/>
  <c r="AH49" i="8" s="1"/>
  <c r="AG37" i="8"/>
  <c r="AH37" i="8" s="1"/>
  <c r="AG24" i="8"/>
  <c r="AH24" i="8" s="1"/>
  <c r="AG43" i="8"/>
  <c r="AH43" i="8" s="1"/>
  <c r="AG45" i="8"/>
  <c r="AH45" i="8" s="1"/>
  <c r="AG40" i="8"/>
  <c r="AH40" i="8" s="1"/>
  <c r="AG28" i="8"/>
  <c r="AH28" i="8" s="1"/>
  <c r="AG29" i="8"/>
  <c r="AH29" i="8" s="1"/>
  <c r="AG44" i="8"/>
  <c r="AH44" i="8" s="1"/>
  <c r="AG25" i="8"/>
  <c r="AH25" i="8" s="1"/>
  <c r="AG26" i="8"/>
  <c r="AH26" i="8" s="1"/>
  <c r="AG30" i="8"/>
  <c r="AH30" i="8" s="1"/>
  <c r="AG47" i="8"/>
  <c r="AH47" i="8" s="1"/>
  <c r="Z16" i="8"/>
  <c r="AA16" i="8" s="1"/>
  <c r="Z29" i="8"/>
  <c r="AA29" i="8" s="1"/>
  <c r="Z30" i="8"/>
  <c r="AA30" i="8" s="1"/>
  <c r="Z28" i="8"/>
  <c r="AA28" i="8" s="1"/>
  <c r="Z48" i="8"/>
  <c r="AA48" i="8" s="1"/>
  <c r="Z47" i="8"/>
  <c r="AA47" i="8" s="1"/>
  <c r="Z26" i="8"/>
  <c r="AA26" i="8" s="1"/>
  <c r="Z54" i="8"/>
  <c r="AA54" i="8" s="1"/>
  <c r="Z25" i="8"/>
  <c r="AA25" i="8" s="1"/>
  <c r="Z38" i="8"/>
  <c r="AA38" i="8" s="1"/>
  <c r="AG18" i="8" l="1"/>
  <c r="AH18" i="8" s="1"/>
  <c r="AH14" i="8"/>
  <c r="AG27" i="8"/>
  <c r="AH27" i="8" s="1"/>
  <c r="AG34" i="8"/>
  <c r="AH34" i="8" s="1"/>
  <c r="AG42" i="8"/>
  <c r="AH42" i="8" s="1"/>
  <c r="AG23" i="8"/>
  <c r="AG51" i="8" l="1"/>
  <c r="AH23" i="8"/>
  <c r="AH51" i="8" s="1"/>
  <c r="Z44" i="8" l="1"/>
  <c r="AA44" i="8" s="1"/>
  <c r="Z36" i="8"/>
  <c r="AA36" i="8" s="1"/>
  <c r="Z40" i="8"/>
  <c r="AA40" i="8" s="1"/>
  <c r="Z45" i="8"/>
  <c r="AA45" i="8" s="1"/>
  <c r="Z24" i="8"/>
  <c r="AA24" i="8" s="1"/>
  <c r="Z56" i="8"/>
  <c r="Z31" i="8"/>
  <c r="AA31" i="8" s="1"/>
  <c r="Z14" i="8"/>
  <c r="AA14" i="8" l="1"/>
  <c r="Z18" i="8"/>
  <c r="AA18" i="8" s="1"/>
  <c r="Y56" i="8"/>
  <c r="AA56" i="8" s="1"/>
  <c r="Z41" i="8"/>
  <c r="AA41" i="8" s="1"/>
  <c r="Z27" i="8"/>
  <c r="AA27" i="8" s="1"/>
  <c r="Z53" i="8" l="1"/>
  <c r="Z37" i="8"/>
  <c r="AA37" i="8" s="1"/>
  <c r="Y53" i="8" l="1"/>
  <c r="AA53" i="8" s="1"/>
  <c r="F61" i="8"/>
  <c r="F3" i="8" s="1"/>
  <c r="Z49" i="8"/>
  <c r="AA49" i="8" s="1"/>
  <c r="Z55" i="8"/>
  <c r="Z46" i="8"/>
  <c r="AA46" i="8" s="1"/>
  <c r="Z43" i="8"/>
  <c r="AA43" i="8" s="1"/>
  <c r="Z39" i="8"/>
  <c r="AA39" i="8" s="1"/>
  <c r="Z35" i="8"/>
  <c r="AA35" i="8" s="1"/>
  <c r="Z33" i="8"/>
  <c r="AA33" i="8" s="1"/>
  <c r="T61" i="8" l="1"/>
  <c r="T3" i="8" s="1"/>
  <c r="Y55" i="8"/>
  <c r="AA55" i="8" s="1"/>
  <c r="Z23" i="8"/>
  <c r="Z34" i="8"/>
  <c r="AA34" i="8" s="1"/>
  <c r="Z42" i="8"/>
  <c r="AA42" i="8" s="1"/>
  <c r="Z51" i="8" l="1"/>
  <c r="AA23" i="8"/>
  <c r="AA51" i="8" s="1"/>
  <c r="Z57" i="8" l="1"/>
  <c r="AF53" i="8" l="1"/>
  <c r="AH53" i="8" s="1"/>
  <c r="Y57" i="8" l="1"/>
  <c r="AA57" i="8" s="1"/>
  <c r="AF56" i="8" l="1"/>
  <c r="AH56" i="8" s="1"/>
  <c r="AF55" i="8" l="1"/>
  <c r="AH55" i="8" s="1"/>
  <c r="AF57" i="8" l="1"/>
  <c r="AH57" i="8" s="1"/>
</calcChain>
</file>

<file path=xl/sharedStrings.xml><?xml version="1.0" encoding="utf-8"?>
<sst xmlns="http://schemas.openxmlformats.org/spreadsheetml/2006/main" count="271" uniqueCount="205">
  <si>
    <t>Insert</t>
  </si>
  <si>
    <t>Marcas y Patentes</t>
  </si>
  <si>
    <t>Armas</t>
  </si>
  <si>
    <t>Vajillas</t>
  </si>
  <si>
    <t>Ropa Blanca</t>
  </si>
  <si>
    <t>Equipos de Computación</t>
  </si>
  <si>
    <t>Rodados</t>
  </si>
  <si>
    <t>Muebles y útiles y Equipos</t>
  </si>
  <si>
    <t xml:space="preserve">Instalaciones </t>
  </si>
  <si>
    <t>Mejoras de Inmueb y Terrenos</t>
  </si>
  <si>
    <t>Inmuebles</t>
  </si>
  <si>
    <t xml:space="preserve">Terrenos </t>
  </si>
  <si>
    <t>Total Gastos Operativos</t>
  </si>
  <si>
    <t>Patentes</t>
  </si>
  <si>
    <t>Seguros</t>
  </si>
  <si>
    <t>Comunicaciones</t>
  </si>
  <si>
    <t>Equipos</t>
  </si>
  <si>
    <t>Vehiculos</t>
  </si>
  <si>
    <t>Lodge</t>
  </si>
  <si>
    <t>Mantenimiento/Reposiciones</t>
  </si>
  <si>
    <t>Pax</t>
  </si>
  <si>
    <t>Uniformes</t>
  </si>
  <si>
    <t>Traslado Aerop/Lodge/Alq Vehiculos</t>
  </si>
  <si>
    <t>Gas</t>
  </si>
  <si>
    <t>Vehiculos/Botes</t>
  </si>
  <si>
    <t>Electricidad</t>
  </si>
  <si>
    <t>BN</t>
  </si>
  <si>
    <t>Combustible</t>
  </si>
  <si>
    <t>Cargas Sociales</t>
  </si>
  <si>
    <t>Servicio</t>
  </si>
  <si>
    <t>Guias</t>
  </si>
  <si>
    <t>Managers</t>
  </si>
  <si>
    <t>Tips</t>
  </si>
  <si>
    <t>Sueldos</t>
  </si>
  <si>
    <t>Gastos Operativos</t>
  </si>
  <si>
    <t>(Comisiones Ventas Shop)</t>
  </si>
  <si>
    <t>(CMV) Shop</t>
  </si>
  <si>
    <t>Shop</t>
  </si>
  <si>
    <t>Otros Ingresos</t>
  </si>
  <si>
    <t>Observaciones</t>
  </si>
  <si>
    <t>Parametros</t>
  </si>
  <si>
    <t>En Dolares x temporada</t>
  </si>
  <si>
    <t>En Dolares x bednight</t>
  </si>
  <si>
    <t>Dias</t>
  </si>
  <si>
    <t>Fecha Cierre</t>
  </si>
  <si>
    <t>Fecha Inicio</t>
  </si>
  <si>
    <t>Inversiones</t>
  </si>
  <si>
    <t>Varios</t>
  </si>
  <si>
    <t>Permisos de Caza</t>
  </si>
  <si>
    <t>Viaticos y Movilidad Personal</t>
  </si>
  <si>
    <t>Comida / Vinos</t>
  </si>
  <si>
    <t xml:space="preserve">Maíz y Cebada </t>
  </si>
  <si>
    <t xml:space="preserve">Canon Campos </t>
  </si>
  <si>
    <t>Canon Lodge</t>
  </si>
  <si>
    <t>Extras (NET)</t>
  </si>
  <si>
    <t>Ingresos por tips</t>
  </si>
  <si>
    <t>Gun Rental (NET)</t>
  </si>
  <si>
    <t>Costo de la caceria</t>
  </si>
  <si>
    <t>Stock Cartuchos</t>
  </si>
  <si>
    <t>Stock Shop</t>
  </si>
  <si>
    <t>Total</t>
  </si>
  <si>
    <t>Real 23-24</t>
  </si>
  <si>
    <t>Budget 24-25</t>
  </si>
  <si>
    <t>Budget El Tobar Camp</t>
  </si>
  <si>
    <t>Control BUDGET</t>
  </si>
  <si>
    <t>TEMPORADA 2023-2024</t>
  </si>
  <si>
    <t>OK</t>
  </si>
  <si>
    <t>TUC LODGE</t>
  </si>
  <si>
    <t>ET LODGE</t>
  </si>
  <si>
    <t>TUC + ET LODGE</t>
  </si>
  <si>
    <t>Criterio</t>
  </si>
  <si>
    <t>Ítem /LODGES</t>
  </si>
  <si>
    <t>TUC LODGE
BUDGET
TOTAL</t>
  </si>
  <si>
    <t>TUC LODGE
BUDGET
Comparable</t>
  </si>
  <si>
    <t>TUC LODGE
REAL</t>
  </si>
  <si>
    <t>TUC LODGE
Diferencia
Desvío</t>
  </si>
  <si>
    <t>TUC LODGE
Observación</t>
  </si>
  <si>
    <t>ET LODGE
BUDGET
TOTAL</t>
  </si>
  <si>
    <t>ET LODGE
BUDGET
Comparable</t>
  </si>
  <si>
    <t>ET LODGE
REAL</t>
  </si>
  <si>
    <t>ET LODGE
Diferencia
Desvío</t>
  </si>
  <si>
    <t>ET LODGE
Observación</t>
  </si>
  <si>
    <t>TUC + ET LODGE
BUDGET
TOTAL</t>
  </si>
  <si>
    <t>TUC + ET LODGE
BUDGET
Comparable</t>
  </si>
  <si>
    <t>TUC + ET LODGE
REAL</t>
  </si>
  <si>
    <t>TUC + ET LODGE
Diferencia
Desvío</t>
  </si>
  <si>
    <t>TUC + ET LODGE
Observación</t>
  </si>
  <si>
    <t>TUC LODGE
%</t>
  </si>
  <si>
    <t>ET LODGE
%</t>
  </si>
  <si>
    <t>Total BN</t>
  </si>
  <si>
    <t>Total pax</t>
  </si>
  <si>
    <t>Meses Transcurridos</t>
  </si>
  <si>
    <t>Ctas</t>
  </si>
  <si>
    <t>INCOMES</t>
  </si>
  <si>
    <t>Other Income</t>
  </si>
  <si>
    <t xml:space="preserve">Bajo se compensa con las excelentes ventas de Libros </t>
  </si>
  <si>
    <t>Extras</t>
  </si>
  <si>
    <t>Muy Buenas Ventas</t>
  </si>
  <si>
    <t>Gun Rental</t>
  </si>
  <si>
    <t>Sigue con buena tendencia</t>
  </si>
  <si>
    <t>Total Other Income</t>
  </si>
  <si>
    <t>EXPENSES</t>
  </si>
  <si>
    <t>Operative Expenses</t>
  </si>
  <si>
    <t>Canon &amp; Labour Permits + Filed - Baiting/Maize</t>
  </si>
  <si>
    <t>Acumulado</t>
  </si>
  <si>
    <t>Canon Lodge/Labor Permits:</t>
  </si>
  <si>
    <t>Field:</t>
  </si>
  <si>
    <t>ok seguro acá haya un gran ahorro</t>
  </si>
  <si>
    <t>Baiting/Maize:</t>
  </si>
  <si>
    <t>Salaries</t>
  </si>
  <si>
    <t>Estimamos vamos a pasarnos unos 10 y 15k a fin año en total General Sueldos y Cargas Sociales.</t>
  </si>
  <si>
    <t>Manager</t>
  </si>
  <si>
    <t>Vamos a pasarnos 5k</t>
  </si>
  <si>
    <t>Guides</t>
  </si>
  <si>
    <t>justos quiza algo nos pasemos mínimo</t>
  </si>
  <si>
    <t>Services/House</t>
  </si>
  <si>
    <t>vamos a terminar pasados 5k aprox.</t>
  </si>
  <si>
    <t>Social Security Contributions</t>
  </si>
  <si>
    <t>Vamos a pasarnos por 3/4k</t>
  </si>
  <si>
    <t>Food &amp; Wine</t>
  </si>
  <si>
    <t>Pasados Real - Sigue tendencia negativa real por mayor costo que aumento de Tipo de cambio</t>
  </si>
  <si>
    <t>Real Pasados primera temporada - veremos meses siguientes</t>
  </si>
  <si>
    <t>Sigue tendencia negativa real por mayor costo que aumento de Tipo de cambio</t>
  </si>
  <si>
    <t>Electricity - Gas for Boats &amp; Vehicles - Propane</t>
  </si>
  <si>
    <t>Electricity</t>
  </si>
  <si>
    <t>Real Pasados - Combustible Generador y Electricidad Casa Operativa</t>
  </si>
  <si>
    <t>Electricity - Gas for Boats &amp; Vehicles</t>
  </si>
  <si>
    <t>Mejora en 2 USD x BN respecto acumulado mes anterior</t>
  </si>
  <si>
    <t>Propane</t>
  </si>
  <si>
    <t>Transfer to and from the airport (local taxi) - Vehicle Rental</t>
  </si>
  <si>
    <t>Travel for personnel (employees)</t>
  </si>
  <si>
    <t>Work uniforms for personnel (employees)</t>
  </si>
  <si>
    <t>Licenses / Permits (Fishing and Shooting)</t>
  </si>
  <si>
    <t>Maintenance (Lodge / Boats / Vehicles / Equipment)</t>
  </si>
  <si>
    <t>Maintenance Lodge</t>
  </si>
  <si>
    <t xml:space="preserve">0,7k Service Generador + 0,4k Arreglos Aires + 0,3k Arreglo Camas, 0,3k Plomería + 0,5k Amenities + 0,3k Cintas + 0,7k Ferretería e Insumos Pileta  + 0,7k Desagote Pozos Ciegos + 0,4k Velones velas, etc + 1,4k Mucho Chiquitaje </t>
  </si>
  <si>
    <t>Maintenance  Boats / Vehicles</t>
  </si>
  <si>
    <t>2,1k Cubiertas Camionetas + 3,8k Services y Bateria, etc + 0,8k Chapista Toyota + 0,9k Frenos y Repuestos Vs</t>
  </si>
  <si>
    <t>Maintenance  Equipment</t>
  </si>
  <si>
    <t>Repuestos Escopetas y Armeros limpieza armas, cajas,etc</t>
  </si>
  <si>
    <t>Communications - Phone, internet and satellite TV</t>
  </si>
  <si>
    <t>Insurance for lodge and boats</t>
  </si>
  <si>
    <t>Real Pasados</t>
  </si>
  <si>
    <t>Vehicles Taxes</t>
  </si>
  <si>
    <t>Miscellaneous &amp; Shipping</t>
  </si>
  <si>
    <t>Muy Justos nos vamos a pasar veremos en cuanto
1,8k Hojas Sobres  + 1,8k Fletes + 0,9k Ayuda Policia + 0,4k Vs</t>
  </si>
  <si>
    <t xml:space="preserve"> </t>
  </si>
  <si>
    <t>Total Operative Expenses</t>
  </si>
  <si>
    <t>Fixed Asset's Payments (Investments) Rodados/Lanchas</t>
  </si>
  <si>
    <t>Fixed Asset's Payments (Investments) Armas</t>
  </si>
  <si>
    <t>Repuestos Escopetas - compra de 20 escopetas nuevas montefeltro cal 20 + Restan Gtos Inscripción</t>
  </si>
  <si>
    <t xml:space="preserve">Restan gastos de inscripción </t>
  </si>
  <si>
    <t>Fixed Asset's Payments (Investments) Mejoras/equipamiento Lodge</t>
  </si>
  <si>
    <t>33,3k Obras Grandes Tucu/Sonrisa - 0,9k Cuadros yFotos + 3,4k Cisterna + 1,5k Cpra Heladera y Hornos + 1,7k Blanquería  + 1,6k máquina Thermomix  + 7,4k Equipamiento Yeti, Botellas ield, Handies,  2 Aires Acondicionados y mucho chiquitaje + 1,5k Vajilla + 5k Paisajismo + 0,3k Manteles + 1,7k Botellas Hydroflask + 0,7k Starlink + 1,7k Ropa Blanca + 1,3k Fletes Vs + 1,5k Sillon + 0,7k Colchones Staff + 0,6k Bici y equipamiento Gimnasio</t>
  </si>
  <si>
    <t>Ok seguro algo de ahorro haya</t>
  </si>
  <si>
    <t>Fixed Asset's Sales</t>
  </si>
  <si>
    <t xml:space="preserve">Ingreso de caja por venta de Fiat Strada </t>
  </si>
  <si>
    <t>Total Fixed Asset's (Investments)</t>
  </si>
  <si>
    <t>Quedan unos 8k de Budget para inversiones en general x fuera de las escopetas - Ver que resta hasta fin agosto seguro algo terminaremos pasados.</t>
  </si>
  <si>
    <t>Valor Fijo para control</t>
  </si>
  <si>
    <t>Control</t>
  </si>
  <si>
    <t>Real 24-25</t>
  </si>
  <si>
    <t>Real 25-25</t>
  </si>
  <si>
    <t>Budget 25-26</t>
  </si>
  <si>
    <t>Shells</t>
  </si>
  <si>
    <t>Costo Shells</t>
  </si>
  <si>
    <t xml:space="preserve">Se alterna con tucu 1 o 2 permisos x mes </t>
  </si>
  <si>
    <t>Starlink 56 usd mes</t>
  </si>
  <si>
    <t>Prorrateo patentes con Tucu por los meses que se usan los vehículos</t>
  </si>
  <si>
    <t>Este año se incluye en Varios cups de regalo usd 7 x pax</t>
  </si>
  <si>
    <t>TC</t>
  </si>
  <si>
    <t>Guia 1</t>
  </si>
  <si>
    <t>Sueldo Nomina</t>
  </si>
  <si>
    <t>Costo Sueldo Nomina</t>
  </si>
  <si>
    <t>Sueldo extra</t>
  </si>
  <si>
    <t>Meses</t>
  </si>
  <si>
    <t>Bono</t>
  </si>
  <si>
    <t>Mucama 1</t>
  </si>
  <si>
    <t>Mucama 2</t>
  </si>
  <si>
    <t>Cocinero</t>
  </si>
  <si>
    <t>Esto lo revise con Maria, con cambio de Baterias deberiamos ser mas eficientes, dejo mismo nro año pasado y mejora el nro por BN.</t>
  </si>
  <si>
    <t>2 cuatriciclos</t>
  </si>
  <si>
    <t>Esto no estaba en CAPEX visto con Fer, pero lo agrego ahora estimo 10K baterias nuevas</t>
  </si>
  <si>
    <t>Temporada 2025-26</t>
  </si>
  <si>
    <t>Cebador 1</t>
  </si>
  <si>
    <t>Cebador 2</t>
  </si>
  <si>
    <t>Total guías</t>
  </si>
  <si>
    <t>Mantenimiento 1</t>
  </si>
  <si>
    <t>Mantenimiento 2</t>
  </si>
  <si>
    <t>Mucama 3 y cocinera Staff</t>
  </si>
  <si>
    <t>Lavandera</t>
  </si>
  <si>
    <t>Scouting</t>
  </si>
  <si>
    <t>Total temporada</t>
  </si>
  <si>
    <t>Julian Logistica</t>
  </si>
  <si>
    <t>Calculo recupero Tips</t>
  </si>
  <si>
    <t>Estimado tips x BN</t>
  </si>
  <si>
    <t>Total tips estimados</t>
  </si>
  <si>
    <t>Recupero 70% tips servicio</t>
  </si>
  <si>
    <t xml:space="preserve">Menos Recupero de tips </t>
  </si>
  <si>
    <t>Total costo servicio</t>
  </si>
  <si>
    <t>Total Sueldos nomina Manager</t>
  </si>
  <si>
    <t>Total Sueldo nomina Servicio</t>
  </si>
  <si>
    <t>Total Sueldo Nomina Guias</t>
  </si>
  <si>
    <t>Cargas 35%</t>
  </si>
  <si>
    <t>Pendiente Martin envio planilla combustible para calculo diario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</si>
</sst>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(* #,##0_);_(* \(#,##0\);_(* &quot;-&quot;_);_(@_)"/>
    <numFmt numFmtId="44" formatCode="_(&quot;$&quot;\ * #,##0.00_);_(&quot;$&quot;\ * \(#,##0.00\);_(&quot;$&quot;\ * &quot;-&quot;??_);_(@_)"/>
    <numFmt numFmtId="43" formatCode="_(* #,##0.00_);_(* \(#,##0.00\);_(* &quot;-&quot;??_);_(@_)"/>
    <numFmt numFmtId="164" formatCode="#,##0_ ;[Red]\(#,##0\)"/>
    <numFmt numFmtId="165" formatCode="_ * #,##0.00_ ;_ * \-#,##0.00_ ;_ * &quot;-&quot;??_ ;_ @_ "/>
    <numFmt numFmtId="166" formatCode="_(* #,##0.0_);_(* \(#,##0.0\);_(* &quot;-&quot;??_);_(@_)"/>
    <numFmt numFmtId="167" formatCode="_(* #,##0_);_(* \(#,##0\);_(* &quot;-&quot;??_);_(@_)"/>
    <numFmt numFmtId="168" formatCode="dd/mm/yy;@"/>
    <numFmt numFmtId="169" formatCode="_-* #,##0.00\ _€_-;\-* #,##0.00\ _€_-;_-* &quot;-&quot;??\ _€_-;_-@_-"/>
    <numFmt numFmtId="170" formatCode="0.0"/>
  </numFmts>
  <fonts count="35">
    <font>
      <sz val="12"/>
      <color theme="1"/>
      <name val="Helvetica"/>
      <family val="2"/>
    </font>
    <font>
      <sz val="12"/>
      <color theme="1"/>
      <name val="Helvetica"/>
      <family val="2"/>
    </font>
    <font>
      <b/>
      <sz val="12"/>
      <color theme="1"/>
      <name val="Helvetica"/>
      <family val="2"/>
    </font>
    <font>
      <sz val="40"/>
      <name val="Helvetica Neue Thin"/>
    </font>
    <font>
      <sz val="20"/>
      <name val="Helvetica Neue Thin"/>
    </font>
    <font>
      <i/>
      <sz val="13"/>
      <name val="Helvetica Neue Thin"/>
    </font>
    <font>
      <sz val="10"/>
      <name val="Times New Roman"/>
      <family val="1"/>
    </font>
    <font>
      <sz val="10"/>
      <name val="Arial"/>
      <family val="2"/>
    </font>
    <font>
      <sz val="10"/>
      <color rgb="FFFF000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u/>
      <sz val="10"/>
      <name val="Arial"/>
      <family val="2"/>
    </font>
    <font>
      <sz val="8"/>
      <name val="Arial"/>
      <family val="2"/>
    </font>
    <font>
      <b/>
      <sz val="14"/>
      <color theme="1"/>
      <name val="Helvetica"/>
      <family val="2"/>
    </font>
    <font>
      <sz val="10"/>
      <color theme="1"/>
      <name val="Helvetica"/>
      <family val="2"/>
    </font>
    <font>
      <sz val="14"/>
      <color theme="1"/>
      <name val="Helvetica Neue Condensed Bold"/>
    </font>
    <font>
      <sz val="2"/>
      <name val="Arial"/>
      <family val="2"/>
    </font>
    <font>
      <b/>
      <sz val="11"/>
      <name val="Arial"/>
      <family val="2"/>
    </font>
    <font>
      <b/>
      <sz val="10"/>
      <color rgb="FFFF0000"/>
      <name val="Arial"/>
      <family val="2"/>
    </font>
    <font>
      <b/>
      <sz val="18"/>
      <name val="Arial"/>
      <family val="2"/>
    </font>
    <font>
      <b/>
      <sz val="18"/>
      <color rgb="FFFF0000"/>
      <name val="Arial"/>
      <family val="2"/>
    </font>
    <font>
      <b/>
      <sz val="2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u/>
      <sz val="10"/>
      <color indexed="12"/>
      <name val="Times New Roman"/>
      <family val="1"/>
    </font>
    <font>
      <b/>
      <sz val="2"/>
      <color indexed="12"/>
      <name val="Arial"/>
      <family val="2"/>
    </font>
    <font>
      <b/>
      <sz val="8"/>
      <color rgb="FFFF0000"/>
      <name val="Arial"/>
      <family val="2"/>
    </font>
    <font>
      <b/>
      <sz val="8"/>
      <name val="Arial"/>
      <family val="2"/>
    </font>
    <font>
      <sz val="11"/>
      <name val="Arial"/>
      <family val="2"/>
    </font>
    <font>
      <u val="singleAccounting"/>
      <sz val="10"/>
      <name val="Arial"/>
      <family val="2"/>
    </font>
    <font>
      <b/>
      <u val="singleAccounting"/>
      <sz val="10"/>
      <name val="Arial"/>
      <family val="2"/>
    </font>
    <font>
      <sz val="10"/>
      <color rgb="FFFF0000"/>
      <name val="Helvetica"/>
      <family val="2"/>
    </font>
    <font>
      <b/>
      <u/>
      <sz val="12"/>
      <color theme="1"/>
      <name val="Helvetica"/>
      <family val="2"/>
    </font>
    <font>
      <sz val="12"/>
      <color rgb="FFFF0000"/>
      <name val="Helvetica"/>
      <family val="2"/>
    </font>
  </fonts>
  <fills count="1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0" fontId="7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25" fillId="0" borderId="0" applyNumberFormat="0" applyFill="0" applyBorder="0" applyAlignment="0" applyProtection="0">
      <alignment vertical="top"/>
      <protection locked="0"/>
    </xf>
    <xf numFmtId="0" fontId="6" fillId="0" borderId="0"/>
    <xf numFmtId="41" fontId="6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28">
    <xf numFmtId="0" fontId="0" fillId="0" borderId="0" xfId="0"/>
    <xf numFmtId="0" fontId="7" fillId="2" borderId="0" xfId="6" applyFill="1" applyAlignment="1">
      <alignment horizontal="center" vertical="center"/>
    </xf>
    <xf numFmtId="0" fontId="19" fillId="2" borderId="0" xfId="6" applyFont="1" applyFill="1" applyAlignment="1">
      <alignment horizontal="center" vertical="center" wrapText="1"/>
    </xf>
    <xf numFmtId="0" fontId="9" fillId="2" borderId="0" xfId="6" applyFont="1" applyFill="1" applyAlignment="1">
      <alignment vertical="center"/>
    </xf>
    <xf numFmtId="0" fontId="7" fillId="2" borderId="0" xfId="6" applyFill="1" applyAlignment="1">
      <alignment vertical="center" wrapText="1"/>
    </xf>
    <xf numFmtId="0" fontId="7" fillId="2" borderId="0" xfId="6" applyFill="1" applyAlignment="1">
      <alignment vertical="center"/>
    </xf>
    <xf numFmtId="0" fontId="20" fillId="2" borderId="0" xfId="6" applyFont="1" applyFill="1" applyAlignment="1">
      <alignment horizontal="center" vertical="center" wrapText="1"/>
    </xf>
    <xf numFmtId="10" fontId="9" fillId="2" borderId="0" xfId="6" applyNumberFormat="1" applyFont="1" applyFill="1" applyAlignment="1">
      <alignment horizontal="center" vertical="center" wrapText="1"/>
    </xf>
    <xf numFmtId="0" fontId="9" fillId="2" borderId="0" xfId="6" applyFont="1" applyFill="1" applyAlignment="1">
      <alignment horizontal="center" vertical="center"/>
    </xf>
    <xf numFmtId="10" fontId="9" fillId="2" borderId="0" xfId="6" applyNumberFormat="1" applyFont="1" applyFill="1" applyAlignment="1">
      <alignment horizontal="center" vertical="center"/>
    </xf>
    <xf numFmtId="0" fontId="16" fillId="2" borderId="0" xfId="6" applyFont="1" applyFill="1" applyAlignment="1">
      <alignment horizontal="center" vertical="center"/>
    </xf>
    <xf numFmtId="0" fontId="21" fillId="2" borderId="0" xfId="6" applyFont="1" applyFill="1" applyAlignment="1">
      <alignment vertical="center" wrapText="1"/>
    </xf>
    <xf numFmtId="0" fontId="21" fillId="2" borderId="0" xfId="6" applyFont="1" applyFill="1" applyAlignment="1">
      <alignment vertical="center"/>
    </xf>
    <xf numFmtId="0" fontId="16" fillId="2" borderId="0" xfId="6" applyFont="1" applyFill="1" applyAlignment="1">
      <alignment vertical="center" wrapText="1"/>
    </xf>
    <xf numFmtId="0" fontId="16" fillId="2" borderId="0" xfId="6" applyFont="1" applyFill="1" applyAlignment="1">
      <alignment vertical="center"/>
    </xf>
    <xf numFmtId="0" fontId="22" fillId="2" borderId="0" xfId="6" applyFont="1" applyFill="1" applyAlignment="1">
      <alignment horizontal="center" vertical="center"/>
    </xf>
    <xf numFmtId="0" fontId="23" fillId="3" borderId="1" xfId="7" applyFont="1" applyFill="1" applyBorder="1" applyAlignment="1">
      <alignment horizontal="center" vertical="center" wrapText="1"/>
    </xf>
    <xf numFmtId="0" fontId="23" fillId="2" borderId="0" xfId="6" applyFont="1" applyFill="1" applyAlignment="1">
      <alignment horizontal="center" vertical="center"/>
    </xf>
    <xf numFmtId="0" fontId="22" fillId="2" borderId="0" xfId="6" applyFont="1" applyFill="1" applyAlignment="1">
      <alignment vertical="center"/>
    </xf>
    <xf numFmtId="0" fontId="24" fillId="0" borderId="21" xfId="6" applyFont="1" applyBorder="1" applyAlignment="1">
      <alignment vertical="center" wrapText="1"/>
    </xf>
    <xf numFmtId="41" fontId="9" fillId="2" borderId="0" xfId="6" applyNumberFormat="1" applyFont="1" applyFill="1" applyAlignment="1">
      <alignment horizontal="center" vertical="center"/>
    </xf>
    <xf numFmtId="0" fontId="24" fillId="2" borderId="1" xfId="6" applyFont="1" applyFill="1" applyBorder="1" applyAlignment="1">
      <alignment horizontal="right" vertical="center" wrapText="1"/>
    </xf>
    <xf numFmtId="0" fontId="9" fillId="10" borderId="1" xfId="6" applyFont="1" applyFill="1" applyBorder="1" applyAlignment="1">
      <alignment horizontal="center" vertical="center" wrapText="1"/>
    </xf>
    <xf numFmtId="0" fontId="9" fillId="2" borderId="1" xfId="6" applyFont="1" applyFill="1" applyBorder="1" applyAlignment="1">
      <alignment horizontal="center" vertical="center" wrapText="1"/>
    </xf>
    <xf numFmtId="49" fontId="9" fillId="11" borderId="1" xfId="6" applyNumberFormat="1" applyFont="1" applyFill="1" applyBorder="1" applyAlignment="1">
      <alignment horizontal="center" vertical="center" wrapText="1"/>
    </xf>
    <xf numFmtId="167" fontId="7" fillId="2" borderId="0" xfId="8" applyNumberFormat="1" applyFont="1" applyFill="1" applyBorder="1" applyAlignment="1">
      <alignment horizontal="center" vertical="center"/>
    </xf>
    <xf numFmtId="1" fontId="9" fillId="0" borderId="21" xfId="6" applyNumberFormat="1" applyFont="1" applyBorder="1" applyAlignment="1">
      <alignment vertical="center" wrapText="1"/>
    </xf>
    <xf numFmtId="1" fontId="9" fillId="2" borderId="22" xfId="6" applyNumberFormat="1" applyFont="1" applyFill="1" applyBorder="1" applyAlignment="1">
      <alignment horizontal="center" vertical="center"/>
    </xf>
    <xf numFmtId="1" fontId="9" fillId="0" borderId="21" xfId="6" applyNumberFormat="1" applyFont="1" applyBorder="1" applyAlignment="1">
      <alignment horizontal="center" vertical="center" wrapText="1"/>
    </xf>
    <xf numFmtId="9" fontId="9" fillId="0" borderId="21" xfId="2" applyFont="1" applyBorder="1" applyAlignment="1">
      <alignment horizontal="center" vertical="center" wrapText="1"/>
    </xf>
    <xf numFmtId="49" fontId="9" fillId="0" borderId="21" xfId="6" applyNumberFormat="1" applyFont="1" applyBorder="1" applyAlignment="1">
      <alignment horizontal="center" vertical="center" wrapText="1"/>
    </xf>
    <xf numFmtId="1" fontId="9" fillId="2" borderId="0" xfId="6" applyNumberFormat="1" applyFont="1" applyFill="1" applyAlignment="1">
      <alignment horizontal="center" vertical="center"/>
    </xf>
    <xf numFmtId="1" fontId="9" fillId="0" borderId="21" xfId="6" applyNumberFormat="1" applyFont="1" applyBorder="1" applyAlignment="1">
      <alignment horizontal="center" vertical="center"/>
    </xf>
    <xf numFmtId="9" fontId="9" fillId="0" borderId="21" xfId="2" applyFont="1" applyBorder="1" applyAlignment="1">
      <alignment horizontal="center" vertical="center"/>
    </xf>
    <xf numFmtId="0" fontId="9" fillId="2" borderId="1" xfId="6" applyFont="1" applyFill="1" applyBorder="1" applyAlignment="1">
      <alignment horizontal="left" vertical="center" wrapText="1"/>
    </xf>
    <xf numFmtId="0" fontId="9" fillId="2" borderId="22" xfId="6" applyFont="1" applyFill="1" applyBorder="1" applyAlignment="1">
      <alignment horizontal="center" vertical="center"/>
    </xf>
    <xf numFmtId="49" fontId="9" fillId="2" borderId="1" xfId="6" applyNumberFormat="1" applyFont="1" applyFill="1" applyBorder="1" applyAlignment="1">
      <alignment horizontal="center" vertical="center" wrapText="1"/>
    </xf>
    <xf numFmtId="0" fontId="7" fillId="0" borderId="0" xfId="9" applyFont="1" applyAlignment="1">
      <alignment vertical="center"/>
    </xf>
    <xf numFmtId="167" fontId="26" fillId="0" borderId="21" xfId="10" applyNumberFormat="1" applyFont="1" applyFill="1" applyBorder="1" applyAlignment="1" applyProtection="1">
      <alignment vertical="center" wrapText="1"/>
    </xf>
    <xf numFmtId="1" fontId="21" fillId="2" borderId="22" xfId="6" applyNumberFormat="1" applyFont="1" applyFill="1" applyBorder="1" applyAlignment="1">
      <alignment horizontal="center" vertical="center"/>
    </xf>
    <xf numFmtId="1" fontId="21" fillId="0" borderId="21" xfId="6" applyNumberFormat="1" applyFont="1" applyBorder="1" applyAlignment="1">
      <alignment horizontal="center" vertical="center" wrapText="1"/>
    </xf>
    <xf numFmtId="49" fontId="21" fillId="0" borderId="21" xfId="6" applyNumberFormat="1" applyFont="1" applyBorder="1" applyAlignment="1">
      <alignment horizontal="center" vertical="center" wrapText="1"/>
    </xf>
    <xf numFmtId="1" fontId="21" fillId="2" borderId="0" xfId="6" applyNumberFormat="1" applyFont="1" applyFill="1" applyAlignment="1">
      <alignment horizontal="center" vertical="center"/>
    </xf>
    <xf numFmtId="1" fontId="21" fillId="0" borderId="21" xfId="6" applyNumberFormat="1" applyFont="1" applyBorder="1" applyAlignment="1">
      <alignment horizontal="center" vertical="center"/>
    </xf>
    <xf numFmtId="164" fontId="10" fillId="0" borderId="21" xfId="11" applyNumberFormat="1" applyFont="1" applyBorder="1" applyAlignment="1">
      <alignment vertical="center" wrapText="1"/>
    </xf>
    <xf numFmtId="41" fontId="9" fillId="2" borderId="22" xfId="12" applyFont="1" applyFill="1" applyBorder="1" applyAlignment="1">
      <alignment vertical="center"/>
    </xf>
    <xf numFmtId="0" fontId="7" fillId="0" borderId="21" xfId="6" applyBorder="1" applyAlignment="1">
      <alignment vertical="center" wrapText="1"/>
    </xf>
    <xf numFmtId="49" fontId="7" fillId="0" borderId="21" xfId="6" applyNumberFormat="1" applyBorder="1" applyAlignment="1">
      <alignment vertical="center" wrapText="1"/>
    </xf>
    <xf numFmtId="41" fontId="9" fillId="2" borderId="0" xfId="12" applyFont="1" applyFill="1" applyBorder="1" applyAlignment="1">
      <alignment vertical="center"/>
    </xf>
    <xf numFmtId="0" fontId="7" fillId="0" borderId="21" xfId="6" applyBorder="1" applyAlignment="1">
      <alignment vertical="center"/>
    </xf>
    <xf numFmtId="164" fontId="7" fillId="0" borderId="21" xfId="8" applyNumberFormat="1" applyFont="1" applyBorder="1" applyAlignment="1">
      <alignment vertical="center" wrapText="1"/>
    </xf>
    <xf numFmtId="167" fontId="9" fillId="2" borderId="22" xfId="8" applyNumberFormat="1" applyFont="1" applyFill="1" applyBorder="1" applyAlignment="1">
      <alignment vertical="center"/>
    </xf>
    <xf numFmtId="167" fontId="9" fillId="0" borderId="21" xfId="8" applyNumberFormat="1" applyFont="1" applyFill="1" applyBorder="1" applyAlignment="1">
      <alignment vertical="center" wrapText="1"/>
    </xf>
    <xf numFmtId="49" fontId="9" fillId="0" borderId="21" xfId="8" applyNumberFormat="1" applyFont="1" applyFill="1" applyBorder="1" applyAlignment="1">
      <alignment vertical="center" wrapText="1"/>
    </xf>
    <xf numFmtId="167" fontId="7" fillId="2" borderId="0" xfId="8" applyNumberFormat="1" applyFont="1" applyFill="1" applyBorder="1" applyAlignment="1">
      <alignment vertical="center"/>
    </xf>
    <xf numFmtId="167" fontId="9" fillId="0" borderId="21" xfId="8" applyNumberFormat="1" applyFont="1" applyFill="1" applyBorder="1" applyAlignment="1">
      <alignment vertical="center"/>
    </xf>
    <xf numFmtId="167" fontId="9" fillId="2" borderId="0" xfId="8" applyNumberFormat="1" applyFont="1" applyFill="1" applyBorder="1" applyAlignment="1">
      <alignment vertical="center"/>
    </xf>
    <xf numFmtId="164" fontId="7" fillId="0" borderId="21" xfId="8" applyNumberFormat="1" applyFont="1" applyFill="1" applyBorder="1" applyAlignment="1">
      <alignment vertical="center" wrapText="1"/>
    </xf>
    <xf numFmtId="164" fontId="7" fillId="0" borderId="21" xfId="7" applyNumberFormat="1" applyFont="1" applyBorder="1" applyAlignment="1">
      <alignment vertical="center" wrapText="1"/>
    </xf>
    <xf numFmtId="49" fontId="9" fillId="0" borderId="21" xfId="8" applyNumberFormat="1" applyFont="1" applyFill="1" applyBorder="1" applyAlignment="1">
      <alignment horizontal="left" vertical="center" wrapText="1"/>
    </xf>
    <xf numFmtId="167" fontId="12" fillId="2" borderId="0" xfId="8" applyNumberFormat="1" applyFont="1" applyFill="1" applyBorder="1" applyAlignment="1">
      <alignment horizontal="center" vertical="center"/>
    </xf>
    <xf numFmtId="167" fontId="27" fillId="0" borderId="21" xfId="10" applyNumberFormat="1" applyFont="1" applyFill="1" applyBorder="1" applyAlignment="1" applyProtection="1">
      <alignment vertical="center" wrapText="1"/>
    </xf>
    <xf numFmtId="167" fontId="28" fillId="2" borderId="22" xfId="8" applyNumberFormat="1" applyFont="1" applyFill="1" applyBorder="1" applyAlignment="1">
      <alignment vertical="center"/>
    </xf>
    <xf numFmtId="167" fontId="12" fillId="0" borderId="21" xfId="8" applyNumberFormat="1" applyFont="1" applyBorder="1" applyAlignment="1">
      <alignment vertical="center" wrapText="1"/>
    </xf>
    <xf numFmtId="49" fontId="12" fillId="0" borderId="21" xfId="8" applyNumberFormat="1" applyFont="1" applyBorder="1" applyAlignment="1">
      <alignment vertical="center" wrapText="1"/>
    </xf>
    <xf numFmtId="167" fontId="28" fillId="2" borderId="0" xfId="8" applyNumberFormat="1" applyFont="1" applyFill="1" applyBorder="1" applyAlignment="1">
      <alignment vertical="center"/>
    </xf>
    <xf numFmtId="167" fontId="12" fillId="0" borderId="21" xfId="8" applyNumberFormat="1" applyFont="1" applyBorder="1" applyAlignment="1">
      <alignment vertical="center"/>
    </xf>
    <xf numFmtId="167" fontId="12" fillId="2" borderId="0" xfId="8" applyNumberFormat="1" applyFont="1" applyFill="1" applyBorder="1" applyAlignment="1">
      <alignment vertical="center"/>
    </xf>
    <xf numFmtId="167" fontId="29" fillId="2" borderId="0" xfId="8" applyNumberFormat="1" applyFont="1" applyFill="1" applyBorder="1" applyAlignment="1">
      <alignment horizontal="center" vertical="center"/>
    </xf>
    <xf numFmtId="167" fontId="17" fillId="0" borderId="1" xfId="8" applyNumberFormat="1" applyFont="1" applyFill="1" applyBorder="1" applyAlignment="1">
      <alignment horizontal="center" vertical="center" wrapText="1"/>
    </xf>
    <xf numFmtId="167" fontId="17" fillId="2" borderId="22" xfId="8" applyNumberFormat="1" applyFont="1" applyFill="1" applyBorder="1" applyAlignment="1">
      <alignment vertical="center"/>
    </xf>
    <xf numFmtId="167" fontId="17" fillId="0" borderId="1" xfId="8" applyNumberFormat="1" applyFont="1" applyFill="1" applyBorder="1" applyAlignment="1">
      <alignment vertical="center" wrapText="1"/>
    </xf>
    <xf numFmtId="49" fontId="17" fillId="0" borderId="1" xfId="8" applyNumberFormat="1" applyFont="1" applyFill="1" applyBorder="1" applyAlignment="1">
      <alignment vertical="center" wrapText="1"/>
    </xf>
    <xf numFmtId="167" fontId="17" fillId="2" borderId="0" xfId="8" applyNumberFormat="1" applyFont="1" applyFill="1" applyBorder="1" applyAlignment="1">
      <alignment vertical="center"/>
    </xf>
    <xf numFmtId="167" fontId="17" fillId="0" borderId="1" xfId="8" applyNumberFormat="1" applyFont="1" applyFill="1" applyBorder="1" applyAlignment="1">
      <alignment vertical="center"/>
    </xf>
    <xf numFmtId="167" fontId="29" fillId="2" borderId="0" xfId="8" applyNumberFormat="1" applyFont="1" applyFill="1" applyBorder="1" applyAlignment="1">
      <alignment vertical="center"/>
    </xf>
    <xf numFmtId="0" fontId="21" fillId="0" borderId="21" xfId="6" applyFont="1" applyBorder="1" applyAlignment="1">
      <alignment vertical="center" wrapText="1"/>
    </xf>
    <xf numFmtId="41" fontId="21" fillId="2" borderId="22" xfId="12" applyFont="1" applyFill="1" applyBorder="1" applyAlignment="1">
      <alignment vertical="center"/>
    </xf>
    <xf numFmtId="0" fontId="16" fillId="0" borderId="21" xfId="6" applyFont="1" applyBorder="1" applyAlignment="1">
      <alignment vertical="center" wrapText="1"/>
    </xf>
    <xf numFmtId="49" fontId="16" fillId="0" borderId="21" xfId="6" applyNumberFormat="1" applyFont="1" applyBorder="1" applyAlignment="1">
      <alignment vertical="center" wrapText="1"/>
    </xf>
    <xf numFmtId="41" fontId="21" fillId="2" borderId="0" xfId="12" applyFont="1" applyFill="1" applyBorder="1" applyAlignment="1">
      <alignment vertical="center"/>
    </xf>
    <xf numFmtId="0" fontId="16" fillId="0" borderId="21" xfId="6" applyFont="1" applyBorder="1" applyAlignment="1">
      <alignment vertical="center"/>
    </xf>
    <xf numFmtId="170" fontId="9" fillId="2" borderId="22" xfId="6" applyNumberFormat="1" applyFont="1" applyFill="1" applyBorder="1" applyAlignment="1">
      <alignment vertical="center"/>
    </xf>
    <xf numFmtId="170" fontId="9" fillId="2" borderId="0" xfId="6" applyNumberFormat="1" applyFont="1" applyFill="1" applyAlignment="1">
      <alignment vertical="center"/>
    </xf>
    <xf numFmtId="167" fontId="30" fillId="2" borderId="0" xfId="8" applyNumberFormat="1" applyFont="1" applyFill="1" applyBorder="1" applyAlignment="1">
      <alignment horizontal="center" vertical="center"/>
    </xf>
    <xf numFmtId="164" fontId="31" fillId="0" borderId="21" xfId="11" applyNumberFormat="1" applyFont="1" applyBorder="1" applyAlignment="1">
      <alignment vertical="center" wrapText="1"/>
    </xf>
    <xf numFmtId="167" fontId="31" fillId="2" borderId="22" xfId="8" applyNumberFormat="1" applyFont="1" applyFill="1" applyBorder="1" applyAlignment="1">
      <alignment vertical="center"/>
    </xf>
    <xf numFmtId="167" fontId="31" fillId="0" borderId="21" xfId="8" applyNumberFormat="1" applyFont="1" applyFill="1" applyBorder="1" applyAlignment="1">
      <alignment vertical="center" wrapText="1"/>
    </xf>
    <xf numFmtId="49" fontId="7" fillId="0" borderId="21" xfId="8" applyNumberFormat="1" applyFont="1" applyFill="1" applyBorder="1" applyAlignment="1">
      <alignment vertical="center" wrapText="1"/>
    </xf>
    <xf numFmtId="167" fontId="31" fillId="2" borderId="0" xfId="8" applyNumberFormat="1" applyFont="1" applyFill="1" applyBorder="1" applyAlignment="1">
      <alignment vertical="center"/>
    </xf>
    <xf numFmtId="167" fontId="31" fillId="0" borderId="21" xfId="8" applyNumberFormat="1" applyFont="1" applyFill="1" applyBorder="1" applyAlignment="1">
      <alignment vertical="center"/>
    </xf>
    <xf numFmtId="167" fontId="30" fillId="2" borderId="0" xfId="8" applyNumberFormat="1" applyFont="1" applyFill="1" applyBorder="1" applyAlignment="1">
      <alignment vertical="center"/>
    </xf>
    <xf numFmtId="164" fontId="7" fillId="0" borderId="21" xfId="11" applyNumberFormat="1" applyFont="1" applyBorder="1" applyAlignment="1">
      <alignment horizontal="right" vertical="center" wrapText="1"/>
    </xf>
    <xf numFmtId="167" fontId="7" fillId="2" borderId="22" xfId="8" applyNumberFormat="1" applyFont="1" applyFill="1" applyBorder="1" applyAlignment="1">
      <alignment vertical="center"/>
    </xf>
    <xf numFmtId="9" fontId="9" fillId="10" borderId="21" xfId="2" applyFont="1" applyFill="1" applyBorder="1" applyAlignment="1">
      <alignment vertical="center" wrapText="1"/>
    </xf>
    <xf numFmtId="0" fontId="11" fillId="2" borderId="0" xfId="6" applyFont="1" applyFill="1" applyAlignment="1">
      <alignment horizontal="center" vertical="center"/>
    </xf>
    <xf numFmtId="164" fontId="10" fillId="0" borderId="21" xfId="8" applyNumberFormat="1" applyFont="1" applyBorder="1" applyAlignment="1">
      <alignment horizontal="left" vertical="center" wrapText="1"/>
    </xf>
    <xf numFmtId="3" fontId="10" fillId="2" borderId="22" xfId="6" applyNumberFormat="1" applyFont="1" applyFill="1" applyBorder="1" applyAlignment="1">
      <alignment horizontal="right" vertical="center"/>
    </xf>
    <xf numFmtId="0" fontId="11" fillId="2" borderId="0" xfId="6" applyFont="1" applyFill="1" applyAlignment="1">
      <alignment horizontal="right" vertical="center"/>
    </xf>
    <xf numFmtId="164" fontId="7" fillId="0" borderId="21" xfId="8" applyNumberFormat="1" applyFont="1" applyBorder="1" applyAlignment="1">
      <alignment horizontal="left" vertical="center" wrapText="1"/>
    </xf>
    <xf numFmtId="164" fontId="7" fillId="0" borderId="21" xfId="8" applyNumberFormat="1" applyFont="1" applyBorder="1" applyAlignment="1">
      <alignment horizontal="right" vertical="center" wrapText="1"/>
    </xf>
    <xf numFmtId="3" fontId="7" fillId="2" borderId="22" xfId="6" applyNumberFormat="1" applyFill="1" applyBorder="1" applyAlignment="1">
      <alignment horizontal="right" vertical="center"/>
    </xf>
    <xf numFmtId="0" fontId="7" fillId="2" borderId="0" xfId="6" applyFill="1" applyAlignment="1">
      <alignment horizontal="right" vertical="center"/>
    </xf>
    <xf numFmtId="164" fontId="7" fillId="0" borderId="21" xfId="11" applyNumberFormat="1" applyFont="1" applyBorder="1" applyAlignment="1">
      <alignment horizontal="left" vertical="center" wrapText="1"/>
    </xf>
    <xf numFmtId="3" fontId="10" fillId="2" borderId="22" xfId="6" applyNumberFormat="1" applyFont="1" applyFill="1" applyBorder="1" applyAlignment="1">
      <alignment vertical="center"/>
    </xf>
    <xf numFmtId="0" fontId="10" fillId="2" borderId="0" xfId="6" applyFont="1" applyFill="1" applyAlignment="1">
      <alignment vertical="center"/>
    </xf>
    <xf numFmtId="3" fontId="9" fillId="2" borderId="22" xfId="6" applyNumberFormat="1" applyFont="1" applyFill="1" applyBorder="1" applyAlignment="1">
      <alignment vertical="center"/>
    </xf>
    <xf numFmtId="166" fontId="7" fillId="2" borderId="0" xfId="8" applyNumberFormat="1" applyFont="1" applyFill="1" applyBorder="1" applyAlignment="1">
      <alignment vertical="center"/>
    </xf>
    <xf numFmtId="164" fontId="7" fillId="0" borderId="21" xfId="11" applyNumberFormat="1" applyFont="1" applyBorder="1" applyAlignment="1">
      <alignment vertical="center" wrapText="1"/>
    </xf>
    <xf numFmtId="167" fontId="12" fillId="0" borderId="21" xfId="8" applyNumberFormat="1" applyFont="1" applyFill="1" applyBorder="1" applyAlignment="1">
      <alignment vertical="center" wrapText="1"/>
    </xf>
    <xf numFmtId="167" fontId="9" fillId="0" borderId="1" xfId="8" applyNumberFormat="1" applyFont="1" applyFill="1" applyBorder="1" applyAlignment="1">
      <alignment horizontal="center" vertical="center" wrapText="1"/>
    </xf>
    <xf numFmtId="167" fontId="9" fillId="0" borderId="1" xfId="8" applyNumberFormat="1" applyFont="1" applyFill="1" applyBorder="1" applyAlignment="1">
      <alignment vertical="center" wrapText="1"/>
    </xf>
    <xf numFmtId="49" fontId="7" fillId="0" borderId="1" xfId="8" applyNumberFormat="1" applyFont="1" applyFill="1" applyBorder="1" applyAlignment="1">
      <alignment vertical="center" wrapText="1"/>
    </xf>
    <xf numFmtId="167" fontId="9" fillId="0" borderId="1" xfId="8" applyNumberFormat="1" applyFont="1" applyFill="1" applyBorder="1" applyAlignment="1">
      <alignment vertical="center"/>
    </xf>
    <xf numFmtId="167" fontId="21" fillId="0" borderId="21" xfId="8" applyNumberFormat="1" applyFont="1" applyFill="1" applyBorder="1" applyAlignment="1">
      <alignment vertical="center"/>
    </xf>
    <xf numFmtId="0" fontId="16" fillId="0" borderId="0" xfId="9" applyFont="1" applyAlignment="1">
      <alignment vertical="center"/>
    </xf>
    <xf numFmtId="49" fontId="16" fillId="2" borderId="0" xfId="6" applyNumberFormat="1" applyFont="1" applyFill="1" applyAlignment="1">
      <alignment vertical="center" wrapText="1"/>
    </xf>
    <xf numFmtId="0" fontId="9" fillId="2" borderId="0" xfId="6" applyFont="1" applyFill="1" applyAlignment="1">
      <alignment vertical="center" wrapText="1"/>
    </xf>
    <xf numFmtId="49" fontId="7" fillId="2" borderId="0" xfId="6" applyNumberFormat="1" applyFill="1" applyAlignment="1">
      <alignment vertical="center" wrapText="1"/>
    </xf>
    <xf numFmtId="0" fontId="8" fillId="2" borderId="0" xfId="6" applyFont="1" applyFill="1" applyAlignment="1">
      <alignment horizontal="center" vertical="center"/>
    </xf>
    <xf numFmtId="0" fontId="18" fillId="2" borderId="0" xfId="6" applyFont="1" applyFill="1" applyAlignment="1">
      <alignment vertical="center" wrapText="1"/>
    </xf>
    <xf numFmtId="0" fontId="18" fillId="2" borderId="0" xfId="6" applyFont="1" applyFill="1" applyAlignment="1">
      <alignment vertical="center"/>
    </xf>
    <xf numFmtId="167" fontId="8" fillId="2" borderId="0" xfId="6" applyNumberFormat="1" applyFont="1" applyFill="1" applyAlignment="1">
      <alignment vertical="center" wrapText="1"/>
    </xf>
    <xf numFmtId="0" fontId="8" fillId="2" borderId="0" xfId="6" applyFont="1" applyFill="1" applyAlignment="1">
      <alignment vertical="center" wrapText="1"/>
    </xf>
    <xf numFmtId="49" fontId="8" fillId="2" borderId="0" xfId="6" applyNumberFormat="1" applyFont="1" applyFill="1" applyAlignment="1">
      <alignment vertical="center" wrapText="1"/>
    </xf>
    <xf numFmtId="0" fontId="8" fillId="2" borderId="0" xfId="6" applyFont="1" applyFill="1" applyAlignment="1">
      <alignment vertical="center"/>
    </xf>
    <xf numFmtId="167" fontId="7" fillId="2" borderId="0" xfId="6" applyNumberFormat="1" applyFill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167" fontId="0" fillId="0" borderId="0" xfId="1" applyNumberFormat="1" applyFont="1" applyBorder="1" applyAlignment="1">
      <alignment vertical="center"/>
    </xf>
    <xf numFmtId="167" fontId="0" fillId="0" borderId="13" xfId="1" applyNumberFormat="1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5" fillId="6" borderId="7" xfId="0" applyFont="1" applyFill="1" applyBorder="1" applyAlignment="1">
      <alignment vertical="center"/>
    </xf>
    <xf numFmtId="0" fontId="15" fillId="6" borderId="10" xfId="0" applyFont="1" applyFill="1" applyBorder="1" applyAlignment="1">
      <alignment horizontal="center" vertical="center"/>
    </xf>
    <xf numFmtId="0" fontId="15" fillId="6" borderId="7" xfId="0" applyFont="1" applyFill="1" applyBorder="1" applyAlignment="1">
      <alignment horizontal="center" vertical="center"/>
    </xf>
    <xf numFmtId="0" fontId="15" fillId="6" borderId="19" xfId="0" applyFont="1" applyFill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0" fillId="0" borderId="11" xfId="0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0" xfId="0" applyAlignment="1">
      <alignment horizontal="left" vertical="center"/>
    </xf>
    <xf numFmtId="167" fontId="0" fillId="0" borderId="11" xfId="1" applyNumberFormat="1" applyFont="1" applyBorder="1" applyAlignment="1">
      <alignment vertical="center"/>
    </xf>
    <xf numFmtId="168" fontId="0" fillId="0" borderId="11" xfId="0" applyNumberFormat="1" applyBorder="1" applyAlignment="1">
      <alignment vertical="center"/>
    </xf>
    <xf numFmtId="168" fontId="0" fillId="0" borderId="0" xfId="0" applyNumberFormat="1" applyAlignment="1">
      <alignment vertical="center"/>
    </xf>
    <xf numFmtId="0" fontId="13" fillId="4" borderId="2" xfId="0" applyFont="1" applyFill="1" applyBorder="1" applyAlignment="1">
      <alignment vertical="center"/>
    </xf>
    <xf numFmtId="167" fontId="13" fillId="4" borderId="9" xfId="1" applyNumberFormat="1" applyFont="1" applyFill="1" applyBorder="1" applyAlignment="1">
      <alignment vertical="center"/>
    </xf>
    <xf numFmtId="167" fontId="13" fillId="4" borderId="2" xfId="1" applyNumberFormat="1" applyFont="1" applyFill="1" applyBorder="1" applyAlignment="1">
      <alignment vertical="center"/>
    </xf>
    <xf numFmtId="0" fontId="0" fillId="4" borderId="9" xfId="0" applyFill="1" applyBorder="1" applyAlignment="1">
      <alignment vertical="center"/>
    </xf>
    <xf numFmtId="167" fontId="0" fillId="0" borderId="11" xfId="0" applyNumberFormat="1" applyBorder="1" applyAlignment="1">
      <alignment vertical="center"/>
    </xf>
    <xf numFmtId="167" fontId="0" fillId="0" borderId="0" xfId="0" applyNumberFormat="1" applyAlignment="1">
      <alignment vertical="center"/>
    </xf>
    <xf numFmtId="167" fontId="0" fillId="0" borderId="0" xfId="1" applyNumberFormat="1" applyFont="1" applyAlignment="1">
      <alignment vertical="center"/>
    </xf>
    <xf numFmtId="0" fontId="13" fillId="5" borderId="2" xfId="0" applyFont="1" applyFill="1" applyBorder="1" applyAlignment="1">
      <alignment vertical="center"/>
    </xf>
    <xf numFmtId="167" fontId="13" fillId="5" borderId="9" xfId="1" applyNumberFormat="1" applyFont="1" applyFill="1" applyBorder="1" applyAlignment="1">
      <alignment vertical="center"/>
    </xf>
    <xf numFmtId="167" fontId="13" fillId="5" borderId="2" xfId="1" applyNumberFormat="1" applyFont="1" applyFill="1" applyBorder="1" applyAlignment="1">
      <alignment vertical="center"/>
    </xf>
    <xf numFmtId="0" fontId="0" fillId="5" borderId="9" xfId="0" applyFill="1" applyBorder="1" applyAlignment="1">
      <alignment vertical="center"/>
    </xf>
    <xf numFmtId="0" fontId="0" fillId="9" borderId="0" xfId="0" applyFill="1" applyAlignment="1">
      <alignment vertical="center"/>
    </xf>
    <xf numFmtId="167" fontId="0" fillId="9" borderId="11" xfId="1" applyNumberFormat="1" applyFont="1" applyFill="1" applyBorder="1" applyAlignment="1">
      <alignment vertical="center"/>
    </xf>
    <xf numFmtId="167" fontId="0" fillId="9" borderId="0" xfId="1" applyNumberFormat="1" applyFont="1" applyFill="1" applyBorder="1" applyAlignment="1">
      <alignment vertical="center"/>
    </xf>
    <xf numFmtId="0" fontId="14" fillId="0" borderId="0" xfId="0" applyFont="1" applyAlignment="1">
      <alignment horizontal="left" vertical="center"/>
    </xf>
    <xf numFmtId="167" fontId="14" fillId="0" borderId="11" xfId="1" applyNumberFormat="1" applyFont="1" applyBorder="1" applyAlignment="1">
      <alignment vertical="center"/>
    </xf>
    <xf numFmtId="167" fontId="14" fillId="0" borderId="0" xfId="1" applyNumberFormat="1" applyFont="1" applyBorder="1" applyAlignment="1">
      <alignment vertical="center"/>
    </xf>
    <xf numFmtId="0" fontId="0" fillId="0" borderId="6" xfId="0" applyBorder="1" applyAlignment="1">
      <alignment vertical="center"/>
    </xf>
    <xf numFmtId="167" fontId="0" fillId="0" borderId="14" xfId="1" applyNumberFormat="1" applyFont="1" applyBorder="1" applyAlignment="1">
      <alignment vertical="center"/>
    </xf>
    <xf numFmtId="167" fontId="0" fillId="0" borderId="6" xfId="1" applyNumberFormat="1" applyFont="1" applyBorder="1" applyAlignment="1">
      <alignment vertical="center"/>
    </xf>
    <xf numFmtId="0" fontId="0" fillId="0" borderId="14" xfId="0" applyBorder="1" applyAlignment="1">
      <alignment vertical="center"/>
    </xf>
    <xf numFmtId="0" fontId="0" fillId="9" borderId="17" xfId="0" applyFill="1" applyBorder="1" applyAlignment="1">
      <alignment vertical="center"/>
    </xf>
    <xf numFmtId="167" fontId="0" fillId="9" borderId="8" xfId="1" applyNumberFormat="1" applyFont="1" applyFill="1" applyBorder="1" applyAlignment="1">
      <alignment vertical="center"/>
    </xf>
    <xf numFmtId="167" fontId="0" fillId="9" borderId="5" xfId="1" applyNumberFormat="1" applyFont="1" applyFill="1" applyBorder="1" applyAlignment="1">
      <alignment vertical="center"/>
    </xf>
    <xf numFmtId="167" fontId="1" fillId="9" borderId="5" xfId="1" applyNumberFormat="1" applyFont="1" applyFill="1" applyBorder="1" applyAlignment="1">
      <alignment vertical="center"/>
    </xf>
    <xf numFmtId="167" fontId="0" fillId="0" borderId="5" xfId="1" applyNumberFormat="1" applyFont="1" applyBorder="1" applyAlignment="1">
      <alignment vertical="center"/>
    </xf>
    <xf numFmtId="0" fontId="0" fillId="0" borderId="14" xfId="0" applyBorder="1" applyAlignment="1">
      <alignment vertical="center" wrapText="1"/>
    </xf>
    <xf numFmtId="0" fontId="0" fillId="9" borderId="5" xfId="0" applyFill="1" applyBorder="1" applyAlignment="1">
      <alignment vertical="center"/>
    </xf>
    <xf numFmtId="167" fontId="1" fillId="9" borderId="8" xfId="1" applyNumberFormat="1" applyFont="1" applyFill="1" applyBorder="1" applyAlignment="1">
      <alignment vertical="center"/>
    </xf>
    <xf numFmtId="0" fontId="14" fillId="0" borderId="6" xfId="0" applyFont="1" applyBorder="1" applyAlignment="1">
      <alignment horizontal="left" vertical="center"/>
    </xf>
    <xf numFmtId="167" fontId="14" fillId="0" borderId="14" xfId="1" applyNumberFormat="1" applyFont="1" applyBorder="1" applyAlignment="1">
      <alignment vertical="center"/>
    </xf>
    <xf numFmtId="167" fontId="14" fillId="0" borderId="6" xfId="1" applyNumberFormat="1" applyFont="1" applyBorder="1" applyAlignment="1">
      <alignment vertical="center"/>
    </xf>
    <xf numFmtId="0" fontId="0" fillId="0" borderId="11" xfId="0" applyBorder="1" applyAlignment="1">
      <alignment horizontal="left" vertical="center" wrapText="1"/>
    </xf>
    <xf numFmtId="0" fontId="0" fillId="0" borderId="0" xfId="0" applyAlignment="1">
      <alignment vertical="center" wrapText="1"/>
    </xf>
    <xf numFmtId="167" fontId="1" fillId="9" borderId="11" xfId="1" applyNumberFormat="1" applyFont="1" applyFill="1" applyBorder="1" applyAlignment="1">
      <alignment vertical="center"/>
    </xf>
    <xf numFmtId="167" fontId="1" fillId="9" borderId="0" xfId="1" applyNumberFormat="1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13" fillId="7" borderId="16" xfId="0" applyFont="1" applyFill="1" applyBorder="1" applyAlignment="1">
      <alignment vertical="center"/>
    </xf>
    <xf numFmtId="167" fontId="13" fillId="7" borderId="15" xfId="1" applyNumberFormat="1" applyFont="1" applyFill="1" applyBorder="1" applyAlignment="1">
      <alignment vertical="center"/>
    </xf>
    <xf numFmtId="167" fontId="13" fillId="7" borderId="16" xfId="1" applyNumberFormat="1" applyFont="1" applyFill="1" applyBorder="1" applyAlignment="1">
      <alignment vertical="center"/>
    </xf>
    <xf numFmtId="167" fontId="13" fillId="7" borderId="0" xfId="1" applyNumberFormat="1" applyFont="1" applyFill="1" applyBorder="1" applyAlignment="1">
      <alignment vertical="center"/>
    </xf>
    <xf numFmtId="167" fontId="0" fillId="7" borderId="16" xfId="1" applyNumberFormat="1" applyFont="1" applyFill="1" applyBorder="1" applyAlignment="1">
      <alignment vertical="center"/>
    </xf>
    <xf numFmtId="0" fontId="0" fillId="7" borderId="16" xfId="0" applyFill="1" applyBorder="1" applyAlignment="1">
      <alignment vertical="center"/>
    </xf>
    <xf numFmtId="167" fontId="13" fillId="7" borderId="5" xfId="1" applyNumberFormat="1" applyFont="1" applyFill="1" applyBorder="1" applyAlignment="1">
      <alignment vertical="center"/>
    </xf>
    <xf numFmtId="167" fontId="0" fillId="7" borderId="5" xfId="1" applyNumberFormat="1" applyFont="1" applyFill="1" applyBorder="1" applyAlignment="1">
      <alignment vertical="center"/>
    </xf>
    <xf numFmtId="0" fontId="13" fillId="8" borderId="16" xfId="0" applyFont="1" applyFill="1" applyBorder="1" applyAlignment="1">
      <alignment vertical="center"/>
    </xf>
    <xf numFmtId="167" fontId="13" fillId="8" borderId="15" xfId="1" applyNumberFormat="1" applyFont="1" applyFill="1" applyBorder="1" applyAlignment="1">
      <alignment vertical="center"/>
    </xf>
    <xf numFmtId="167" fontId="13" fillId="8" borderId="16" xfId="1" applyNumberFormat="1" applyFont="1" applyFill="1" applyBorder="1" applyAlignment="1">
      <alignment vertical="center"/>
    </xf>
    <xf numFmtId="167" fontId="13" fillId="8" borderId="5" xfId="1" applyNumberFormat="1" applyFont="1" applyFill="1" applyBorder="1" applyAlignment="1">
      <alignment vertical="center"/>
    </xf>
    <xf numFmtId="167" fontId="0" fillId="8" borderId="16" xfId="1" applyNumberFormat="1" applyFont="1" applyFill="1" applyBorder="1" applyAlignment="1">
      <alignment vertical="center"/>
    </xf>
    <xf numFmtId="0" fontId="0" fillId="8" borderId="15" xfId="0" applyFill="1" applyBorder="1" applyAlignment="1">
      <alignment vertical="center"/>
    </xf>
    <xf numFmtId="167" fontId="0" fillId="0" borderId="8" xfId="1" applyNumberFormat="1" applyFont="1" applyBorder="1" applyAlignment="1">
      <alignment vertical="center"/>
    </xf>
    <xf numFmtId="0" fontId="32" fillId="0" borderId="0" xfId="0" applyFont="1" applyAlignment="1">
      <alignment horizontal="left" vertical="center"/>
    </xf>
    <xf numFmtId="0" fontId="0" fillId="11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4" fontId="0" fillId="0" borderId="0" xfId="13" applyFont="1"/>
    <xf numFmtId="0" fontId="0" fillId="0" borderId="0" xfId="13" applyNumberFormat="1" applyFont="1"/>
    <xf numFmtId="0" fontId="0" fillId="11" borderId="0" xfId="0" applyFill="1"/>
    <xf numFmtId="0" fontId="0" fillId="11" borderId="0" xfId="0" applyFill="1" applyAlignment="1">
      <alignment horizontal="center" vertical="center"/>
    </xf>
    <xf numFmtId="44" fontId="0" fillId="11" borderId="0" xfId="13" applyFont="1" applyFill="1"/>
    <xf numFmtId="0" fontId="33" fillId="0" borderId="0" xfId="0" applyFont="1"/>
    <xf numFmtId="44" fontId="0" fillId="0" borderId="0" xfId="0" applyNumberFormat="1"/>
    <xf numFmtId="44" fontId="0" fillId="11" borderId="0" xfId="0" applyNumberFormat="1" applyFill="1"/>
    <xf numFmtId="0" fontId="34" fillId="0" borderId="0" xfId="0" applyFont="1" applyAlignment="1">
      <alignment vertical="center" wrapText="1"/>
    </xf>
    <xf numFmtId="0" fontId="23" fillId="3" borderId="3" xfId="6" applyFont="1" applyFill="1" applyBorder="1" applyAlignment="1">
      <alignment horizontal="center" vertical="center" wrapText="1"/>
    </xf>
    <xf numFmtId="0" fontId="23" fillId="3" borderId="20" xfId="6" applyFont="1" applyFill="1" applyBorder="1" applyAlignment="1">
      <alignment horizontal="center" vertical="center" wrapText="1"/>
    </xf>
    <xf numFmtId="0" fontId="23" fillId="3" borderId="4" xfId="6" applyFont="1" applyFill="1" applyBorder="1" applyAlignment="1">
      <alignment horizontal="center" vertical="center" wrapText="1"/>
    </xf>
    <xf numFmtId="0" fontId="23" fillId="3" borderId="3" xfId="6" applyFont="1" applyFill="1" applyBorder="1" applyAlignment="1">
      <alignment horizontal="center" vertical="center"/>
    </xf>
    <xf numFmtId="0" fontId="23" fillId="3" borderId="20" xfId="6" applyFont="1" applyFill="1" applyBorder="1" applyAlignment="1">
      <alignment horizontal="center" vertical="center"/>
    </xf>
    <xf numFmtId="0" fontId="23" fillId="3" borderId="4" xfId="6" applyFont="1" applyFill="1" applyBorder="1" applyAlignment="1">
      <alignment horizontal="center" vertical="center"/>
    </xf>
    <xf numFmtId="0" fontId="9" fillId="0" borderId="3" xfId="6" applyFont="1" applyBorder="1" applyAlignment="1">
      <alignment horizontal="center" vertical="center" wrapText="1"/>
    </xf>
    <xf numFmtId="0" fontId="9" fillId="0" borderId="20" xfId="6" applyFont="1" applyBorder="1" applyAlignment="1">
      <alignment horizontal="center" vertical="center" wrapText="1"/>
    </xf>
    <xf numFmtId="0" fontId="9" fillId="0" borderId="4" xfId="6" applyFont="1" applyBorder="1" applyAlignment="1">
      <alignment horizontal="center" vertical="center" wrapText="1"/>
    </xf>
    <xf numFmtId="0" fontId="9" fillId="0" borderId="3" xfId="6" applyFont="1" applyBorder="1" applyAlignment="1">
      <alignment horizontal="center" vertical="center"/>
    </xf>
    <xf numFmtId="0" fontId="9" fillId="0" borderId="20" xfId="6" applyFont="1" applyBorder="1" applyAlignment="1">
      <alignment horizontal="center" vertical="center"/>
    </xf>
    <xf numFmtId="0" fontId="9" fillId="0" borderId="4" xfId="6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0" fillId="0" borderId="9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</cellXfs>
  <cellStyles count="14">
    <cellStyle name="Hipervínculo 2" xfId="10" xr:uid="{DC2485E7-F579-F64F-AE9C-29C8C0C89533}"/>
    <cellStyle name="Millares" xfId="1" builtinId="3"/>
    <cellStyle name="Millares [0] 2" xfId="12" xr:uid="{CD7C46F0-FFD1-A948-B281-30F87F7EDF37}"/>
    <cellStyle name="Millares 2" xfId="3" xr:uid="{34C84474-753D-6F4D-97CE-6B1210F12224}"/>
    <cellStyle name="Millares 2 2" xfId="8" xr:uid="{CE6592F1-FEC0-9A41-8391-FA5371BB82AD}"/>
    <cellStyle name="Millares 3" xfId="5" xr:uid="{E722E02A-77F8-6243-8DB9-A4F076939724}"/>
    <cellStyle name="Moneda" xfId="13" builtinId="4"/>
    <cellStyle name="Normal" xfId="0" builtinId="0"/>
    <cellStyle name="Normal 2 3" xfId="7" xr:uid="{952540DE-5ECA-D447-93F0-0D7EF25E77B0}"/>
    <cellStyle name="Normal_Bairs_Abaco_Temp_March_15_2010" xfId="11" xr:uid="{FCF59D66-8DF1-D149-BBA1-06F3670E43DA}"/>
    <cellStyle name="Normal_Budget 2008-09 NUEVO AJUSTADO enero 14" xfId="6" xr:uid="{D826629A-4A54-6F41-B4C6-51F1142DD8ED}"/>
    <cellStyle name="Normal_Report_Anual_Capital_Trabajo_Temp_2008-2009" xfId="9" xr:uid="{4B59A4F8-4C54-2C44-8AC5-311237DD492D}"/>
    <cellStyle name="Porcentaje" xfId="2" builtinId="5"/>
    <cellStyle name="Porcentaje 2" xfId="4" xr:uid="{043A9586-55F0-C548-9BDF-AA8635380E56}"/>
  </cellStyles>
  <dxfs count="13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/>
        <condense val="0"/>
        <extend val="0"/>
        <color indexed="9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163286</xdr:colOff>
      <xdr:row>0</xdr:row>
      <xdr:rowOff>0</xdr:rowOff>
    </xdr:from>
    <xdr:ext cx="184731" cy="264560"/>
    <xdr:sp macro="" textlink="">
      <xdr:nvSpPr>
        <xdr:cNvPr id="2" name="1 CuadroTexto">
          <a:extLst>
            <a:ext uri="{FF2B5EF4-FFF2-40B4-BE49-F238E27FC236}">
              <a16:creationId xmlns:a16="http://schemas.microsoft.com/office/drawing/2014/main" id="{84564AAC-A331-A748-9433-4539C5C7AB5B}"/>
            </a:ext>
          </a:extLst>
        </xdr:cNvPr>
        <xdr:cNvSpPr txBox="1"/>
      </xdr:nvSpPr>
      <xdr:spPr>
        <a:xfrm>
          <a:off x="10742386" y="126691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7</xdr:col>
      <xdr:colOff>163286</xdr:colOff>
      <xdr:row>54</xdr:row>
      <xdr:rowOff>108857</xdr:rowOff>
    </xdr:from>
    <xdr:ext cx="184731" cy="264560"/>
    <xdr:sp macro="" textlink="">
      <xdr:nvSpPr>
        <xdr:cNvPr id="3" name="1 CuadroTexto">
          <a:extLst>
            <a:ext uri="{FF2B5EF4-FFF2-40B4-BE49-F238E27FC236}">
              <a16:creationId xmlns:a16="http://schemas.microsoft.com/office/drawing/2014/main" id="{FA74E706-1A05-0A4E-8F10-9A1C3FF2D340}"/>
            </a:ext>
          </a:extLst>
        </xdr:cNvPr>
        <xdr:cNvSpPr txBox="1"/>
      </xdr:nvSpPr>
      <xdr:spPr>
        <a:xfrm>
          <a:off x="10742386" y="126691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152400</xdr:colOff>
      <xdr:row>0</xdr:row>
      <xdr:rowOff>151039</xdr:rowOff>
    </xdr:from>
    <xdr:to>
      <xdr:col>1</xdr:col>
      <xdr:colOff>1903963</xdr:colOff>
      <xdr:row>6</xdr:row>
      <xdr:rowOff>54466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0FCD799-3E04-1047-B641-F6C8830935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525" y="151039"/>
          <a:ext cx="1751563" cy="178574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MarinaGarcia/Library/Containers/com.apple.mail/Data/Library/Mail%20Downloads/DE79BE6B-8EC8-4210-BAE5-97E51E2CA816/Base_Reporte_2023_2024_TUC-TOB_al_31-07-2024.xlsx" TargetMode="External"/><Relationship Id="rId1" Type="http://schemas.openxmlformats.org/officeDocument/2006/relationships/externalLinkPath" Target="/Users/MarinaGarcia/Library/Containers/com.apple.mail/Data/Library/Mail%20Downloads/DE79BE6B-8EC8-4210-BAE5-97E51E2CA816/Base_Reporte_2023_2024_TUC-TOB_al_31-07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v_Analizados_Sept23 - Mar 24"/>
      <sheetName val="Mov_Analizados_Abr 24"/>
      <sheetName val="Mov_Analizados_Mayo 24"/>
      <sheetName val="Mov_Analizados_Junio 24"/>
      <sheetName val="Mov_Analizados_Julio 24"/>
      <sheetName val="Resumen_Base"/>
      <sheetName val="Plan Cuentas Link Armado"/>
      <sheetName val="Budget Comparativo"/>
      <sheetName val="Stock - Deudas"/>
      <sheetName val="Comparativo_Extras TUC"/>
    </sheetNames>
    <sheetDataSet>
      <sheetData sheetId="0"/>
      <sheetData sheetId="1"/>
      <sheetData sheetId="2"/>
      <sheetData sheetId="3"/>
      <sheetData sheetId="4"/>
      <sheetData sheetId="5">
        <row r="2">
          <cell r="Y2">
            <v>720084.38658250845</v>
          </cell>
        </row>
        <row r="5">
          <cell r="Y5">
            <v>327229.93395397183</v>
          </cell>
        </row>
        <row r="7">
          <cell r="A7" t="str">
            <v>INSERT</v>
          </cell>
          <cell r="Y7" t="str">
            <v>INSERT</v>
          </cell>
        </row>
        <row r="8">
          <cell r="A8" t="str">
            <v>Fixed Asset's Payments (Investments) Mejoras/equipamiento Lodge</v>
          </cell>
          <cell r="Y8">
            <v>31217.670429845937</v>
          </cell>
        </row>
        <row r="9">
          <cell r="A9" t="str">
            <v>Fixed Asset's Payments (Investments) Mejoras/equipamiento Lodge</v>
          </cell>
          <cell r="Y9">
            <v>1790.6474820143885</v>
          </cell>
        </row>
        <row r="10">
          <cell r="A10" t="str">
            <v>Fixed Asset's Payments (Investments) Mejoras/equipamiento Lodge</v>
          </cell>
          <cell r="Y10">
            <v>1688.8678037703551</v>
          </cell>
        </row>
        <row r="11">
          <cell r="A11" t="str">
            <v>Fixed Asset's Payments (Investments) Mejoras/equipamiento Lodge</v>
          </cell>
          <cell r="Y11">
            <v>19937.201663077882</v>
          </cell>
        </row>
        <row r="12">
          <cell r="A12" t="str">
            <v>Fixed Asset's Payments (Investments) Mejoras/equipamiento Lodge</v>
          </cell>
          <cell r="Y12">
            <v>3151.3952089110821</v>
          </cell>
        </row>
        <row r="13">
          <cell r="A13" t="str">
            <v>Fixed Asset's Payments (Investments) Rodados/Lanchas</v>
          </cell>
          <cell r="Y13">
            <v>0</v>
          </cell>
        </row>
        <row r="14">
          <cell r="A14" t="str">
            <v>Fixed Asset's Payments (Investments) Mejoras/equipamiento Lodge</v>
          </cell>
          <cell r="Y14">
            <v>329.83294085852896</v>
          </cell>
        </row>
        <row r="15">
          <cell r="A15" t="str">
            <v>Fixed Asset's Payments (Investments) Armas</v>
          </cell>
          <cell r="Y15">
            <v>58504.207611940299</v>
          </cell>
        </row>
        <row r="16">
          <cell r="A16" t="str">
            <v>Fixed Asset's Payments (Investments) Mejoras/equipamiento Lodge</v>
          </cell>
          <cell r="Y16">
            <v>7303.3064826875079</v>
          </cell>
        </row>
        <row r="17">
          <cell r="A17" t="str">
            <v>Fixed Asset's Payments (Investments) Mejoras/equipamiento Lodge</v>
          </cell>
          <cell r="Y17">
            <v>0</v>
          </cell>
        </row>
        <row r="18">
          <cell r="A18" t="str">
            <v>Communications - Phone, internet and satellite TV</v>
          </cell>
          <cell r="Y18">
            <v>711.50885853096509</v>
          </cell>
        </row>
        <row r="19">
          <cell r="A19" t="str">
            <v>Food &amp; Wine</v>
          </cell>
          <cell r="Y19">
            <v>7499.0247091542369</v>
          </cell>
        </row>
        <row r="20">
          <cell r="A20" t="str">
            <v>Miscellaneous &amp; Shipping</v>
          </cell>
          <cell r="Y20">
            <v>2643.48479103815</v>
          </cell>
        </row>
        <row r="21">
          <cell r="A21" t="str">
            <v>Miscellaneous &amp; Shipping</v>
          </cell>
          <cell r="Y21">
            <v>2861.6135110286596</v>
          </cell>
        </row>
        <row r="22">
          <cell r="A22" t="str">
            <v>Miscellaneous &amp; Shipping</v>
          </cell>
          <cell r="Y22">
            <v>0</v>
          </cell>
        </row>
        <row r="23">
          <cell r="A23" t="str">
            <v>Miscellaneous &amp; Shipping</v>
          </cell>
          <cell r="Y23">
            <v>0</v>
          </cell>
        </row>
        <row r="24">
          <cell r="A24" t="str">
            <v>Miscellaneous &amp; Shipping</v>
          </cell>
          <cell r="Y24">
            <v>405.82211206459345</v>
          </cell>
        </row>
        <row r="25">
          <cell r="A25" t="str">
            <v>Electricity</v>
          </cell>
          <cell r="Y25">
            <v>1096.8409781512523</v>
          </cell>
        </row>
        <row r="26">
          <cell r="A26" t="str">
            <v>Propane</v>
          </cell>
          <cell r="Y26">
            <v>480.19234864231532</v>
          </cell>
        </row>
        <row r="27">
          <cell r="A27" t="str">
            <v>Food &amp; Wine</v>
          </cell>
          <cell r="Y27">
            <v>57259.269338930659</v>
          </cell>
        </row>
        <row r="28">
          <cell r="A28" t="str">
            <v>Food &amp; Wine</v>
          </cell>
          <cell r="Y28">
            <v>40</v>
          </cell>
        </row>
        <row r="29">
          <cell r="A29" t="str">
            <v>Food &amp; Wine</v>
          </cell>
          <cell r="Y29">
            <v>4169.0304030968455</v>
          </cell>
        </row>
        <row r="30">
          <cell r="A30" t="str">
            <v>Maintenance Lodge</v>
          </cell>
          <cell r="Y30">
            <v>7122.5664114934343</v>
          </cell>
        </row>
        <row r="31">
          <cell r="A31" t="str">
            <v>Electricity</v>
          </cell>
          <cell r="Y31">
            <v>113.25564110939794</v>
          </cell>
        </row>
        <row r="32">
          <cell r="A32" t="str">
            <v>Communications - Phone, internet and satellite TV</v>
          </cell>
          <cell r="Y32">
            <v>0</v>
          </cell>
        </row>
        <row r="33">
          <cell r="A33" t="str">
            <v>Travel for personnel (employees)</v>
          </cell>
          <cell r="Y33">
            <v>1576.6003595604022</v>
          </cell>
        </row>
        <row r="34">
          <cell r="A34" t="str">
            <v>Work uniforms for personnel (employees)</v>
          </cell>
          <cell r="Y34">
            <v>4515.0171984598965</v>
          </cell>
        </row>
        <row r="35">
          <cell r="A35" t="str">
            <v>Electricity - Gas for Boats &amp; Vehicles</v>
          </cell>
          <cell r="Y35">
            <v>5731.7846013724829</v>
          </cell>
        </row>
        <row r="36">
          <cell r="A36" t="str">
            <v>Electricity - Gas for Boats &amp; Vehicles</v>
          </cell>
          <cell r="Y36">
            <v>18167.467147210118</v>
          </cell>
        </row>
        <row r="37">
          <cell r="A37" t="str">
            <v>Maintenance  Boats / Vehicles</v>
          </cell>
          <cell r="Y37">
            <v>9300.9016013052096</v>
          </cell>
        </row>
        <row r="38">
          <cell r="A38" t="str">
            <v>Maintenance  Equipment</v>
          </cell>
          <cell r="Y38">
            <v>6436.1778612986827</v>
          </cell>
        </row>
        <row r="39">
          <cell r="A39" t="str">
            <v>Travel for personnel (employees)</v>
          </cell>
          <cell r="Y39">
            <v>0</v>
          </cell>
        </row>
        <row r="40">
          <cell r="A40" t="str">
            <v>Licenses / Permits (Fishing and Shooting)</v>
          </cell>
          <cell r="Y40">
            <v>17.703834053218152</v>
          </cell>
        </row>
        <row r="41">
          <cell r="A41" t="str">
            <v>Licenses / Permits (Fishing and Shooting)</v>
          </cell>
          <cell r="Y41">
            <v>1858.7767237942198</v>
          </cell>
        </row>
        <row r="42">
          <cell r="A42" t="str">
            <v>Fixed Asset's Sales</v>
          </cell>
          <cell r="Y42">
            <v>-3403.6309776950038</v>
          </cell>
        </row>
        <row r="43">
          <cell r="A43" t="str">
            <v>Shop</v>
          </cell>
          <cell r="Y43">
            <v>-14921.996470930451</v>
          </cell>
        </row>
        <row r="44">
          <cell r="A44" t="str">
            <v>Extras</v>
          </cell>
          <cell r="Y44">
            <v>-23545.342857142852</v>
          </cell>
        </row>
        <row r="45">
          <cell r="A45" t="str">
            <v>Extras</v>
          </cell>
          <cell r="Y45">
            <v>5780</v>
          </cell>
        </row>
        <row r="46">
          <cell r="A46" t="str">
            <v>Extras</v>
          </cell>
          <cell r="Y46">
            <v>-16839.045392392767</v>
          </cell>
        </row>
        <row r="47">
          <cell r="A47" t="str">
            <v>Extras</v>
          </cell>
          <cell r="Y47">
            <v>3420.7033074859287</v>
          </cell>
        </row>
        <row r="48">
          <cell r="A48" t="str">
            <v>Extras</v>
          </cell>
          <cell r="Y48">
            <v>-4573.1928858290303</v>
          </cell>
        </row>
        <row r="49">
          <cell r="A49" t="str">
            <v>Extras</v>
          </cell>
          <cell r="Y49">
            <v>-5802.8776978417263</v>
          </cell>
        </row>
        <row r="50">
          <cell r="A50" t="str">
            <v>Extras</v>
          </cell>
          <cell r="Y50">
            <v>150</v>
          </cell>
        </row>
        <row r="51">
          <cell r="A51" t="str">
            <v>Extras</v>
          </cell>
          <cell r="Y51">
            <v>0</v>
          </cell>
        </row>
        <row r="52">
          <cell r="A52" t="str">
            <v>Gun Rental</v>
          </cell>
          <cell r="Y52">
            <v>-112085.38274154706</v>
          </cell>
        </row>
        <row r="53">
          <cell r="A53" t="str">
            <v>Gun Rental</v>
          </cell>
          <cell r="Y53">
            <v>18443.032225054281</v>
          </cell>
        </row>
        <row r="54">
          <cell r="A54" t="str">
            <v>Transfer to and from the airport (local taxi) - Vehicle Rental</v>
          </cell>
          <cell r="Y54">
            <v>302.54105330398784</v>
          </cell>
        </row>
        <row r="55">
          <cell r="A55" t="str">
            <v>Insurance for lodge and boats</v>
          </cell>
          <cell r="Y55">
            <v>8068.6944700999684</v>
          </cell>
        </row>
        <row r="56">
          <cell r="A56" t="str">
            <v>Vehicles Taxes</v>
          </cell>
          <cell r="Y56">
            <v>1316.1972542799354</v>
          </cell>
        </row>
        <row r="57">
          <cell r="A57" t="str">
            <v>Transfer to and from the airport (local taxi) - Vehicle Rental</v>
          </cell>
          <cell r="Y57">
            <v>15623.110728415642</v>
          </cell>
        </row>
        <row r="58">
          <cell r="A58" t="str">
            <v>Services/House</v>
          </cell>
          <cell r="Y58">
            <v>87434.058210290139</v>
          </cell>
        </row>
        <row r="59">
          <cell r="A59" t="str">
            <v>Guides</v>
          </cell>
          <cell r="Y59">
            <v>50566.132852710783</v>
          </cell>
        </row>
        <row r="60">
          <cell r="A60" t="str">
            <v>Manager</v>
          </cell>
          <cell r="Y60">
            <v>25467.789999999997</v>
          </cell>
        </row>
        <row r="61">
          <cell r="A61" t="str">
            <v>Social Security Contributions</v>
          </cell>
          <cell r="Y61">
            <v>7280.7599999999993</v>
          </cell>
        </row>
        <row r="62">
          <cell r="A62" t="str">
            <v>Social Security Contributions</v>
          </cell>
          <cell r="Y62">
            <v>2052.0705400203628</v>
          </cell>
        </row>
        <row r="63">
          <cell r="A63" t="str">
            <v>Vehicles Taxes</v>
          </cell>
          <cell r="Y63">
            <v>0</v>
          </cell>
        </row>
        <row r="64">
          <cell r="A64" t="str">
            <v>Maintenance Lodge</v>
          </cell>
          <cell r="Y64">
            <v>415.65985168315996</v>
          </cell>
        </row>
        <row r="65">
          <cell r="A65" t="str">
            <v>Fixed Asset's Payments (Investments) Rodados/Lanchas</v>
          </cell>
          <cell r="Y65">
            <v>0</v>
          </cell>
        </row>
        <row r="66">
          <cell r="A66" t="str">
            <v>Field:</v>
          </cell>
          <cell r="Y66">
            <v>8835.6503765516463</v>
          </cell>
        </row>
        <row r="67">
          <cell r="A67" t="str">
            <v>Canon Lodge/Labor Permits:</v>
          </cell>
          <cell r="Y67">
            <v>13200</v>
          </cell>
        </row>
        <row r="68">
          <cell r="A68" t="str">
            <v>Social Security Contributions</v>
          </cell>
          <cell r="Y68">
            <v>4110.7800000000007</v>
          </cell>
        </row>
        <row r="69">
          <cell r="A69" t="str">
            <v>Communications - Phone, internet and satellite TV</v>
          </cell>
          <cell r="Y69">
            <v>4.0540540540540544</v>
          </cell>
        </row>
        <row r="70">
          <cell r="A70" t="str">
            <v>Baiting/Maize:</v>
          </cell>
          <cell r="Y70">
            <v>0</v>
          </cell>
        </row>
        <row r="91">
          <cell r="A91" t="str">
            <v>INSERT</v>
          </cell>
          <cell r="Y91" t="str">
            <v>INSERT</v>
          </cell>
        </row>
        <row r="92">
          <cell r="Y92">
            <v>392854.45262853609</v>
          </cell>
        </row>
        <row r="94">
          <cell r="A94" t="str">
            <v>INSERT</v>
          </cell>
          <cell r="Y94" t="str">
            <v>INSERT</v>
          </cell>
        </row>
        <row r="95">
          <cell r="A95" t="str">
            <v>Fixed Asset's Payments (Investments) Mejoras/equipamiento Lodge</v>
          </cell>
          <cell r="Y95">
            <v>2891.6134802179577</v>
          </cell>
        </row>
        <row r="96">
          <cell r="A96" t="str">
            <v>Fixed Asset's Payments (Investments) Mejoras/equipamiento Lodge</v>
          </cell>
          <cell r="Y96">
            <v>0</v>
          </cell>
        </row>
        <row r="97">
          <cell r="A97" t="str">
            <v>Fixed Asset's Payments (Investments) Mejoras/equipamiento Lodge</v>
          </cell>
          <cell r="Y97">
            <v>261.14527231329691</v>
          </cell>
        </row>
        <row r="98">
          <cell r="A98" t="str">
            <v>Fixed Asset's Payments (Investments) Mejoras/equipamiento Lodge</v>
          </cell>
          <cell r="Y98">
            <v>17514.498602066877</v>
          </cell>
        </row>
        <row r="99">
          <cell r="A99" t="str">
            <v>Fixed Asset's Payments (Investments) Mejoras/equipamiento Lodge</v>
          </cell>
          <cell r="Y99">
            <v>2360.0022747130606</v>
          </cell>
        </row>
        <row r="100">
          <cell r="A100" t="str">
            <v>Fixed Asset's Payments (Investments) Rodados/Lanchas</v>
          </cell>
          <cell r="Y100">
            <v>0</v>
          </cell>
        </row>
        <row r="101">
          <cell r="A101" t="str">
            <v>Fixed Asset's Payments (Investments) Mejoras/equipamiento Lodge</v>
          </cell>
          <cell r="Y101">
            <v>255.89928057553956</v>
          </cell>
        </row>
        <row r="102">
          <cell r="A102" t="str">
            <v>Fixed Asset's Payments (Investments) Armas</v>
          </cell>
          <cell r="Y102">
            <v>23400</v>
          </cell>
        </row>
        <row r="103">
          <cell r="A103" t="str">
            <v>Fixed Asset's Payments (Investments) Mejoras/equipamiento Lodge</v>
          </cell>
          <cell r="Y103">
            <v>321564.99814353313</v>
          </cell>
        </row>
        <row r="104">
          <cell r="A104" t="str">
            <v>Fixed Asset's Payments (Investments) Mejoras/equipamiento Lodge</v>
          </cell>
          <cell r="Y104">
            <v>0</v>
          </cell>
        </row>
        <row r="105">
          <cell r="A105" t="str">
            <v>Communications - Phone, internet and satellite TV</v>
          </cell>
          <cell r="Y105">
            <v>140.72784313725489</v>
          </cell>
        </row>
        <row r="106">
          <cell r="A106" t="str">
            <v>Food &amp; Wine</v>
          </cell>
          <cell r="Y106">
            <v>1591.1554776046789</v>
          </cell>
        </row>
        <row r="107">
          <cell r="A107" t="str">
            <v>Miscellaneous &amp; Shipping</v>
          </cell>
          <cell r="Y107">
            <v>264.12</v>
          </cell>
        </row>
        <row r="108">
          <cell r="A108" t="str">
            <v>Miscellaneous &amp; Shipping</v>
          </cell>
          <cell r="Y108">
            <v>891.12087095119273</v>
          </cell>
        </row>
        <row r="109">
          <cell r="A109" t="str">
            <v>Miscellaneous &amp; Shipping</v>
          </cell>
          <cell r="Y109">
            <v>0</v>
          </cell>
        </row>
        <row r="110">
          <cell r="A110" t="str">
            <v>Miscellaneous &amp; Shipping</v>
          </cell>
          <cell r="Y110">
            <v>0</v>
          </cell>
        </row>
        <row r="111">
          <cell r="A111" t="str">
            <v>Miscellaneous &amp; Shipping</v>
          </cell>
          <cell r="Y111">
            <v>40.619047619047308</v>
          </cell>
        </row>
        <row r="112">
          <cell r="A112" t="str">
            <v>Electricity</v>
          </cell>
          <cell r="Y112">
            <v>759.8126755370489</v>
          </cell>
        </row>
        <row r="113">
          <cell r="A113" t="str">
            <v>Propane</v>
          </cell>
          <cell r="Y113">
            <v>541.38804956809236</v>
          </cell>
        </row>
        <row r="114">
          <cell r="A114" t="str">
            <v>Food &amp; Wine</v>
          </cell>
          <cell r="Y114">
            <v>8328.0636418505364</v>
          </cell>
        </row>
        <row r="115">
          <cell r="A115" t="str">
            <v>Food &amp; Wine</v>
          </cell>
          <cell r="Y115">
            <v>1017.2511626148356</v>
          </cell>
        </row>
        <row r="116">
          <cell r="A116" t="str">
            <v>Food &amp; Wine</v>
          </cell>
          <cell r="Y116">
            <v>899.05930952703659</v>
          </cell>
        </row>
        <row r="117">
          <cell r="A117" t="str">
            <v>Maintenance Lodge</v>
          </cell>
          <cell r="Y117">
            <v>1877.5961279670773</v>
          </cell>
        </row>
        <row r="118">
          <cell r="A118" t="str">
            <v>Electricity</v>
          </cell>
          <cell r="Y118">
            <v>417.71847577833876</v>
          </cell>
        </row>
        <row r="119">
          <cell r="A119" t="str">
            <v>Communications - Phone, internet and satellite TV</v>
          </cell>
          <cell r="Y119">
            <v>0</v>
          </cell>
        </row>
        <row r="120">
          <cell r="A120" t="str">
            <v>Travel for personnel (employees)</v>
          </cell>
          <cell r="Y120">
            <v>573.7716863306415</v>
          </cell>
        </row>
        <row r="121">
          <cell r="A121" t="str">
            <v>Work uniforms for personnel (employees)</v>
          </cell>
          <cell r="Y121">
            <v>275.83409324459615</v>
          </cell>
        </row>
        <row r="122">
          <cell r="A122" t="str">
            <v>Electricity - Gas for Boats &amp; Vehicles</v>
          </cell>
          <cell r="Y122">
            <v>1257.369154186378</v>
          </cell>
        </row>
        <row r="123">
          <cell r="A123" t="str">
            <v>Electricity - Gas for Boats &amp; Vehicles</v>
          </cell>
          <cell r="Y123">
            <v>0</v>
          </cell>
        </row>
        <row r="124">
          <cell r="A124" t="str">
            <v>Maintenance  Boats / Vehicles</v>
          </cell>
          <cell r="Y124">
            <v>1216.9546321331757</v>
          </cell>
        </row>
        <row r="125">
          <cell r="A125" t="str">
            <v>Maintenance  Equipment</v>
          </cell>
          <cell r="Y125">
            <v>102.87023076254467</v>
          </cell>
        </row>
        <row r="126">
          <cell r="A126" t="str">
            <v>Travel for personnel (employees)</v>
          </cell>
          <cell r="Y126">
            <v>301.63934426229508</v>
          </cell>
        </row>
        <row r="127">
          <cell r="A127" t="str">
            <v>Licenses / Permits (Fishing and Shooting)</v>
          </cell>
          <cell r="Y127">
            <v>0</v>
          </cell>
        </row>
        <row r="128">
          <cell r="A128" t="str">
            <v>Licenses / Permits (Fishing and Shooting)</v>
          </cell>
          <cell r="Y128">
            <v>21.276595744680851</v>
          </cell>
        </row>
        <row r="129">
          <cell r="A129" t="str">
            <v>Fixed Asset's Sales</v>
          </cell>
          <cell r="Y129">
            <v>0</v>
          </cell>
        </row>
        <row r="130">
          <cell r="A130" t="str">
            <v>Shop</v>
          </cell>
          <cell r="Y130">
            <v>-220</v>
          </cell>
        </row>
        <row r="131">
          <cell r="A131" t="str">
            <v>Extras</v>
          </cell>
          <cell r="Y131">
            <v>0</v>
          </cell>
        </row>
        <row r="132">
          <cell r="A132" t="str">
            <v>Extras</v>
          </cell>
          <cell r="Y132">
            <v>0</v>
          </cell>
        </row>
        <row r="133">
          <cell r="A133" t="str">
            <v>Extras</v>
          </cell>
          <cell r="Y133">
            <v>0</v>
          </cell>
        </row>
        <row r="134">
          <cell r="A134" t="str">
            <v>Extras</v>
          </cell>
          <cell r="Y134">
            <v>0</v>
          </cell>
        </row>
        <row r="135">
          <cell r="A135" t="str">
            <v>Extras</v>
          </cell>
          <cell r="Y135">
            <v>0</v>
          </cell>
        </row>
        <row r="136">
          <cell r="A136" t="str">
            <v>Extras</v>
          </cell>
          <cell r="Y136">
            <v>-60</v>
          </cell>
        </row>
        <row r="137">
          <cell r="A137" t="str">
            <v>Extras</v>
          </cell>
          <cell r="Y137">
            <v>0</v>
          </cell>
        </row>
        <row r="138">
          <cell r="A138" t="str">
            <v>Extras</v>
          </cell>
          <cell r="Y138">
            <v>0</v>
          </cell>
        </row>
        <row r="139">
          <cell r="A139" t="str">
            <v>Gun Rental</v>
          </cell>
          <cell r="Y139">
            <v>-8520</v>
          </cell>
        </row>
        <row r="140">
          <cell r="A140" t="str">
            <v>Gun Rental</v>
          </cell>
          <cell r="Y140">
            <v>150</v>
          </cell>
        </row>
        <row r="141">
          <cell r="A141" t="str">
            <v>Transfer to and from the airport (local taxi) - Vehicle Rental</v>
          </cell>
          <cell r="Y141">
            <v>607.19202914788161</v>
          </cell>
        </row>
        <row r="142">
          <cell r="A142" t="str">
            <v>Insurance for lodge and boats</v>
          </cell>
          <cell r="Y142">
            <v>67.178133333333335</v>
          </cell>
        </row>
        <row r="143">
          <cell r="A143" t="str">
            <v>Vehicles Taxes</v>
          </cell>
          <cell r="Y143">
            <v>0</v>
          </cell>
        </row>
        <row r="144">
          <cell r="A144" t="str">
            <v>Transfer to and from the airport (local taxi) - Vehicle Rental</v>
          </cell>
          <cell r="Y144">
            <v>0</v>
          </cell>
        </row>
        <row r="145">
          <cell r="A145" t="str">
            <v>Services/House</v>
          </cell>
          <cell r="Y145">
            <v>5635.0243093436311</v>
          </cell>
        </row>
        <row r="146">
          <cell r="A146" t="str">
            <v>Guides</v>
          </cell>
          <cell r="Y146">
            <v>1577.1186440677966</v>
          </cell>
        </row>
        <row r="147">
          <cell r="A147" t="str">
            <v>Manager</v>
          </cell>
          <cell r="Y147">
            <v>2858.58</v>
          </cell>
        </row>
        <row r="148">
          <cell r="A148" t="str">
            <v>Social Security Contributions</v>
          </cell>
          <cell r="Y148">
            <v>1254.6300000000001</v>
          </cell>
        </row>
        <row r="149">
          <cell r="A149" t="str">
            <v>Social Security Contributions</v>
          </cell>
          <cell r="Y149">
            <v>0</v>
          </cell>
        </row>
        <row r="150">
          <cell r="A150" t="str">
            <v>Vehicles Taxes</v>
          </cell>
          <cell r="Y150">
            <v>0</v>
          </cell>
        </row>
        <row r="151">
          <cell r="A151" t="str">
            <v>Maintenance Lodge</v>
          </cell>
          <cell r="Y151">
            <v>0</v>
          </cell>
        </row>
        <row r="152">
          <cell r="A152" t="str">
            <v>Fixed Asset's Payments (Investments) Rodados/Lanchas</v>
          </cell>
          <cell r="Y152">
            <v>0</v>
          </cell>
        </row>
        <row r="153">
          <cell r="A153" t="str">
            <v>Field:</v>
          </cell>
          <cell r="Y153">
            <v>0</v>
          </cell>
        </row>
        <row r="154">
          <cell r="A154" t="str">
            <v>Canon Lodge/Labor Permits:</v>
          </cell>
          <cell r="Y154">
            <v>0</v>
          </cell>
        </row>
        <row r="155">
          <cell r="A155" t="str">
            <v>Social Security Contributions</v>
          </cell>
          <cell r="Y155">
            <v>697.81999999999994</v>
          </cell>
        </row>
        <row r="156">
          <cell r="A156" t="str">
            <v>Communications - Phone, internet and satellite TV</v>
          </cell>
          <cell r="Y156">
            <v>0</v>
          </cell>
        </row>
        <row r="157">
          <cell r="A157" t="str">
            <v>Baiting/Maize:</v>
          </cell>
          <cell r="Y157">
            <v>40.404040404040401</v>
          </cell>
        </row>
        <row r="160">
          <cell r="A160" t="str">
            <v>INSERT</v>
          </cell>
          <cell r="Y160" t="str">
            <v>INSERT</v>
          </cell>
        </row>
      </sheetData>
      <sheetData sheetId="6"/>
      <sheetData sheetId="7">
        <row r="8">
          <cell r="D8">
            <v>1200</v>
          </cell>
          <cell r="F8">
            <v>1039</v>
          </cell>
          <cell r="K8">
            <v>160</v>
          </cell>
          <cell r="M8">
            <v>79</v>
          </cell>
          <cell r="Y8">
            <v>1200</v>
          </cell>
          <cell r="Z8">
            <v>1039</v>
          </cell>
          <cell r="AF8">
            <v>160</v>
          </cell>
          <cell r="AG8">
            <v>79</v>
          </cell>
        </row>
        <row r="9">
          <cell r="D9">
            <v>400</v>
          </cell>
          <cell r="F9">
            <v>338</v>
          </cell>
          <cell r="K9">
            <v>80</v>
          </cell>
          <cell r="M9">
            <v>55</v>
          </cell>
        </row>
        <row r="10">
          <cell r="D10">
            <v>12</v>
          </cell>
          <cell r="F10">
            <v>11</v>
          </cell>
          <cell r="K10">
            <v>12</v>
          </cell>
          <cell r="M10">
            <v>11</v>
          </cell>
        </row>
        <row r="14">
          <cell r="B14" t="str">
            <v>Shop</v>
          </cell>
          <cell r="D14">
            <v>30000</v>
          </cell>
          <cell r="F14">
            <v>14921.996470930451</v>
          </cell>
          <cell r="K14">
            <v>800</v>
          </cell>
          <cell r="M14">
            <v>220</v>
          </cell>
        </row>
        <row r="15">
          <cell r="B15" t="str">
            <v>Extras</v>
          </cell>
          <cell r="D15">
            <v>28800</v>
          </cell>
          <cell r="F15">
            <v>40679.755525720451</v>
          </cell>
          <cell r="K15">
            <v>1600</v>
          </cell>
          <cell r="M15">
            <v>60</v>
          </cell>
        </row>
        <row r="16">
          <cell r="B16" t="str">
            <v>Gun Rental</v>
          </cell>
          <cell r="D16">
            <v>101400</v>
          </cell>
          <cell r="F16">
            <v>93642.350516492777</v>
          </cell>
          <cell r="K16">
            <v>13520</v>
          </cell>
          <cell r="M16">
            <v>8370</v>
          </cell>
        </row>
        <row r="23">
          <cell r="D23">
            <v>36800</v>
          </cell>
          <cell r="F23">
            <v>22035.650376551646</v>
          </cell>
          <cell r="K23">
            <v>3000</v>
          </cell>
          <cell r="M23">
            <v>40.404040404040401</v>
          </cell>
        </row>
        <row r="24">
          <cell r="B24" t="str">
            <v>Canon Lodge/Labor Permits:</v>
          </cell>
          <cell r="D24">
            <v>14200</v>
          </cell>
          <cell r="F24">
            <v>13200</v>
          </cell>
          <cell r="K24">
            <v>0</v>
          </cell>
          <cell r="M24">
            <v>0</v>
          </cell>
        </row>
        <row r="25">
          <cell r="B25" t="str">
            <v>Field:</v>
          </cell>
          <cell r="D25">
            <v>21600</v>
          </cell>
          <cell r="F25">
            <v>8835.6503765516463</v>
          </cell>
          <cell r="K25">
            <v>0</v>
          </cell>
          <cell r="M25">
            <v>0</v>
          </cell>
        </row>
        <row r="26">
          <cell r="B26" t="str">
            <v>Baiting/Maize:</v>
          </cell>
          <cell r="D26">
            <v>1000</v>
          </cell>
          <cell r="F26">
            <v>0</v>
          </cell>
          <cell r="K26">
            <v>3000</v>
          </cell>
          <cell r="M26">
            <v>40.404040404040401</v>
          </cell>
        </row>
        <row r="27">
          <cell r="D27">
            <v>102000</v>
          </cell>
          <cell r="F27">
            <v>100147.61160302129</v>
          </cell>
          <cell r="K27">
            <v>33192</v>
          </cell>
          <cell r="M27">
            <v>12023.172953411427</v>
          </cell>
        </row>
        <row r="28">
          <cell r="B28" t="str">
            <v>Manager</v>
          </cell>
          <cell r="D28">
            <v>30000</v>
          </cell>
          <cell r="F28">
            <v>31704.26</v>
          </cell>
          <cell r="K28">
            <v>3692</v>
          </cell>
          <cell r="M28">
            <v>2858.58</v>
          </cell>
        </row>
        <row r="29">
          <cell r="B29" t="str">
            <v>Guides</v>
          </cell>
          <cell r="D29">
            <v>26000</v>
          </cell>
          <cell r="F29">
            <v>25784.132852710783</v>
          </cell>
          <cell r="K29">
            <v>17500</v>
          </cell>
          <cell r="M29">
            <v>1577.1186440677966</v>
          </cell>
        </row>
        <row r="30">
          <cell r="B30" t="str">
            <v>Services/House</v>
          </cell>
          <cell r="D30">
            <v>35000</v>
          </cell>
          <cell r="F30">
            <v>29215.608210290142</v>
          </cell>
          <cell r="K30">
            <v>8000</v>
          </cell>
          <cell r="M30">
            <v>5635.0243093436311</v>
          </cell>
        </row>
        <row r="31">
          <cell r="B31" t="str">
            <v>Social Security Contributions</v>
          </cell>
          <cell r="D31">
            <v>11000</v>
          </cell>
          <cell r="F31">
            <v>13443.610540020363</v>
          </cell>
          <cell r="K31">
            <v>4000</v>
          </cell>
          <cell r="M31">
            <v>1952.45</v>
          </cell>
        </row>
        <row r="32">
          <cell r="B32" t="str">
            <v>Tips</v>
          </cell>
          <cell r="D32">
            <v>0</v>
          </cell>
          <cell r="K32">
            <v>0</v>
          </cell>
          <cell r="M32">
            <v>0</v>
          </cell>
        </row>
        <row r="33">
          <cell r="B33" t="str">
            <v>Food &amp; Wine</v>
          </cell>
          <cell r="D33">
            <v>66000</v>
          </cell>
          <cell r="F33">
            <v>64605.324451181732</v>
          </cell>
          <cell r="K33">
            <v>9600</v>
          </cell>
          <cell r="M33">
            <v>6870.5295915970873</v>
          </cell>
        </row>
        <row r="34">
          <cell r="D34">
            <v>25000</v>
          </cell>
          <cell r="F34">
            <v>24484.115343351237</v>
          </cell>
          <cell r="K34">
            <v>12200</v>
          </cell>
          <cell r="M34">
            <v>2976.288355069858</v>
          </cell>
        </row>
        <row r="35">
          <cell r="B35" t="str">
            <v>Electricity</v>
          </cell>
          <cell r="D35">
            <v>500</v>
          </cell>
          <cell r="F35">
            <v>1080.4324401561726</v>
          </cell>
          <cell r="K35">
            <v>6000</v>
          </cell>
          <cell r="M35">
            <v>1177.5311513153877</v>
          </cell>
        </row>
        <row r="36">
          <cell r="B36" t="str">
            <v>Electricity - Gas for Boats &amp; Vehicles</v>
          </cell>
          <cell r="D36">
            <v>24000</v>
          </cell>
          <cell r="F36">
            <v>22923.490554552751</v>
          </cell>
          <cell r="K36">
            <v>3200</v>
          </cell>
          <cell r="M36">
            <v>1257.369154186378</v>
          </cell>
        </row>
        <row r="37">
          <cell r="B37" t="str">
            <v>Propane</v>
          </cell>
          <cell r="D37">
            <v>500</v>
          </cell>
          <cell r="F37">
            <v>480.19234864231532</v>
          </cell>
          <cell r="K37">
            <v>3000</v>
          </cell>
          <cell r="M37">
            <v>541.38804956809236</v>
          </cell>
        </row>
        <row r="38">
          <cell r="B38" t="str">
            <v>Transfer to and from the airport (local taxi) - Vehicle Rental</v>
          </cell>
          <cell r="D38">
            <v>14400</v>
          </cell>
          <cell r="F38">
            <v>15925.651781719631</v>
          </cell>
          <cell r="K38">
            <v>2000</v>
          </cell>
          <cell r="M38">
            <v>607.19202914788161</v>
          </cell>
        </row>
        <row r="39">
          <cell r="B39" t="str">
            <v>Travel for personnel (employees)</v>
          </cell>
          <cell r="D39">
            <v>4000</v>
          </cell>
          <cell r="F39">
            <v>1576.6003595604022</v>
          </cell>
          <cell r="K39">
            <v>1000</v>
          </cell>
          <cell r="M39">
            <v>875.41103059293664</v>
          </cell>
        </row>
        <row r="40">
          <cell r="B40" t="str">
            <v>Work uniforms for personnel (employees)</v>
          </cell>
          <cell r="D40">
            <v>12000</v>
          </cell>
          <cell r="F40">
            <v>4515.0171984598965</v>
          </cell>
          <cell r="K40">
            <v>1000</v>
          </cell>
          <cell r="M40">
            <v>275.83409324459615</v>
          </cell>
        </row>
        <row r="41">
          <cell r="B41" t="str">
            <v>Licenses / Permits (Fishing and Shooting)</v>
          </cell>
          <cell r="D41">
            <v>1200</v>
          </cell>
          <cell r="F41">
            <v>1876.4805578474379</v>
          </cell>
          <cell r="K41">
            <v>1000</v>
          </cell>
          <cell r="M41">
            <v>21.276595744680851</v>
          </cell>
        </row>
        <row r="42">
          <cell r="D42">
            <v>20000</v>
          </cell>
          <cell r="F42">
            <v>23275.305725780487</v>
          </cell>
          <cell r="K42">
            <v>9000</v>
          </cell>
          <cell r="M42">
            <v>3197.4209908627972</v>
          </cell>
        </row>
        <row r="43">
          <cell r="B43" t="str">
            <v>Maintenance Lodge</v>
          </cell>
          <cell r="D43">
            <v>7000</v>
          </cell>
          <cell r="F43">
            <v>7538.2262631765943</v>
          </cell>
          <cell r="K43">
            <v>4000</v>
          </cell>
          <cell r="M43">
            <v>1877.5961279670773</v>
          </cell>
        </row>
        <row r="44">
          <cell r="B44" t="str">
            <v>Maintenance  Boats / Vehicles</v>
          </cell>
          <cell r="D44">
            <v>8000</v>
          </cell>
          <cell r="F44">
            <v>9300.9016013052096</v>
          </cell>
          <cell r="K44">
            <v>3000</v>
          </cell>
          <cell r="M44">
            <v>1216.9546321331757</v>
          </cell>
        </row>
        <row r="45">
          <cell r="B45" t="str">
            <v>Maintenance  Equipment</v>
          </cell>
          <cell r="D45">
            <v>5000</v>
          </cell>
          <cell r="F45">
            <v>6436.1778612986827</v>
          </cell>
          <cell r="K45">
            <v>2000</v>
          </cell>
          <cell r="M45">
            <v>102.87023076254467</v>
          </cell>
        </row>
        <row r="46">
          <cell r="B46" t="str">
            <v>Communications - Phone, internet and satellite TV</v>
          </cell>
          <cell r="D46">
            <v>1000</v>
          </cell>
          <cell r="F46">
            <v>715.56291258501915</v>
          </cell>
          <cell r="K46">
            <v>0</v>
          </cell>
          <cell r="M46">
            <v>140.72784313725489</v>
          </cell>
        </row>
        <row r="47">
          <cell r="B47" t="str">
            <v>Insurance for lodge and boats</v>
          </cell>
          <cell r="D47">
            <v>3500</v>
          </cell>
          <cell r="F47">
            <v>8068.6944700999684</v>
          </cell>
          <cell r="K47">
            <v>2000</v>
          </cell>
          <cell r="M47">
            <v>67.178133333333335</v>
          </cell>
        </row>
        <row r="48">
          <cell r="B48" t="str">
            <v>Vehicles Taxes</v>
          </cell>
          <cell r="D48">
            <v>1000</v>
          </cell>
          <cell r="F48">
            <v>1316.1972542799354</v>
          </cell>
          <cell r="K48">
            <v>0</v>
          </cell>
          <cell r="M48">
            <v>0</v>
          </cell>
        </row>
        <row r="49">
          <cell r="B49" t="str">
            <v>Miscellaneous &amp; Shipping</v>
          </cell>
          <cell r="D49">
            <v>5000</v>
          </cell>
          <cell r="F49">
            <v>5910.920414131403</v>
          </cell>
          <cell r="K49">
            <v>1500</v>
          </cell>
          <cell r="M49">
            <v>1195.8599185702401</v>
          </cell>
        </row>
        <row r="53">
          <cell r="B53" t="str">
            <v>Fixed Asset's Payments (Investments) Rodados/Lanchas</v>
          </cell>
          <cell r="D53">
            <v>0</v>
          </cell>
          <cell r="F53">
            <v>0</v>
          </cell>
          <cell r="K53">
            <v>0</v>
          </cell>
          <cell r="M53">
            <v>0</v>
          </cell>
        </row>
        <row r="54">
          <cell r="B54" t="str">
            <v>Fixed Asset's Payments (Investments) Armas</v>
          </cell>
          <cell r="D54">
            <v>59000</v>
          </cell>
          <cell r="F54">
            <v>58504.207611940299</v>
          </cell>
          <cell r="K54">
            <v>25000</v>
          </cell>
          <cell r="M54">
            <v>23400</v>
          </cell>
        </row>
        <row r="55">
          <cell r="B55" t="str">
            <v>Fixed Asset's Payments (Investments) Mejoras/equipamiento Lodge</v>
          </cell>
          <cell r="D55">
            <v>64403.630977695007</v>
          </cell>
          <cell r="F55">
            <v>65418.922011165683</v>
          </cell>
          <cell r="K55">
            <v>360000</v>
          </cell>
          <cell r="M55">
            <v>344848.15705341985</v>
          </cell>
        </row>
        <row r="56">
          <cell r="B56" t="str">
            <v>Fixed Asset's Sales</v>
          </cell>
          <cell r="D56">
            <v>-3403.6309776950038</v>
          </cell>
          <cell r="F56">
            <v>-3403.6309776950038</v>
          </cell>
          <cell r="K56">
            <v>0</v>
          </cell>
          <cell r="M56">
            <v>0</v>
          </cell>
        </row>
        <row r="57">
          <cell r="B57" t="str">
            <v>Total Fixed Asset's (Investments)</v>
          </cell>
          <cell r="D57">
            <v>120000</v>
          </cell>
          <cell r="F57">
            <v>120519.49864541097</v>
          </cell>
          <cell r="K57">
            <v>385000</v>
          </cell>
          <cell r="M57">
            <v>0</v>
          </cell>
        </row>
      </sheetData>
      <sheetData sheetId="8">
        <row r="6">
          <cell r="F6">
            <v>-4362</v>
          </cell>
        </row>
        <row r="8">
          <cell r="F8">
            <v>-129.66417910447763</v>
          </cell>
        </row>
        <row r="10">
          <cell r="F10">
            <v>-975.76119402985069</v>
          </cell>
        </row>
        <row r="12">
          <cell r="F12">
            <v>0</v>
          </cell>
        </row>
        <row r="14">
          <cell r="F14">
            <v>730</v>
          </cell>
        </row>
        <row r="16">
          <cell r="F16">
            <v>6236.4700000000012</v>
          </cell>
        </row>
        <row r="18">
          <cell r="F18">
            <v>-58218.45</v>
          </cell>
        </row>
        <row r="20">
          <cell r="F20">
            <v>-24782</v>
          </cell>
        </row>
        <row r="23">
          <cell r="F23">
            <v>-81501.40537313433</v>
          </cell>
        </row>
        <row r="34">
          <cell r="F34">
            <v>-4965</v>
          </cell>
        </row>
        <row r="42">
          <cell r="F42">
            <v>-4965</v>
          </cell>
        </row>
      </sheetData>
      <sheetData sheetId="9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DC6BD-369E-6B4D-977D-2C4E431C7447}">
  <dimension ref="A2:AS61"/>
  <sheetViews>
    <sheetView workbookViewId="0">
      <pane xSplit="2" ySplit="7" topLeftCell="L44" activePane="bottomRight" state="frozen"/>
      <selection pane="topRight" activeCell="C1" sqref="C1"/>
      <selection pane="bottomLeft" activeCell="A8" sqref="A8"/>
      <selection pane="bottomRight" activeCell="M34" sqref="M34:M49"/>
    </sheetView>
  </sheetViews>
  <sheetFormatPr baseColWidth="10" defaultColWidth="7.5703125" defaultRowHeight="13"/>
  <cols>
    <col min="1" max="1" width="10.5703125" style="1" bestFit="1" customWidth="1"/>
    <col min="2" max="2" width="58.140625" style="117" bestFit="1" customWidth="1"/>
    <col min="3" max="3" width="1.28515625" style="3" bestFit="1" customWidth="1"/>
    <col min="4" max="4" width="15" style="4" customWidth="1"/>
    <col min="5" max="5" width="12.28515625" style="4" customWidth="1"/>
    <col min="6" max="7" width="10.85546875" style="4" customWidth="1"/>
    <col min="8" max="8" width="46.42578125" style="4" customWidth="1"/>
    <col min="9" max="9" width="7.42578125" style="4" customWidth="1"/>
    <col min="10" max="10" width="8.28515625" style="3" customWidth="1"/>
    <col min="11" max="11" width="15" style="4" customWidth="1"/>
    <col min="12" max="12" width="12.28515625" style="4" customWidth="1"/>
    <col min="13" max="14" width="10.85546875" style="4" customWidth="1"/>
    <col min="15" max="15" width="45" style="4" customWidth="1"/>
    <col min="16" max="16" width="7.42578125" style="4" customWidth="1"/>
    <col min="17" max="17" width="7.140625" style="3" customWidth="1"/>
    <col min="18" max="18" width="15" style="4" customWidth="1"/>
    <col min="19" max="19" width="12.28515625" style="4" customWidth="1"/>
    <col min="20" max="21" width="10.85546875" style="4" customWidth="1"/>
    <col min="22" max="22" width="23.85546875" style="4" customWidth="1"/>
    <col min="23" max="23" width="7.42578125" style="4" customWidth="1"/>
    <col min="24" max="24" width="2.7109375" style="3" customWidth="1"/>
    <col min="25" max="25" width="12.28515625" style="5" customWidth="1"/>
    <col min="26" max="27" width="10.85546875" style="5" customWidth="1"/>
    <col min="28" max="31" width="2.7109375" style="3" customWidth="1"/>
    <col min="32" max="32" width="12.28515625" style="5" bestFit="1" customWidth="1"/>
    <col min="33" max="34" width="10.85546875" style="5" customWidth="1"/>
    <col min="35" max="35" width="2.7109375" style="3" customWidth="1"/>
    <col min="36" max="36" width="10.5703125" style="5" bestFit="1" customWidth="1"/>
    <col min="37" max="43" width="8.5703125" style="5" bestFit="1" customWidth="1"/>
    <col min="44" max="16384" width="7.5703125" style="5"/>
  </cols>
  <sheetData>
    <row r="2" spans="1:45" ht="24">
      <c r="B2" s="2" t="s">
        <v>64</v>
      </c>
    </row>
    <row r="3" spans="1:45" ht="24">
      <c r="B3" s="6" t="s">
        <v>65</v>
      </c>
      <c r="C3" s="2"/>
      <c r="D3" s="7" t="e">
        <f>IF(ROUND(D61,2)=0,"ok","Check")</f>
        <v>#VALUE!</v>
      </c>
      <c r="E3" s="7"/>
      <c r="F3" s="7" t="e">
        <f>IF(ROUND(F61,2)=0,"ok","Check")</f>
        <v>#VALUE!</v>
      </c>
      <c r="G3" s="7"/>
      <c r="H3" s="7"/>
      <c r="I3" s="7"/>
      <c r="J3" s="8"/>
      <c r="K3" s="7" t="e">
        <f>IF(ROUND(K61,2)=0,"ok","Check")</f>
        <v>#VALUE!</v>
      </c>
      <c r="L3" s="7"/>
      <c r="M3" s="7" t="e">
        <f>IF(ROUND(M61,2)=0,"ok","Check")</f>
        <v>#VALUE!</v>
      </c>
      <c r="N3" s="7"/>
      <c r="O3" s="7"/>
      <c r="P3" s="7"/>
      <c r="Q3" s="8"/>
      <c r="R3" s="7" t="e">
        <f>IF(ROUND(R61,2)=0,"ok","Check")</f>
        <v>#VALUE!</v>
      </c>
      <c r="S3" s="7"/>
      <c r="T3" s="7" t="e">
        <f>IF(ROUND(T61,2)=0,"ok","Check")</f>
        <v>#VALUE!</v>
      </c>
      <c r="U3" s="7"/>
      <c r="V3" s="7"/>
      <c r="W3" s="7"/>
      <c r="X3" s="8"/>
      <c r="Y3" s="9"/>
      <c r="Z3" s="9"/>
      <c r="AA3" s="9"/>
      <c r="AB3" s="8"/>
      <c r="AC3" s="8"/>
      <c r="AD3" s="8"/>
      <c r="AE3" s="8"/>
      <c r="AF3" s="9"/>
      <c r="AG3" s="9"/>
      <c r="AH3" s="9"/>
      <c r="AI3" s="8"/>
    </row>
    <row r="4" spans="1:45" s="14" customFormat="1" ht="8" thickBot="1">
      <c r="A4" s="10"/>
      <c r="B4" s="11"/>
      <c r="C4" s="12"/>
      <c r="D4" s="13"/>
      <c r="E4" s="13"/>
      <c r="F4" s="13"/>
      <c r="G4" s="13"/>
      <c r="H4" s="13"/>
      <c r="I4" s="13"/>
      <c r="J4" s="12"/>
      <c r="K4" s="13"/>
      <c r="L4" s="13"/>
      <c r="M4" s="13"/>
      <c r="N4" s="13"/>
      <c r="O4" s="13"/>
      <c r="P4" s="13"/>
      <c r="Q4" s="12"/>
      <c r="R4" s="13"/>
      <c r="S4" s="13"/>
      <c r="T4" s="13"/>
      <c r="U4" s="13"/>
      <c r="V4" s="13"/>
      <c r="W4" s="13"/>
      <c r="X4" s="12"/>
      <c r="AB4" s="12"/>
      <c r="AC4" s="12"/>
      <c r="AD4" s="12"/>
      <c r="AE4" s="12"/>
      <c r="AI4" s="12"/>
    </row>
    <row r="5" spans="1:45" s="18" customFormat="1" ht="35.5" customHeight="1" thickBot="1">
      <c r="A5" s="15"/>
      <c r="B5" s="16" t="s">
        <v>66</v>
      </c>
      <c r="C5" s="17"/>
      <c r="D5" s="212" t="s">
        <v>67</v>
      </c>
      <c r="E5" s="213"/>
      <c r="F5" s="213"/>
      <c r="G5" s="213"/>
      <c r="H5" s="213"/>
      <c r="I5" s="214"/>
      <c r="J5" s="17"/>
      <c r="K5" s="212" t="s">
        <v>68</v>
      </c>
      <c r="L5" s="213"/>
      <c r="M5" s="213"/>
      <c r="N5" s="213"/>
      <c r="O5" s="213"/>
      <c r="P5" s="214"/>
      <c r="Q5" s="17"/>
      <c r="R5" s="212" t="s">
        <v>69</v>
      </c>
      <c r="S5" s="213"/>
      <c r="T5" s="213"/>
      <c r="U5" s="213"/>
      <c r="V5" s="213"/>
      <c r="W5" s="214"/>
      <c r="X5" s="17"/>
      <c r="Y5" s="215" t="s">
        <v>67</v>
      </c>
      <c r="Z5" s="216"/>
      <c r="AA5" s="217"/>
      <c r="AB5" s="17"/>
      <c r="AC5" s="17"/>
      <c r="AD5" s="17"/>
      <c r="AE5" s="17"/>
      <c r="AF5" s="215" t="s">
        <v>68</v>
      </c>
      <c r="AG5" s="216"/>
      <c r="AH5" s="217"/>
      <c r="AI5" s="17"/>
    </row>
    <row r="6" spans="1:45" ht="17" thickBot="1">
      <c r="B6" s="19"/>
      <c r="C6" s="20"/>
      <c r="D6" s="218"/>
      <c r="E6" s="219"/>
      <c r="F6" s="219"/>
      <c r="G6" s="219"/>
      <c r="H6" s="219"/>
      <c r="I6" s="220"/>
      <c r="J6" s="20"/>
      <c r="K6" s="218"/>
      <c r="L6" s="219"/>
      <c r="M6" s="219"/>
      <c r="N6" s="219"/>
      <c r="O6" s="219"/>
      <c r="P6" s="220"/>
      <c r="Q6" s="20"/>
      <c r="R6" s="218"/>
      <c r="S6" s="219"/>
      <c r="T6" s="219"/>
      <c r="U6" s="219"/>
      <c r="V6" s="219"/>
      <c r="W6" s="220"/>
      <c r="X6" s="20"/>
      <c r="Y6" s="221"/>
      <c r="Z6" s="222"/>
      <c r="AA6" s="223"/>
      <c r="AB6" s="20"/>
      <c r="AC6" s="20"/>
      <c r="AD6" s="20"/>
      <c r="AE6" s="20"/>
      <c r="AF6" s="221"/>
      <c r="AG6" s="222"/>
      <c r="AH6" s="223"/>
      <c r="AI6" s="20"/>
    </row>
    <row r="7" spans="1:45" ht="57" thickBot="1">
      <c r="A7" s="1" t="s">
        <v>70</v>
      </c>
      <c r="B7" s="21" t="s">
        <v>71</v>
      </c>
      <c r="C7" s="8"/>
      <c r="D7" s="22" t="s">
        <v>72</v>
      </c>
      <c r="E7" s="23" t="s">
        <v>73</v>
      </c>
      <c r="F7" s="23" t="s">
        <v>74</v>
      </c>
      <c r="G7" s="23" t="s">
        <v>75</v>
      </c>
      <c r="H7" s="24" t="s">
        <v>76</v>
      </c>
      <c r="I7" s="23"/>
      <c r="J7" s="8"/>
      <c r="K7" s="22" t="s">
        <v>77</v>
      </c>
      <c r="L7" s="23" t="s">
        <v>78</v>
      </c>
      <c r="M7" s="23" t="s">
        <v>79</v>
      </c>
      <c r="N7" s="23" t="s">
        <v>80</v>
      </c>
      <c r="O7" s="24" t="s">
        <v>81</v>
      </c>
      <c r="P7" s="23"/>
      <c r="Q7" s="8"/>
      <c r="R7" s="22" t="s">
        <v>82</v>
      </c>
      <c r="S7" s="23" t="s">
        <v>83</v>
      </c>
      <c r="T7" s="23" t="s">
        <v>84</v>
      </c>
      <c r="U7" s="23" t="s">
        <v>85</v>
      </c>
      <c r="V7" s="24" t="s">
        <v>86</v>
      </c>
      <c r="W7" s="23"/>
      <c r="X7" s="8"/>
      <c r="Y7" s="23" t="s">
        <v>72</v>
      </c>
      <c r="Z7" s="23" t="s">
        <v>74</v>
      </c>
      <c r="AA7" s="23" t="s">
        <v>87</v>
      </c>
      <c r="AB7" s="8"/>
      <c r="AC7" s="8"/>
      <c r="AD7" s="8"/>
      <c r="AE7" s="8"/>
      <c r="AF7" s="23" t="s">
        <v>77</v>
      </c>
      <c r="AG7" s="23" t="s">
        <v>79</v>
      </c>
      <c r="AH7" s="23" t="s">
        <v>88</v>
      </c>
      <c r="AI7" s="8"/>
    </row>
    <row r="8" spans="1:45" ht="14">
      <c r="A8" s="25"/>
      <c r="B8" s="26" t="s">
        <v>89</v>
      </c>
      <c r="C8" s="27"/>
      <c r="D8" s="28">
        <v>1200</v>
      </c>
      <c r="E8" s="28">
        <f>+F8</f>
        <v>1039</v>
      </c>
      <c r="F8" s="28">
        <v>1039</v>
      </c>
      <c r="G8" s="29">
        <f t="shared" ref="G8:G9" si="0">+F8/D8</f>
        <v>0.86583333333333334</v>
      </c>
      <c r="H8" s="30"/>
      <c r="I8" s="28"/>
      <c r="J8" s="31"/>
      <c r="K8" s="28">
        <v>160</v>
      </c>
      <c r="L8" s="28">
        <f>+M8</f>
        <v>79</v>
      </c>
      <c r="M8" s="28">
        <v>79</v>
      </c>
      <c r="N8" s="29">
        <f>+M8/K8</f>
        <v>0.49375000000000002</v>
      </c>
      <c r="O8" s="30"/>
      <c r="P8" s="28"/>
      <c r="Q8" s="31"/>
      <c r="R8" s="28">
        <f>+D8+K8</f>
        <v>1360</v>
      </c>
      <c r="S8" s="28">
        <f>+E8+L8</f>
        <v>1118</v>
      </c>
      <c r="T8" s="28">
        <f>+F8+M8</f>
        <v>1118</v>
      </c>
      <c r="U8" s="29">
        <f t="shared" ref="U8:U9" si="1">+T8/R8</f>
        <v>0.82205882352941173</v>
      </c>
      <c r="V8" s="30"/>
      <c r="W8" s="28"/>
      <c r="X8" s="31"/>
      <c r="Y8" s="32">
        <f>+'[1]Budget Comparativo'!D8</f>
        <v>1200</v>
      </c>
      <c r="Z8" s="32">
        <f>+'[1]Budget Comparativo'!F8</f>
        <v>1039</v>
      </c>
      <c r="AA8" s="33">
        <f>+Z8/Y8</f>
        <v>0.86583333333333334</v>
      </c>
      <c r="AB8" s="31"/>
      <c r="AC8" s="31"/>
      <c r="AD8" s="31"/>
      <c r="AE8" s="31"/>
      <c r="AF8" s="32">
        <f>+'[1]Budget Comparativo'!K8</f>
        <v>160</v>
      </c>
      <c r="AG8" s="32">
        <f>+'[1]Budget Comparativo'!M8</f>
        <v>79</v>
      </c>
      <c r="AH8" s="33">
        <f>+AG8/AF8</f>
        <v>0.49375000000000002</v>
      </c>
      <c r="AI8" s="31"/>
    </row>
    <row r="9" spans="1:45" ht="14">
      <c r="B9" s="26" t="s">
        <v>90</v>
      </c>
      <c r="C9" s="27"/>
      <c r="D9" s="28">
        <f>ROUND(D8/3,0)</f>
        <v>400</v>
      </c>
      <c r="E9" s="28">
        <f>+F9</f>
        <v>338</v>
      </c>
      <c r="F9" s="28">
        <v>338</v>
      </c>
      <c r="G9" s="29">
        <f t="shared" si="0"/>
        <v>0.84499999999999997</v>
      </c>
      <c r="H9" s="30"/>
      <c r="I9" s="28"/>
      <c r="J9" s="31"/>
      <c r="K9" s="28">
        <f>ROUND(K8/2,0)</f>
        <v>80</v>
      </c>
      <c r="L9" s="28">
        <f>+M9</f>
        <v>55</v>
      </c>
      <c r="M9" s="28">
        <v>55</v>
      </c>
      <c r="N9" s="29">
        <f t="shared" ref="N9" si="2">+M9/K9</f>
        <v>0.6875</v>
      </c>
      <c r="O9" s="30"/>
      <c r="P9" s="28"/>
      <c r="Q9" s="31"/>
      <c r="R9" s="28">
        <f t="shared" ref="R9:T9" si="3">+D9+K9</f>
        <v>480</v>
      </c>
      <c r="S9" s="28">
        <f t="shared" si="3"/>
        <v>393</v>
      </c>
      <c r="T9" s="28">
        <f t="shared" si="3"/>
        <v>393</v>
      </c>
      <c r="U9" s="29">
        <f t="shared" si="1"/>
        <v>0.81874999999999998</v>
      </c>
      <c r="V9" s="30"/>
      <c r="W9" s="28"/>
      <c r="X9" s="31"/>
      <c r="Y9" s="32">
        <f>+'[1]Budget Comparativo'!D9</f>
        <v>400</v>
      </c>
      <c r="Z9" s="32">
        <f>+'[1]Budget Comparativo'!F9</f>
        <v>338</v>
      </c>
      <c r="AA9" s="33">
        <f>+Z9/Y9</f>
        <v>0.84499999999999997</v>
      </c>
      <c r="AB9" s="31"/>
      <c r="AC9" s="31"/>
      <c r="AD9" s="31"/>
      <c r="AE9" s="31"/>
      <c r="AF9" s="32">
        <f>+'[1]Budget Comparativo'!K9</f>
        <v>80</v>
      </c>
      <c r="AG9" s="32">
        <f>+'[1]Budget Comparativo'!M9</f>
        <v>55</v>
      </c>
      <c r="AH9" s="33">
        <f>+AG9/AF9</f>
        <v>0.6875</v>
      </c>
      <c r="AI9" s="31"/>
    </row>
    <row r="10" spans="1:45" ht="15" thickBot="1">
      <c r="B10" s="26" t="s">
        <v>91</v>
      </c>
      <c r="C10" s="27"/>
      <c r="D10" s="28">
        <v>12</v>
      </c>
      <c r="E10" s="28">
        <f>+F10</f>
        <v>11</v>
      </c>
      <c r="F10" s="28">
        <v>11</v>
      </c>
      <c r="G10" s="29">
        <f>+F10/D10</f>
        <v>0.91666666666666663</v>
      </c>
      <c r="H10" s="30"/>
      <c r="I10" s="29">
        <f>IF(ROUND(F10,0)=0,0,IF(D10=0,0,+F10/D10))</f>
        <v>0.91666666666666663</v>
      </c>
      <c r="J10" s="31"/>
      <c r="K10" s="28">
        <v>12</v>
      </c>
      <c r="L10" s="28">
        <f>+M10</f>
        <v>11</v>
      </c>
      <c r="M10" s="28">
        <f>+F10</f>
        <v>11</v>
      </c>
      <c r="N10" s="29">
        <f>+M10/K10</f>
        <v>0.91666666666666663</v>
      </c>
      <c r="O10" s="30"/>
      <c r="P10" s="29">
        <f>IF(ROUND(M10,0)=0,0,IF(K10=0,0,+M10/K10))</f>
        <v>0.91666666666666663</v>
      </c>
      <c r="Q10" s="31"/>
      <c r="R10" s="28">
        <v>12</v>
      </c>
      <c r="S10" s="28">
        <f>+T10</f>
        <v>11</v>
      </c>
      <c r="T10" s="28">
        <f>+M10</f>
        <v>11</v>
      </c>
      <c r="U10" s="29">
        <f>+T10/R10</f>
        <v>0.91666666666666663</v>
      </c>
      <c r="V10" s="30"/>
      <c r="W10" s="29">
        <f>IF(ROUND(T10,0)=0,0,IF(R10=0,0,+T10/R10))</f>
        <v>0.91666666666666663</v>
      </c>
      <c r="X10" s="31"/>
      <c r="Y10" s="32">
        <f>+'[1]Budget Comparativo'!D10</f>
        <v>12</v>
      </c>
      <c r="Z10" s="32">
        <f>+'[1]Budget Comparativo'!F10</f>
        <v>11</v>
      </c>
      <c r="AA10" s="33">
        <f>+Z10/Y10</f>
        <v>0.91666666666666663</v>
      </c>
      <c r="AB10" s="31"/>
      <c r="AC10" s="31"/>
      <c r="AD10" s="31"/>
      <c r="AE10" s="31"/>
      <c r="AF10" s="32">
        <f>+'[1]Budget Comparativo'!K10</f>
        <v>12</v>
      </c>
      <c r="AG10" s="32">
        <f>+'[1]Budget Comparativo'!M10</f>
        <v>11</v>
      </c>
      <c r="AH10" s="33">
        <f>+AG10/AF10</f>
        <v>0.91666666666666663</v>
      </c>
      <c r="AI10" s="31"/>
      <c r="AJ10" s="5" t="s">
        <v>92</v>
      </c>
    </row>
    <row r="11" spans="1:45" ht="15" thickBot="1">
      <c r="B11" s="34" t="s">
        <v>93</v>
      </c>
      <c r="C11" s="35"/>
      <c r="D11" s="23"/>
      <c r="E11" s="23"/>
      <c r="F11" s="23"/>
      <c r="G11" s="23"/>
      <c r="H11" s="36"/>
      <c r="I11" s="23"/>
      <c r="J11" s="8"/>
      <c r="K11" s="23"/>
      <c r="L11" s="23"/>
      <c r="M11" s="23"/>
      <c r="N11" s="23"/>
      <c r="O11" s="36"/>
      <c r="P11" s="23"/>
      <c r="Q11" s="8"/>
      <c r="R11" s="23"/>
      <c r="S11" s="23"/>
      <c r="T11" s="23"/>
      <c r="U11" s="23"/>
      <c r="V11" s="36"/>
      <c r="W11" s="23"/>
      <c r="X11" s="8"/>
      <c r="Y11" s="23"/>
      <c r="Z11" s="23"/>
      <c r="AA11" s="23"/>
      <c r="AB11" s="8"/>
      <c r="AC11" s="8"/>
      <c r="AD11" s="8"/>
      <c r="AE11" s="8"/>
      <c r="AF11" s="23"/>
      <c r="AG11" s="23"/>
      <c r="AH11" s="23"/>
      <c r="AI11" s="8"/>
      <c r="AJ11" s="37"/>
      <c r="AK11" s="37"/>
      <c r="AL11" s="37"/>
      <c r="AM11" s="37"/>
      <c r="AN11" s="37"/>
      <c r="AO11" s="37"/>
      <c r="AP11" s="37"/>
      <c r="AQ11" s="37"/>
      <c r="AR11" s="37"/>
      <c r="AS11" s="37"/>
    </row>
    <row r="12" spans="1:45" s="14" customFormat="1">
      <c r="A12" s="10"/>
      <c r="B12" s="38"/>
      <c r="C12" s="39"/>
      <c r="D12" s="40"/>
      <c r="E12" s="40"/>
      <c r="F12" s="40"/>
      <c r="G12" s="40"/>
      <c r="H12" s="41"/>
      <c r="I12" s="40"/>
      <c r="J12" s="42"/>
      <c r="K12" s="40"/>
      <c r="L12" s="40"/>
      <c r="M12" s="40"/>
      <c r="N12" s="40"/>
      <c r="O12" s="41"/>
      <c r="P12" s="40"/>
      <c r="Q12" s="42"/>
      <c r="R12" s="40"/>
      <c r="S12" s="40"/>
      <c r="T12" s="40"/>
      <c r="U12" s="40"/>
      <c r="V12" s="41"/>
      <c r="W12" s="40"/>
      <c r="X12" s="42"/>
      <c r="Y12" s="43"/>
      <c r="Z12" s="43"/>
      <c r="AA12" s="43"/>
      <c r="AB12" s="42"/>
      <c r="AC12" s="42"/>
      <c r="AD12" s="42"/>
      <c r="AE12" s="42"/>
      <c r="AF12" s="43"/>
      <c r="AG12" s="43"/>
      <c r="AH12" s="43"/>
      <c r="AI12" s="42"/>
      <c r="AJ12" s="37"/>
      <c r="AK12" s="37"/>
      <c r="AL12" s="37"/>
      <c r="AM12" s="37"/>
      <c r="AN12" s="37"/>
      <c r="AO12" s="37"/>
      <c r="AP12" s="37"/>
      <c r="AQ12" s="37"/>
      <c r="AR12" s="37"/>
      <c r="AS12" s="37"/>
    </row>
    <row r="13" spans="1:45" ht="14">
      <c r="B13" s="44" t="s">
        <v>94</v>
      </c>
      <c r="C13" s="45"/>
      <c r="D13" s="46"/>
      <c r="E13" s="46"/>
      <c r="F13" s="46"/>
      <c r="G13" s="46"/>
      <c r="H13" s="47"/>
      <c r="I13" s="46"/>
      <c r="J13" s="48"/>
      <c r="K13" s="46"/>
      <c r="L13" s="46"/>
      <c r="M13" s="46"/>
      <c r="N13" s="46"/>
      <c r="O13" s="47"/>
      <c r="P13" s="46"/>
      <c r="Q13" s="48"/>
      <c r="R13" s="46"/>
      <c r="S13" s="46"/>
      <c r="T13" s="46"/>
      <c r="U13" s="46"/>
      <c r="V13" s="47"/>
      <c r="W13" s="46"/>
      <c r="X13" s="48"/>
      <c r="Y13" s="49"/>
      <c r="Z13" s="49"/>
      <c r="AA13" s="49"/>
      <c r="AB13" s="48"/>
      <c r="AC13" s="48"/>
      <c r="AD13" s="48"/>
      <c r="AE13" s="48"/>
      <c r="AF13" s="49"/>
      <c r="AG13" s="49"/>
      <c r="AH13" s="49"/>
      <c r="AI13" s="48"/>
      <c r="AJ13" s="37"/>
      <c r="AK13" s="37"/>
      <c r="AL13" s="37"/>
      <c r="AM13" s="37"/>
      <c r="AN13" s="37"/>
      <c r="AO13" s="37"/>
      <c r="AP13" s="37"/>
      <c r="AQ13" s="37"/>
      <c r="AR13" s="37"/>
      <c r="AS13" s="37"/>
    </row>
    <row r="14" spans="1:45" s="56" customFormat="1" ht="14">
      <c r="A14" s="25" t="s">
        <v>26</v>
      </c>
      <c r="B14" s="50" t="s">
        <v>37</v>
      </c>
      <c r="C14" s="51"/>
      <c r="D14" s="52">
        <f>ROUND($D$8*25,0)</f>
        <v>30000</v>
      </c>
      <c r="E14" s="52">
        <f>IF(A14="Acumulado",IF(F14&gt;D14,D14,F14),IF(A14="BN",+(D14/$D$8*$E$8),"VER"))</f>
        <v>25975</v>
      </c>
      <c r="F14" s="52" t="e">
        <f>-SUMIF([1]Resumen_Base!$A$7:$A$91,'[1]Budget Comparativo'!B14,[1]Resumen_Base!$Y$7:$Y$91)</f>
        <v>#VALUE!</v>
      </c>
      <c r="G14" s="52" t="e">
        <f t="shared" ref="G14:G16" si="4">+F14-E14</f>
        <v>#VALUE!</v>
      </c>
      <c r="H14" s="53" t="s">
        <v>95</v>
      </c>
      <c r="I14" s="52"/>
      <c r="J14" s="54"/>
      <c r="K14" s="52">
        <f>ROUND($K$8*5,0)</f>
        <v>800</v>
      </c>
      <c r="L14" s="52">
        <f>IF(A14="Acumulado",IF(M14&gt;K14,K14,M14),IF(A14="BN",+(K14/$K$8*$L$8),"VER"))</f>
        <v>395</v>
      </c>
      <c r="M14" s="52" t="e">
        <f>-SUMIF([1]Resumen_Base!$A$94:$A$160,'[1]Budget Comparativo'!B14,[1]Resumen_Base!$Y$94:$Y$160)</f>
        <v>#VALUE!</v>
      </c>
      <c r="N14" s="52" t="e">
        <f t="shared" ref="N14:N16" si="5">+M14-L14</f>
        <v>#VALUE!</v>
      </c>
      <c r="O14" s="47"/>
      <c r="P14" s="52"/>
      <c r="Q14" s="54"/>
      <c r="R14" s="52">
        <f>+D14+K14</f>
        <v>30800</v>
      </c>
      <c r="S14" s="52">
        <f>+E14+L14</f>
        <v>26370</v>
      </c>
      <c r="T14" s="52" t="e">
        <f>+F14+M14</f>
        <v>#VALUE!</v>
      </c>
      <c r="U14" s="52" t="e">
        <f>+T14-S14</f>
        <v>#VALUE!</v>
      </c>
      <c r="V14" s="47"/>
      <c r="W14" s="52"/>
      <c r="X14" s="54"/>
      <c r="Y14" s="55">
        <f>+'[1]Budget Comparativo'!D14/'[1]Budget Comparativo'!$Y$8</f>
        <v>25</v>
      </c>
      <c r="Z14" s="55">
        <f>+'[1]Budget Comparativo'!F14/'[1]Budget Comparativo'!$Z$8</f>
        <v>14.361883032656834</v>
      </c>
      <c r="AA14" s="55">
        <f>+Z14-Y14</f>
        <v>-10.638116967343166</v>
      </c>
      <c r="AB14" s="54"/>
      <c r="AC14" s="54"/>
      <c r="AD14" s="54"/>
      <c r="AE14" s="54"/>
      <c r="AF14" s="55">
        <f>+'[1]Budget Comparativo'!K14/'[1]Budget Comparativo'!$AF$8</f>
        <v>5</v>
      </c>
      <c r="AG14" s="55">
        <f>+'[1]Budget Comparativo'!M14/'[1]Budget Comparativo'!$AG$8</f>
        <v>2.7848101265822787</v>
      </c>
      <c r="AH14" s="55">
        <f>+AG14-AF14</f>
        <v>-2.2151898734177213</v>
      </c>
      <c r="AI14" s="54"/>
      <c r="AJ14" s="37">
        <v>4104</v>
      </c>
      <c r="AK14" s="37"/>
      <c r="AL14" s="37"/>
      <c r="AM14" s="37"/>
      <c r="AN14" s="37"/>
      <c r="AO14" s="37"/>
      <c r="AP14" s="37"/>
      <c r="AQ14" s="37"/>
      <c r="AR14" s="37"/>
      <c r="AS14" s="37"/>
    </row>
    <row r="15" spans="1:45" s="56" customFormat="1" ht="14">
      <c r="A15" s="25" t="s">
        <v>26</v>
      </c>
      <c r="B15" s="57" t="s">
        <v>96</v>
      </c>
      <c r="C15" s="51"/>
      <c r="D15" s="52">
        <f>ROUND($D$8*24,0)</f>
        <v>28800</v>
      </c>
      <c r="E15" s="52">
        <f t="shared" ref="E15:E16" si="6">IF(A15="Acumulado",IF(F15&gt;D15,D15,F15),IF(A15="BN",+(D15/$D$8*$E$8),"VER"))</f>
        <v>24936</v>
      </c>
      <c r="F15" s="52" t="e">
        <f>-SUMIF([1]Resumen_Base!$A$7:$A$91,'[1]Budget Comparativo'!B15,[1]Resumen_Base!$Y$7:$Y$91)-'[1]Stock - Deudas'!$F$14</f>
        <v>#VALUE!</v>
      </c>
      <c r="G15" s="52" t="e">
        <f t="shared" si="4"/>
        <v>#VALUE!</v>
      </c>
      <c r="H15" s="53" t="s">
        <v>97</v>
      </c>
      <c r="I15" s="52"/>
      <c r="J15" s="54"/>
      <c r="K15" s="52">
        <f>ROUND($K$8*10,0)</f>
        <v>1600</v>
      </c>
      <c r="L15" s="52">
        <f>IF(A15="Acumulado",IF(M15&gt;K15,K15,M15),IF(A15="BN",+(K15/$K$8*$L$8),"VER"))</f>
        <v>790</v>
      </c>
      <c r="M15" s="52" t="e">
        <f>-SUMIF([1]Resumen_Base!$A$94:$A$160,'[1]Budget Comparativo'!B15,[1]Resumen_Base!$Y$94:$Y$160)</f>
        <v>#VALUE!</v>
      </c>
      <c r="N15" s="52" t="e">
        <f t="shared" si="5"/>
        <v>#VALUE!</v>
      </c>
      <c r="O15" s="47"/>
      <c r="P15" s="52"/>
      <c r="Q15" s="54"/>
      <c r="R15" s="52">
        <f t="shared" ref="R15:T16" si="7">+D15+K15</f>
        <v>30400</v>
      </c>
      <c r="S15" s="52">
        <f t="shared" si="7"/>
        <v>25726</v>
      </c>
      <c r="T15" s="52" t="e">
        <f t="shared" si="7"/>
        <v>#VALUE!</v>
      </c>
      <c r="U15" s="52" t="e">
        <f t="shared" ref="U15:U16" si="8">+T15-S15</f>
        <v>#VALUE!</v>
      </c>
      <c r="V15" s="47"/>
      <c r="W15" s="52"/>
      <c r="X15" s="54"/>
      <c r="Y15" s="55">
        <f>+'[1]Budget Comparativo'!D15/'[1]Budget Comparativo'!$Y$8</f>
        <v>24</v>
      </c>
      <c r="Z15" s="55">
        <f>+'[1]Budget Comparativo'!F15/'[1]Budget Comparativo'!$Z$8</f>
        <v>39.152796463638545</v>
      </c>
      <c r="AA15" s="55">
        <f>+Z15-Y15</f>
        <v>15.152796463638545</v>
      </c>
      <c r="AB15" s="54"/>
      <c r="AC15" s="54"/>
      <c r="AD15" s="54"/>
      <c r="AE15" s="54"/>
      <c r="AF15" s="55">
        <f>+'[1]Budget Comparativo'!K15/'[1]Budget Comparativo'!$AF$8</f>
        <v>10</v>
      </c>
      <c r="AG15" s="55">
        <f>+'[1]Budget Comparativo'!M15/'[1]Budget Comparativo'!$AG$8</f>
        <v>0.759493670886076</v>
      </c>
      <c r="AH15" s="55">
        <f>+AG15-AF15</f>
        <v>-9.2405063291139236</v>
      </c>
      <c r="AI15" s="54"/>
      <c r="AJ15" s="37">
        <v>4103</v>
      </c>
      <c r="AK15" s="37">
        <v>4110</v>
      </c>
      <c r="AL15" s="37">
        <v>4112</v>
      </c>
      <c r="AM15" s="37">
        <v>4114</v>
      </c>
      <c r="AN15" s="37">
        <v>5285</v>
      </c>
      <c r="AO15" s="37">
        <v>5104</v>
      </c>
      <c r="AP15" s="37">
        <v>4118</v>
      </c>
      <c r="AQ15" s="37">
        <v>4129</v>
      </c>
      <c r="AR15" s="37">
        <v>5290</v>
      </c>
      <c r="AS15" s="37">
        <v>5103</v>
      </c>
    </row>
    <row r="16" spans="1:45" s="56" customFormat="1" ht="14">
      <c r="A16" s="25" t="s">
        <v>26</v>
      </c>
      <c r="B16" s="58" t="s">
        <v>98</v>
      </c>
      <c r="C16" s="51"/>
      <c r="D16" s="52">
        <f>+D8*130*0.65</f>
        <v>101400</v>
      </c>
      <c r="E16" s="52">
        <f t="shared" si="6"/>
        <v>87795.5</v>
      </c>
      <c r="F16" s="52" t="e">
        <f>-SUMIF([1]Resumen_Base!$A$7:$A$91,'[1]Budget Comparativo'!B16,[1]Resumen_Base!$Y$7:$Y$91)-'[1]Stock - Deudas'!$F$12</f>
        <v>#VALUE!</v>
      </c>
      <c r="G16" s="52" t="e">
        <f t="shared" si="4"/>
        <v>#VALUE!</v>
      </c>
      <c r="H16" s="59" t="s">
        <v>99</v>
      </c>
      <c r="I16" s="52"/>
      <c r="K16" s="52">
        <f>+$K$8*130*0.65</f>
        <v>13520</v>
      </c>
      <c r="L16" s="52">
        <f>IF(A16="Acumulado",IF(M16&gt;K16,K16,M16),IF(A16="BN",+(K16/$K$8*$L$8),"VER"))</f>
        <v>6675.5</v>
      </c>
      <c r="M16" s="52" t="e">
        <f>-SUMIF([1]Resumen_Base!$A$94:$A$160,'[1]Budget Comparativo'!B16,[1]Resumen_Base!$Y$94:$Y$160)</f>
        <v>#VALUE!</v>
      </c>
      <c r="N16" s="52" t="e">
        <f t="shared" si="5"/>
        <v>#VALUE!</v>
      </c>
      <c r="O16" s="47"/>
      <c r="P16" s="52"/>
      <c r="R16" s="52">
        <f t="shared" si="7"/>
        <v>114920</v>
      </c>
      <c r="S16" s="52">
        <f t="shared" si="7"/>
        <v>94471</v>
      </c>
      <c r="T16" s="52" t="e">
        <f t="shared" si="7"/>
        <v>#VALUE!</v>
      </c>
      <c r="U16" s="52" t="e">
        <f t="shared" si="8"/>
        <v>#VALUE!</v>
      </c>
      <c r="V16" s="47"/>
      <c r="W16" s="52"/>
      <c r="Y16" s="55">
        <f>+'[1]Budget Comparativo'!D16/'[1]Budget Comparativo'!$Y$8</f>
        <v>84.5</v>
      </c>
      <c r="Z16" s="55">
        <f>+'[1]Budget Comparativo'!F16/'[1]Budget Comparativo'!$Z$8</f>
        <v>90.12738259527697</v>
      </c>
      <c r="AA16" s="55">
        <f>+Z16-Y16</f>
        <v>5.6273825952769698</v>
      </c>
      <c r="AF16" s="55">
        <f>+'[1]Budget Comparativo'!K16/'[1]Budget Comparativo'!$AF$8</f>
        <v>84.5</v>
      </c>
      <c r="AG16" s="55">
        <f>+'[1]Budget Comparativo'!M16/'[1]Budget Comparativo'!$AG$8</f>
        <v>105.9493670886076</v>
      </c>
      <c r="AH16" s="55">
        <f>+AG16-AF16</f>
        <v>21.449367088607602</v>
      </c>
      <c r="AJ16" s="37">
        <v>4120</v>
      </c>
      <c r="AK16" s="37">
        <v>5286</v>
      </c>
      <c r="AL16" s="37">
        <v>5229</v>
      </c>
      <c r="AM16" s="37"/>
      <c r="AN16" s="37"/>
      <c r="AO16" s="37"/>
      <c r="AP16" s="37"/>
      <c r="AQ16" s="37"/>
      <c r="AR16" s="37"/>
      <c r="AS16" s="37"/>
    </row>
    <row r="17" spans="1:38" s="67" customFormat="1" ht="14" thickBot="1">
      <c r="A17" s="60"/>
      <c r="B17" s="61" t="s">
        <v>0</v>
      </c>
      <c r="C17" s="62"/>
      <c r="D17" s="63"/>
      <c r="E17" s="63"/>
      <c r="F17" s="63"/>
      <c r="G17" s="63"/>
      <c r="H17" s="64"/>
      <c r="I17" s="63"/>
      <c r="J17" s="65"/>
      <c r="K17" s="63"/>
      <c r="L17" s="63"/>
      <c r="M17" s="63"/>
      <c r="N17" s="63"/>
      <c r="O17" s="64"/>
      <c r="P17" s="63"/>
      <c r="Q17" s="65"/>
      <c r="R17" s="63"/>
      <c r="S17" s="63"/>
      <c r="T17" s="63"/>
      <c r="U17" s="63"/>
      <c r="V17" s="64"/>
      <c r="W17" s="63"/>
      <c r="X17" s="65"/>
      <c r="Y17" s="66"/>
      <c r="Z17" s="66"/>
      <c r="AA17" s="66"/>
      <c r="AB17" s="65"/>
      <c r="AC17" s="65"/>
      <c r="AD17" s="65"/>
      <c r="AE17" s="65"/>
      <c r="AF17" s="66"/>
      <c r="AG17" s="66"/>
      <c r="AH17" s="66"/>
      <c r="AI17" s="65"/>
      <c r="AJ17" s="37"/>
      <c r="AK17" s="37"/>
      <c r="AL17" s="37"/>
    </row>
    <row r="18" spans="1:38" s="75" customFormat="1" ht="16" thickBot="1">
      <c r="A18" s="68"/>
      <c r="B18" s="69" t="s">
        <v>100</v>
      </c>
      <c r="C18" s="70"/>
      <c r="D18" s="71">
        <f>SUM(D13:D17)</f>
        <v>160200</v>
      </c>
      <c r="E18" s="71">
        <f t="shared" ref="E18:G18" si="9">SUM(E13:E17)</f>
        <v>138706.5</v>
      </c>
      <c r="F18" s="71" t="e">
        <f t="shared" si="9"/>
        <v>#VALUE!</v>
      </c>
      <c r="G18" s="71" t="e">
        <f t="shared" si="9"/>
        <v>#VALUE!</v>
      </c>
      <c r="H18" s="72"/>
      <c r="I18" s="71"/>
      <c r="J18" s="73"/>
      <c r="K18" s="71">
        <f>SUM(K13:K17)</f>
        <v>15920</v>
      </c>
      <c r="L18" s="71">
        <f t="shared" ref="L18:N18" si="10">SUM(L13:L17)</f>
        <v>7860.5</v>
      </c>
      <c r="M18" s="71" t="e">
        <f t="shared" si="10"/>
        <v>#VALUE!</v>
      </c>
      <c r="N18" s="71" t="e">
        <f t="shared" si="10"/>
        <v>#VALUE!</v>
      </c>
      <c r="O18" s="72"/>
      <c r="P18" s="71"/>
      <c r="Q18" s="73"/>
      <c r="R18" s="71">
        <f>SUM(R13:R17)</f>
        <v>176120</v>
      </c>
      <c r="S18" s="71">
        <f t="shared" ref="S18:U18" si="11">SUM(S13:S17)</f>
        <v>146567</v>
      </c>
      <c r="T18" s="71" t="e">
        <f t="shared" si="11"/>
        <v>#VALUE!</v>
      </c>
      <c r="U18" s="71" t="e">
        <f t="shared" si="11"/>
        <v>#VALUE!</v>
      </c>
      <c r="V18" s="72"/>
      <c r="W18" s="71"/>
      <c r="X18" s="73"/>
      <c r="Y18" s="74">
        <f>SUM(Y13:Y17)</f>
        <v>133.5</v>
      </c>
      <c r="Z18" s="74">
        <f>SUM(Z13:Z17)</f>
        <v>143.64206209157234</v>
      </c>
      <c r="AA18" s="74">
        <f>+Z18-Y18</f>
        <v>10.142062091572342</v>
      </c>
      <c r="AB18" s="73"/>
      <c r="AC18" s="73"/>
      <c r="AD18" s="73"/>
      <c r="AE18" s="73"/>
      <c r="AF18" s="74">
        <f>SUM(AF13:AF17)</f>
        <v>99.5</v>
      </c>
      <c r="AG18" s="74">
        <f>SUM(AG13:AG17)</f>
        <v>109.49367088607596</v>
      </c>
      <c r="AH18" s="74">
        <f>+AG18-AF18</f>
        <v>9.9936708860759609</v>
      </c>
      <c r="AI18" s="73"/>
      <c r="AJ18" s="37"/>
      <c r="AK18" s="37"/>
      <c r="AL18" s="37"/>
    </row>
    <row r="19" spans="1:38" s="14" customFormat="1" ht="14" thickBot="1">
      <c r="A19" s="10"/>
      <c r="B19" s="76"/>
      <c r="C19" s="77"/>
      <c r="D19" s="78"/>
      <c r="E19" s="78"/>
      <c r="F19" s="78"/>
      <c r="G19" s="78"/>
      <c r="H19" s="79"/>
      <c r="I19" s="78"/>
      <c r="J19" s="80"/>
      <c r="K19" s="78"/>
      <c r="L19" s="78"/>
      <c r="M19" s="78"/>
      <c r="N19" s="78"/>
      <c r="O19" s="79"/>
      <c r="P19" s="78"/>
      <c r="Q19" s="80"/>
      <c r="R19" s="78"/>
      <c r="S19" s="78"/>
      <c r="T19" s="78"/>
      <c r="U19" s="78"/>
      <c r="V19" s="79"/>
      <c r="W19" s="78"/>
      <c r="X19" s="80"/>
      <c r="Y19" s="81"/>
      <c r="Z19" s="81"/>
      <c r="AA19" s="81"/>
      <c r="AB19" s="80"/>
      <c r="AC19" s="80"/>
      <c r="AD19" s="80"/>
      <c r="AE19" s="80"/>
      <c r="AF19" s="81"/>
      <c r="AG19" s="81"/>
      <c r="AH19" s="81"/>
      <c r="AI19" s="80"/>
      <c r="AJ19" s="37"/>
      <c r="AK19" s="37"/>
      <c r="AL19" s="37"/>
    </row>
    <row r="20" spans="1:38" ht="15" thickBot="1">
      <c r="B20" s="34" t="s">
        <v>101</v>
      </c>
      <c r="C20" s="35"/>
      <c r="D20" s="23"/>
      <c r="E20" s="23"/>
      <c r="F20" s="23"/>
      <c r="G20" s="23"/>
      <c r="H20" s="36"/>
      <c r="I20" s="23"/>
      <c r="J20" s="8"/>
      <c r="K20" s="23"/>
      <c r="L20" s="23"/>
      <c r="M20" s="23"/>
      <c r="N20" s="23"/>
      <c r="O20" s="36"/>
      <c r="P20" s="23"/>
      <c r="Q20" s="8"/>
      <c r="R20" s="23"/>
      <c r="S20" s="23"/>
      <c r="T20" s="23"/>
      <c r="U20" s="23"/>
      <c r="V20" s="36"/>
      <c r="W20" s="23"/>
      <c r="X20" s="8"/>
      <c r="Y20" s="23"/>
      <c r="Z20" s="23"/>
      <c r="AA20" s="23"/>
      <c r="AB20" s="8"/>
      <c r="AC20" s="8"/>
      <c r="AD20" s="8"/>
      <c r="AE20" s="8"/>
      <c r="AF20" s="23"/>
      <c r="AG20" s="23"/>
      <c r="AH20" s="23"/>
      <c r="AI20" s="8"/>
      <c r="AJ20" s="37"/>
      <c r="AK20" s="37"/>
      <c r="AL20" s="37"/>
    </row>
    <row r="21" spans="1:38" s="14" customFormat="1">
      <c r="A21" s="10"/>
      <c r="B21" s="76"/>
      <c r="C21" s="77"/>
      <c r="D21" s="78"/>
      <c r="E21" s="78"/>
      <c r="F21" s="78"/>
      <c r="G21" s="78"/>
      <c r="H21" s="79"/>
      <c r="I21" s="78"/>
      <c r="J21" s="80"/>
      <c r="K21" s="78"/>
      <c r="L21" s="78"/>
      <c r="M21" s="78"/>
      <c r="N21" s="78"/>
      <c r="O21" s="79"/>
      <c r="P21" s="78"/>
      <c r="Q21" s="80"/>
      <c r="R21" s="78"/>
      <c r="S21" s="78"/>
      <c r="T21" s="78"/>
      <c r="U21" s="78"/>
      <c r="V21" s="79"/>
      <c r="W21" s="78"/>
      <c r="X21" s="80"/>
      <c r="Y21" s="81"/>
      <c r="Z21" s="81"/>
      <c r="AA21" s="81"/>
      <c r="AB21" s="80"/>
      <c r="AC21" s="80"/>
      <c r="AD21" s="80"/>
      <c r="AE21" s="80"/>
      <c r="AF21" s="81"/>
      <c r="AG21" s="81"/>
      <c r="AH21" s="81"/>
      <c r="AI21" s="80"/>
      <c r="AJ21" s="37"/>
      <c r="AK21" s="37"/>
      <c r="AL21" s="37"/>
    </row>
    <row r="22" spans="1:38" ht="14">
      <c r="B22" s="44" t="s">
        <v>102</v>
      </c>
      <c r="C22" s="82"/>
      <c r="D22" s="46"/>
      <c r="E22" s="46"/>
      <c r="F22" s="46"/>
      <c r="G22" s="46"/>
      <c r="H22" s="47"/>
      <c r="I22" s="46"/>
      <c r="J22" s="83"/>
      <c r="K22" s="46"/>
      <c r="L22" s="46"/>
      <c r="M22" s="46"/>
      <c r="N22" s="46"/>
      <c r="O22" s="47"/>
      <c r="P22" s="46"/>
      <c r="Q22" s="83"/>
      <c r="R22" s="46"/>
      <c r="S22" s="46"/>
      <c r="T22" s="46"/>
      <c r="U22" s="46"/>
      <c r="V22" s="47"/>
      <c r="W22" s="46"/>
      <c r="X22" s="83"/>
      <c r="Y22" s="49"/>
      <c r="Z22" s="49"/>
      <c r="AA22" s="49"/>
      <c r="AB22" s="83"/>
      <c r="AC22" s="83"/>
      <c r="AD22" s="83"/>
      <c r="AE22" s="83"/>
      <c r="AF22" s="49"/>
      <c r="AG22" s="49"/>
      <c r="AH22" s="49"/>
      <c r="AI22" s="83"/>
      <c r="AJ22" s="37"/>
      <c r="AK22" s="37"/>
      <c r="AL22" s="37"/>
    </row>
    <row r="23" spans="1:38" s="91" customFormat="1" ht="17">
      <c r="A23" s="84"/>
      <c r="B23" s="85" t="s">
        <v>103</v>
      </c>
      <c r="C23" s="86"/>
      <c r="D23" s="87">
        <f>+SUM(D24:D26)</f>
        <v>36800</v>
      </c>
      <c r="E23" s="87" t="e">
        <f t="shared" ref="E23:G23" si="12">+SUM(E24:E26)</f>
        <v>#VALUE!</v>
      </c>
      <c r="F23" s="87" t="e">
        <f t="shared" si="12"/>
        <v>#VALUE!</v>
      </c>
      <c r="G23" s="87" t="e">
        <f t="shared" si="12"/>
        <v>#VALUE!</v>
      </c>
      <c r="H23" s="88"/>
      <c r="I23" s="87"/>
      <c r="J23" s="89"/>
      <c r="K23" s="87">
        <f>+SUM(K24:K26)</f>
        <v>3000</v>
      </c>
      <c r="L23" s="87" t="e">
        <f t="shared" ref="L23:N23" si="13">+SUM(L24:L26)</f>
        <v>#VALUE!</v>
      </c>
      <c r="M23" s="87" t="e">
        <f t="shared" si="13"/>
        <v>#VALUE!</v>
      </c>
      <c r="N23" s="87" t="e">
        <f t="shared" si="13"/>
        <v>#VALUE!</v>
      </c>
      <c r="O23" s="47"/>
      <c r="P23" s="87"/>
      <c r="Q23" s="89"/>
      <c r="R23" s="87">
        <f>+SUM(R24:R26)</f>
        <v>39800</v>
      </c>
      <c r="S23" s="87" t="e">
        <f t="shared" ref="S23:U23" si="14">+SUM(S24:S26)</f>
        <v>#VALUE!</v>
      </c>
      <c r="T23" s="87" t="e">
        <f t="shared" si="14"/>
        <v>#VALUE!</v>
      </c>
      <c r="U23" s="87" t="e">
        <f t="shared" si="14"/>
        <v>#VALUE!</v>
      </c>
      <c r="V23" s="47"/>
      <c r="W23" s="87"/>
      <c r="X23" s="89"/>
      <c r="Y23" s="90">
        <f>+'[1]Budget Comparativo'!D23/'[1]Budget Comparativo'!$Y$8</f>
        <v>30.666666666666668</v>
      </c>
      <c r="Z23" s="90">
        <f>+'[1]Budget Comparativo'!F23/'[1]Budget Comparativo'!$Z$8</f>
        <v>21.20851816799966</v>
      </c>
      <c r="AA23" s="90">
        <f t="shared" ref="AA23:AA50" si="15">+Y23-Z23</f>
        <v>9.4581484986670077</v>
      </c>
      <c r="AB23" s="89"/>
      <c r="AC23" s="89"/>
      <c r="AD23" s="89"/>
      <c r="AE23" s="89"/>
      <c r="AF23" s="90">
        <f>+'[1]Budget Comparativo'!K23/'[1]Budget Comparativo'!$AF$8</f>
        <v>18.75</v>
      </c>
      <c r="AG23" s="90">
        <f>+'[1]Budget Comparativo'!M23/'[1]Budget Comparativo'!$AG$8</f>
        <v>0.51144354941823289</v>
      </c>
      <c r="AH23" s="90">
        <f t="shared" ref="AH23:AH50" si="16">+AF23-AG23</f>
        <v>18.238556450581768</v>
      </c>
      <c r="AI23" s="89"/>
      <c r="AJ23" s="37"/>
      <c r="AK23" s="37"/>
      <c r="AL23" s="37"/>
    </row>
    <row r="24" spans="1:38" s="54" customFormat="1" ht="14">
      <c r="A24" s="25" t="s">
        <v>104</v>
      </c>
      <c r="B24" s="92" t="s">
        <v>105</v>
      </c>
      <c r="C24" s="93"/>
      <c r="D24" s="52">
        <v>14200</v>
      </c>
      <c r="E24" s="52" t="e">
        <f t="shared" ref="E24:E49" si="17">IF(A24="Acumulado",IF(F24&gt;D24,D24,F24),IF(A24="BN",+(D24/$D$8*$E$8),"VER"))</f>
        <v>#VALUE!</v>
      </c>
      <c r="F24" s="52" t="e">
        <f>+SUMIF([1]Resumen_Base!$A$7:$A$91,'[1]Budget Comparativo'!B24,[1]Resumen_Base!$Y$7:$Y$91)</f>
        <v>#VALUE!</v>
      </c>
      <c r="G24" s="52" t="e">
        <f>+E24-F24</f>
        <v>#VALUE!</v>
      </c>
      <c r="H24" s="88"/>
      <c r="I24" s="94" t="e">
        <f>IF(ROUND(F24,0)=0,0,IF(D24=0,0,+F24/D24))</f>
        <v>#VALUE!</v>
      </c>
      <c r="K24" s="52">
        <v>0</v>
      </c>
      <c r="L24" s="52" t="e">
        <f t="shared" ref="L24:L49" si="18">IF(A24="Acumulado",IF(M24&gt;K24,K24,M24),IF(A24="BN",+(K24/$K$8*$L$8),"VER"))</f>
        <v>#VALUE!</v>
      </c>
      <c r="M24" s="52" t="e">
        <f>SUMIF([1]Resumen_Base!$A$94:$A$160,'[1]Budget Comparativo'!B24,[1]Resumen_Base!$Y$94:$Y$160)</f>
        <v>#VALUE!</v>
      </c>
      <c r="N24" s="52" t="e">
        <f>+L24-M24</f>
        <v>#VALUE!</v>
      </c>
      <c r="O24" s="47"/>
      <c r="P24" s="94" t="e">
        <f>IF(ROUND(M24,0)=0,0,IF(K24=0,0,+M24/K24))</f>
        <v>#VALUE!</v>
      </c>
      <c r="R24" s="52">
        <f t="shared" ref="R24:T26" si="19">+D24+K24</f>
        <v>14200</v>
      </c>
      <c r="S24" s="52" t="e">
        <f t="shared" si="19"/>
        <v>#VALUE!</v>
      </c>
      <c r="T24" s="52" t="e">
        <f t="shared" si="19"/>
        <v>#VALUE!</v>
      </c>
      <c r="U24" s="52" t="e">
        <f>+S24-T24</f>
        <v>#VALUE!</v>
      </c>
      <c r="V24" s="47"/>
      <c r="W24" s="94" t="e">
        <f>IF(ROUND(T24,0)=0,0,IF(R24=0,0,+T24/R24))</f>
        <v>#VALUE!</v>
      </c>
      <c r="Y24" s="55">
        <f>+'[1]Budget Comparativo'!D24/'[1]Budget Comparativo'!$Y$8</f>
        <v>11.833333333333334</v>
      </c>
      <c r="Z24" s="55">
        <f>+'[1]Budget Comparativo'!F24/'[1]Budget Comparativo'!$Z$8</f>
        <v>12.704523580365736</v>
      </c>
      <c r="AA24" s="55">
        <f t="shared" si="15"/>
        <v>-0.871190247032402</v>
      </c>
      <c r="AF24" s="55">
        <f>+'[1]Budget Comparativo'!K24/'[1]Budget Comparativo'!$AF$8</f>
        <v>0</v>
      </c>
      <c r="AG24" s="55">
        <f>+'[1]Budget Comparativo'!M24/'[1]Budget Comparativo'!$AG$8</f>
        <v>0</v>
      </c>
      <c r="AH24" s="55">
        <f t="shared" si="16"/>
        <v>0</v>
      </c>
      <c r="AJ24" s="37">
        <v>5208</v>
      </c>
      <c r="AK24" s="37"/>
      <c r="AL24" s="37"/>
    </row>
    <row r="25" spans="1:38" s="54" customFormat="1" ht="14">
      <c r="A25" s="25" t="s">
        <v>104</v>
      </c>
      <c r="B25" s="92" t="s">
        <v>106</v>
      </c>
      <c r="C25" s="93"/>
      <c r="D25" s="52">
        <f>+$D$8*18</f>
        <v>21600</v>
      </c>
      <c r="E25" s="52" t="e">
        <f t="shared" si="17"/>
        <v>#VALUE!</v>
      </c>
      <c r="F25" s="52" t="e">
        <f>+SUMIF([1]Resumen_Base!$A$7:$A$91,'[1]Budget Comparativo'!B25,[1]Resumen_Base!$Y$7:$Y$91)</f>
        <v>#VALUE!</v>
      </c>
      <c r="G25" s="52" t="e">
        <f t="shared" ref="G25:G49" si="20">+E25-F25</f>
        <v>#VALUE!</v>
      </c>
      <c r="H25" s="88" t="s">
        <v>107</v>
      </c>
      <c r="I25" s="94" t="e">
        <f>IF(ROUND(F25,0)=0,0,+F25/D25)</f>
        <v>#VALUE!</v>
      </c>
      <c r="K25" s="52">
        <v>0</v>
      </c>
      <c r="L25" s="52" t="e">
        <f t="shared" si="18"/>
        <v>#VALUE!</v>
      </c>
      <c r="M25" s="52" t="e">
        <f>SUMIF([1]Resumen_Base!$A$94:$A$160,'[1]Budget Comparativo'!B25,[1]Resumen_Base!$Y$94:$Y$160)</f>
        <v>#VALUE!</v>
      </c>
      <c r="N25" s="52" t="e">
        <f t="shared" ref="N25:N26" si="21">+L25-M25</f>
        <v>#VALUE!</v>
      </c>
      <c r="O25" s="47"/>
      <c r="P25" s="94" t="e">
        <f>IF(ROUND(M25,0)=0,0,+M25/K25)</f>
        <v>#VALUE!</v>
      </c>
      <c r="R25" s="52">
        <f t="shared" si="19"/>
        <v>21600</v>
      </c>
      <c r="S25" s="52" t="e">
        <f t="shared" si="19"/>
        <v>#VALUE!</v>
      </c>
      <c r="T25" s="52" t="e">
        <f t="shared" si="19"/>
        <v>#VALUE!</v>
      </c>
      <c r="U25" s="52" t="e">
        <f t="shared" ref="U25:U26" si="22">+S25-T25</f>
        <v>#VALUE!</v>
      </c>
      <c r="V25" s="47"/>
      <c r="W25" s="94" t="e">
        <f>IF(ROUND(T25,0)=0,0,+T25/R25)</f>
        <v>#VALUE!</v>
      </c>
      <c r="Y25" s="55">
        <f>+'[1]Budget Comparativo'!D25/'[1]Budget Comparativo'!$Y$8</f>
        <v>18</v>
      </c>
      <c r="Z25" s="55">
        <f>+'[1]Budget Comparativo'!F25/'[1]Budget Comparativo'!$Z$8</f>
        <v>8.5039945876339225</v>
      </c>
      <c r="AA25" s="55">
        <f t="shared" si="15"/>
        <v>9.4960054123660775</v>
      </c>
      <c r="AF25" s="55">
        <f>+'[1]Budget Comparativo'!K25/'[1]Budget Comparativo'!$AF$8</f>
        <v>0</v>
      </c>
      <c r="AG25" s="55">
        <f>+'[1]Budget Comparativo'!M25/'[1]Budget Comparativo'!$AG$8</f>
        <v>0</v>
      </c>
      <c r="AH25" s="55">
        <f t="shared" si="16"/>
        <v>0</v>
      </c>
      <c r="AJ25" s="37">
        <v>5207</v>
      </c>
      <c r="AK25" s="37">
        <v>5283</v>
      </c>
      <c r="AL25" s="37"/>
    </row>
    <row r="26" spans="1:38" s="54" customFormat="1" ht="14">
      <c r="A26" s="25" t="s">
        <v>104</v>
      </c>
      <c r="B26" s="92" t="s">
        <v>108</v>
      </c>
      <c r="C26" s="93"/>
      <c r="D26" s="52">
        <v>1000</v>
      </c>
      <c r="E26" s="52" t="e">
        <f t="shared" si="17"/>
        <v>#VALUE!</v>
      </c>
      <c r="F26" s="52" t="e">
        <f>+SUMIF([1]Resumen_Base!$A$7:$A$91,'[1]Budget Comparativo'!B26,[1]Resumen_Base!$Y$7:$Y$91)</f>
        <v>#VALUE!</v>
      </c>
      <c r="G26" s="52" t="e">
        <f t="shared" si="20"/>
        <v>#VALUE!</v>
      </c>
      <c r="H26" s="88"/>
      <c r="I26" s="94" t="e">
        <f t="shared" ref="I26:I31" si="23">IF(ROUND(F26,0)=0,0,IF(D26=0,0,+F26/D26))</f>
        <v>#VALUE!</v>
      </c>
      <c r="K26" s="52">
        <v>3000</v>
      </c>
      <c r="L26" s="52" t="e">
        <f t="shared" si="18"/>
        <v>#VALUE!</v>
      </c>
      <c r="M26" s="52" t="e">
        <f>SUMIF([1]Resumen_Base!$A$94:$A$160,'[1]Budget Comparativo'!B26,[1]Resumen_Base!$Y$94:$Y$160)</f>
        <v>#VALUE!</v>
      </c>
      <c r="N26" s="52" t="e">
        <f t="shared" si="21"/>
        <v>#VALUE!</v>
      </c>
      <c r="O26" s="47"/>
      <c r="P26" s="94" t="e">
        <f t="shared" ref="P26:P31" si="24">IF(ROUND(M26,0)=0,0,IF(K26=0,0,+M26/K26))</f>
        <v>#VALUE!</v>
      </c>
      <c r="R26" s="52">
        <f t="shared" si="19"/>
        <v>4000</v>
      </c>
      <c r="S26" s="52" t="e">
        <f t="shared" si="19"/>
        <v>#VALUE!</v>
      </c>
      <c r="T26" s="52" t="e">
        <f t="shared" si="19"/>
        <v>#VALUE!</v>
      </c>
      <c r="U26" s="52" t="e">
        <f t="shared" si="22"/>
        <v>#VALUE!</v>
      </c>
      <c r="V26" s="47"/>
      <c r="W26" s="94" t="e">
        <f t="shared" ref="W26:W31" si="25">IF(ROUND(T26,0)=0,0,IF(R26=0,0,+T26/R26))</f>
        <v>#VALUE!</v>
      </c>
      <c r="Y26" s="55">
        <f>+'[1]Budget Comparativo'!D26/'[1]Budget Comparativo'!$Y$8</f>
        <v>0.83333333333333337</v>
      </c>
      <c r="Z26" s="55">
        <f>+'[1]Budget Comparativo'!F26/'[1]Budget Comparativo'!$Z$8</f>
        <v>0</v>
      </c>
      <c r="AA26" s="55">
        <f t="shared" si="15"/>
        <v>0.83333333333333337</v>
      </c>
      <c r="AF26" s="55">
        <f>+'[1]Budget Comparativo'!K26/'[1]Budget Comparativo'!$AF$8</f>
        <v>18.75</v>
      </c>
      <c r="AG26" s="55">
        <f>+'[1]Budget Comparativo'!M26/'[1]Budget Comparativo'!$AG$8</f>
        <v>0.51144354941823289</v>
      </c>
      <c r="AH26" s="55">
        <f t="shared" si="16"/>
        <v>18.238556450581768</v>
      </c>
      <c r="AJ26" s="37">
        <v>5284</v>
      </c>
      <c r="AK26" s="37">
        <v>5258</v>
      </c>
      <c r="AL26" s="37"/>
    </row>
    <row r="27" spans="1:38" s="98" customFormat="1" ht="28">
      <c r="A27" s="95"/>
      <c r="B27" s="96" t="s">
        <v>109</v>
      </c>
      <c r="C27" s="97"/>
      <c r="D27" s="87">
        <f t="shared" ref="D27:G27" si="26">+SUM(D28:D31)</f>
        <v>102000</v>
      </c>
      <c r="E27" s="87" t="e">
        <f t="shared" si="26"/>
        <v>#VALUE!</v>
      </c>
      <c r="F27" s="87" t="e">
        <f t="shared" si="26"/>
        <v>#VALUE!</v>
      </c>
      <c r="G27" s="87" t="e">
        <f t="shared" si="26"/>
        <v>#VALUE!</v>
      </c>
      <c r="H27" s="88" t="s">
        <v>110</v>
      </c>
      <c r="I27" s="94" t="e">
        <f t="shared" si="23"/>
        <v>#VALUE!</v>
      </c>
      <c r="J27" s="54"/>
      <c r="K27" s="87">
        <f t="shared" ref="K27:N27" si="27">+SUM(K28:K31)</f>
        <v>33192</v>
      </c>
      <c r="L27" s="87" t="e">
        <f t="shared" si="27"/>
        <v>#VALUE!</v>
      </c>
      <c r="M27" s="87" t="e">
        <f t="shared" si="27"/>
        <v>#VALUE!</v>
      </c>
      <c r="N27" s="87" t="e">
        <f t="shared" si="27"/>
        <v>#VALUE!</v>
      </c>
      <c r="O27" s="47"/>
      <c r="P27" s="94" t="e">
        <f t="shared" si="24"/>
        <v>#VALUE!</v>
      </c>
      <c r="Q27" s="54"/>
      <c r="R27" s="87">
        <f t="shared" ref="R27:U27" si="28">+SUM(R28:R31)</f>
        <v>135192</v>
      </c>
      <c r="S27" s="87" t="e">
        <f t="shared" si="28"/>
        <v>#VALUE!</v>
      </c>
      <c r="T27" s="87" t="e">
        <f t="shared" si="28"/>
        <v>#VALUE!</v>
      </c>
      <c r="U27" s="87" t="e">
        <f t="shared" si="28"/>
        <v>#VALUE!</v>
      </c>
      <c r="V27" s="47"/>
      <c r="W27" s="94" t="e">
        <f t="shared" si="25"/>
        <v>#VALUE!</v>
      </c>
      <c r="X27" s="54"/>
      <c r="Y27" s="90">
        <f>+'[1]Budget Comparativo'!D27/'[1]Budget Comparativo'!$Y$8</f>
        <v>85</v>
      </c>
      <c r="Z27" s="90">
        <f>+'[1]Budget Comparativo'!F27/'[1]Budget Comparativo'!$Z$8</f>
        <v>96.388461600597964</v>
      </c>
      <c r="AA27" s="90">
        <f t="shared" si="15"/>
        <v>-11.388461600597964</v>
      </c>
      <c r="AB27" s="54"/>
      <c r="AC27" s="54"/>
      <c r="AD27" s="54"/>
      <c r="AE27" s="54"/>
      <c r="AF27" s="90">
        <f>+'[1]Budget Comparativo'!K27/'[1]Budget Comparativo'!$AF$8</f>
        <v>207.45</v>
      </c>
      <c r="AG27" s="90">
        <f>+'[1]Budget Comparativo'!M27/'[1]Budget Comparativo'!$AG$8</f>
        <v>152.19206270141046</v>
      </c>
      <c r="AH27" s="90">
        <f t="shared" si="16"/>
        <v>55.257937298589525</v>
      </c>
      <c r="AI27" s="54"/>
      <c r="AJ27" s="37"/>
      <c r="AK27" s="37"/>
      <c r="AL27" s="37"/>
    </row>
    <row r="28" spans="1:38" s="54" customFormat="1" ht="14">
      <c r="A28" s="25" t="s">
        <v>104</v>
      </c>
      <c r="B28" s="92" t="s">
        <v>111</v>
      </c>
      <c r="C28" s="93"/>
      <c r="D28" s="52">
        <v>30000</v>
      </c>
      <c r="E28" s="52" t="e">
        <f t="shared" si="17"/>
        <v>#VALUE!</v>
      </c>
      <c r="F28" s="52" t="e">
        <f>+SUMIF([1]Resumen_Base!$A$7:$A$91,'[1]Budget Comparativo'!B28,[1]Resumen_Base!$Y$7:$Y$91)+'[1]Stock - Deudas'!F16</f>
        <v>#VALUE!</v>
      </c>
      <c r="G28" s="52" t="e">
        <f t="shared" si="20"/>
        <v>#VALUE!</v>
      </c>
      <c r="H28" s="88" t="s">
        <v>112</v>
      </c>
      <c r="I28" s="94" t="e">
        <f t="shared" si="23"/>
        <v>#VALUE!</v>
      </c>
      <c r="K28" s="52">
        <v>3692</v>
      </c>
      <c r="L28" s="52" t="e">
        <f t="shared" si="18"/>
        <v>#VALUE!</v>
      </c>
      <c r="M28" s="52" t="e">
        <f>SUMIF([1]Resumen_Base!$A$94:$A$160,'[1]Budget Comparativo'!B28,[1]Resumen_Base!$Y$94:$Y$160)</f>
        <v>#VALUE!</v>
      </c>
      <c r="N28" s="52" t="e">
        <f t="shared" ref="N28:N33" si="29">+L28-M28</f>
        <v>#VALUE!</v>
      </c>
      <c r="O28" s="47"/>
      <c r="P28" s="94" t="e">
        <f t="shared" si="24"/>
        <v>#VALUE!</v>
      </c>
      <c r="R28" s="52">
        <f t="shared" ref="R28:T33" si="30">+D28+K28</f>
        <v>33692</v>
      </c>
      <c r="S28" s="52" t="e">
        <f t="shared" si="30"/>
        <v>#VALUE!</v>
      </c>
      <c r="T28" s="52" t="e">
        <f t="shared" si="30"/>
        <v>#VALUE!</v>
      </c>
      <c r="U28" s="52" t="e">
        <f t="shared" ref="U28:U33" si="31">+S28-T28</f>
        <v>#VALUE!</v>
      </c>
      <c r="V28" s="47"/>
      <c r="W28" s="94" t="e">
        <f t="shared" si="25"/>
        <v>#VALUE!</v>
      </c>
      <c r="Y28" s="55">
        <f>+'[1]Budget Comparativo'!D28/'[1]Budget Comparativo'!$Y$8</f>
        <v>25</v>
      </c>
      <c r="Z28" s="55">
        <f>+'[1]Budget Comparativo'!F28/'[1]Budget Comparativo'!$Z$8</f>
        <v>30.514205967276226</v>
      </c>
      <c r="AA28" s="55">
        <f t="shared" si="15"/>
        <v>-5.5142059672762258</v>
      </c>
      <c r="AF28" s="55">
        <f>+'[1]Budget Comparativo'!K28/'[1]Budget Comparativo'!$AF$8</f>
        <v>23.074999999999999</v>
      </c>
      <c r="AG28" s="55">
        <f>+'[1]Budget Comparativo'!M28/'[1]Budget Comparativo'!$AG$8</f>
        <v>36.184556962025319</v>
      </c>
      <c r="AH28" s="55">
        <f t="shared" si="16"/>
        <v>-13.109556962025319</v>
      </c>
      <c r="AJ28" s="37">
        <v>5228</v>
      </c>
      <c r="AK28" s="37"/>
      <c r="AL28" s="37"/>
    </row>
    <row r="29" spans="1:38" s="54" customFormat="1" ht="14">
      <c r="A29" s="25" t="s">
        <v>104</v>
      </c>
      <c r="B29" s="92" t="s">
        <v>113</v>
      </c>
      <c r="C29" s="93"/>
      <c r="D29" s="52">
        <v>26000</v>
      </c>
      <c r="E29" s="52" t="e">
        <f>IF(A29="Acumulado",IF(F29&gt;D29,D29,F29),IF(A29="BN",+(D29/$D$8*$E$8),"VER"))</f>
        <v>#VALUE!</v>
      </c>
      <c r="F29" s="52" t="e">
        <f>+SUMIF([1]Resumen_Base!$A$7:$A$91,'[1]Budget Comparativo'!B29,[1]Resumen_Base!$Y$7:$Y$91)+'[1]Stock - Deudas'!F20</f>
        <v>#VALUE!</v>
      </c>
      <c r="G29" s="52" t="e">
        <f t="shared" si="20"/>
        <v>#VALUE!</v>
      </c>
      <c r="H29" s="88" t="s">
        <v>114</v>
      </c>
      <c r="I29" s="94" t="e">
        <f t="shared" si="23"/>
        <v>#VALUE!</v>
      </c>
      <c r="K29" s="52">
        <v>17500</v>
      </c>
      <c r="L29" s="52" t="e">
        <f t="shared" si="18"/>
        <v>#VALUE!</v>
      </c>
      <c r="M29" s="52" t="e">
        <f>SUMIF([1]Resumen_Base!$A$94:$A$160,'[1]Budget Comparativo'!B29,[1]Resumen_Base!$Y$94:$Y$160)</f>
        <v>#VALUE!</v>
      </c>
      <c r="N29" s="52" t="e">
        <f t="shared" si="29"/>
        <v>#VALUE!</v>
      </c>
      <c r="O29" s="47"/>
      <c r="P29" s="94" t="e">
        <f t="shared" si="24"/>
        <v>#VALUE!</v>
      </c>
      <c r="R29" s="52">
        <f t="shared" si="30"/>
        <v>43500</v>
      </c>
      <c r="S29" s="52" t="e">
        <f t="shared" si="30"/>
        <v>#VALUE!</v>
      </c>
      <c r="T29" s="52" t="e">
        <f t="shared" si="30"/>
        <v>#VALUE!</v>
      </c>
      <c r="U29" s="52" t="e">
        <f t="shared" si="31"/>
        <v>#VALUE!</v>
      </c>
      <c r="V29" s="47"/>
      <c r="W29" s="94" t="e">
        <f t="shared" si="25"/>
        <v>#VALUE!</v>
      </c>
      <c r="Y29" s="55">
        <f>+'[1]Budget Comparativo'!D29/'[1]Budget Comparativo'!$Y$8</f>
        <v>21.666666666666668</v>
      </c>
      <c r="Z29" s="55">
        <f>+'[1]Budget Comparativo'!F29/'[1]Budget Comparativo'!$Z$8</f>
        <v>24.816297259586893</v>
      </c>
      <c r="AA29" s="55">
        <f t="shared" si="15"/>
        <v>-3.1496305929202251</v>
      </c>
      <c r="AF29" s="55">
        <f>+'[1]Budget Comparativo'!K29/'[1]Budget Comparativo'!$AF$8</f>
        <v>109.375</v>
      </c>
      <c r="AG29" s="55">
        <f>+'[1]Budget Comparativo'!M29/'[1]Budget Comparativo'!$AG$8</f>
        <v>19.963527140098691</v>
      </c>
      <c r="AH29" s="55">
        <f t="shared" si="16"/>
        <v>89.411472859901309</v>
      </c>
      <c r="AJ29" s="37">
        <v>5227</v>
      </c>
      <c r="AK29" s="37">
        <v>5280</v>
      </c>
      <c r="AL29" s="37"/>
    </row>
    <row r="30" spans="1:38" s="54" customFormat="1" ht="14">
      <c r="A30" s="25" t="s">
        <v>104</v>
      </c>
      <c r="B30" s="92" t="s">
        <v>115</v>
      </c>
      <c r="C30" s="93"/>
      <c r="D30" s="52">
        <v>35000</v>
      </c>
      <c r="E30" s="52" t="e">
        <f t="shared" si="17"/>
        <v>#VALUE!</v>
      </c>
      <c r="F30" s="52" t="e">
        <f>+SUMIF([1]Resumen_Base!$A$7:$A$91,'[1]Budget Comparativo'!B30,[1]Resumen_Base!$Y$7:$Y$91)+'[1]Stock - Deudas'!F18</f>
        <v>#VALUE!</v>
      </c>
      <c r="G30" s="52" t="e">
        <f t="shared" si="20"/>
        <v>#VALUE!</v>
      </c>
      <c r="H30" s="88" t="s">
        <v>116</v>
      </c>
      <c r="I30" s="94" t="e">
        <f t="shared" si="23"/>
        <v>#VALUE!</v>
      </c>
      <c r="K30" s="52">
        <v>8000</v>
      </c>
      <c r="L30" s="52" t="e">
        <f t="shared" si="18"/>
        <v>#VALUE!</v>
      </c>
      <c r="M30" s="52" t="e">
        <f>SUMIF([1]Resumen_Base!$A$94:$A$160,'[1]Budget Comparativo'!B30,[1]Resumen_Base!$Y$94:$Y$160)</f>
        <v>#VALUE!</v>
      </c>
      <c r="N30" s="52" t="e">
        <f t="shared" si="29"/>
        <v>#VALUE!</v>
      </c>
      <c r="O30" s="47"/>
      <c r="P30" s="94" t="e">
        <f t="shared" si="24"/>
        <v>#VALUE!</v>
      </c>
      <c r="R30" s="52">
        <f t="shared" si="30"/>
        <v>43000</v>
      </c>
      <c r="S30" s="52" t="e">
        <f t="shared" si="30"/>
        <v>#VALUE!</v>
      </c>
      <c r="T30" s="52" t="e">
        <f t="shared" si="30"/>
        <v>#VALUE!</v>
      </c>
      <c r="U30" s="52" t="e">
        <f t="shared" si="31"/>
        <v>#VALUE!</v>
      </c>
      <c r="V30" s="47"/>
      <c r="W30" s="94" t="e">
        <f t="shared" si="25"/>
        <v>#VALUE!</v>
      </c>
      <c r="Y30" s="55">
        <f>+'[1]Budget Comparativo'!D30/'[1]Budget Comparativo'!$Y$8</f>
        <v>29.166666666666668</v>
      </c>
      <c r="Z30" s="55">
        <f>+'[1]Budget Comparativo'!F30/'[1]Budget Comparativo'!$Z$8</f>
        <v>28.11896844108772</v>
      </c>
      <c r="AA30" s="55">
        <f t="shared" si="15"/>
        <v>1.047698225578948</v>
      </c>
      <c r="AF30" s="55">
        <f>+'[1]Budget Comparativo'!K30/'[1]Budget Comparativo'!$AF$8</f>
        <v>50</v>
      </c>
      <c r="AG30" s="55">
        <f>+'[1]Budget Comparativo'!M30/'[1]Budget Comparativo'!$AG$8</f>
        <v>71.329421637261149</v>
      </c>
      <c r="AH30" s="55">
        <f t="shared" si="16"/>
        <v>-21.329421637261149</v>
      </c>
      <c r="AJ30" s="37">
        <v>5226</v>
      </c>
      <c r="AK30" s="37">
        <v>5281</v>
      </c>
      <c r="AL30" s="37"/>
    </row>
    <row r="31" spans="1:38" s="54" customFormat="1" ht="14">
      <c r="A31" s="25" t="s">
        <v>104</v>
      </c>
      <c r="B31" s="92" t="s">
        <v>117</v>
      </c>
      <c r="C31" s="93"/>
      <c r="D31" s="52">
        <v>11000</v>
      </c>
      <c r="E31" s="52" t="e">
        <f t="shared" si="17"/>
        <v>#VALUE!</v>
      </c>
      <c r="F31" s="52" t="e">
        <f>+SUMIF([1]Resumen_Base!$A$7:$A$91,'[1]Budget Comparativo'!B31,[1]Resumen_Base!$Y$7:$Y$91)</f>
        <v>#VALUE!</v>
      </c>
      <c r="G31" s="52" t="e">
        <f t="shared" si="20"/>
        <v>#VALUE!</v>
      </c>
      <c r="H31" s="88" t="s">
        <v>118</v>
      </c>
      <c r="I31" s="94" t="e">
        <f t="shared" si="23"/>
        <v>#VALUE!</v>
      </c>
      <c r="K31" s="52">
        <v>4000</v>
      </c>
      <c r="L31" s="52" t="e">
        <f t="shared" si="18"/>
        <v>#VALUE!</v>
      </c>
      <c r="M31" s="52" t="e">
        <f>SUMIF([1]Resumen_Base!$A$94:$A$160,'[1]Budget Comparativo'!B31,[1]Resumen_Base!$Y$94:$Y$160)</f>
        <v>#VALUE!</v>
      </c>
      <c r="N31" s="52" t="e">
        <f t="shared" si="29"/>
        <v>#VALUE!</v>
      </c>
      <c r="O31" s="47"/>
      <c r="P31" s="94" t="e">
        <f t="shared" si="24"/>
        <v>#VALUE!</v>
      </c>
      <c r="R31" s="52">
        <f t="shared" si="30"/>
        <v>15000</v>
      </c>
      <c r="S31" s="52" t="e">
        <f t="shared" si="30"/>
        <v>#VALUE!</v>
      </c>
      <c r="T31" s="52" t="e">
        <f t="shared" si="30"/>
        <v>#VALUE!</v>
      </c>
      <c r="U31" s="52" t="e">
        <f t="shared" si="31"/>
        <v>#VALUE!</v>
      </c>
      <c r="V31" s="47"/>
      <c r="W31" s="94" t="e">
        <f t="shared" si="25"/>
        <v>#VALUE!</v>
      </c>
      <c r="Y31" s="55">
        <f>+'[1]Budget Comparativo'!D31/'[1]Budget Comparativo'!$Y$8</f>
        <v>9.1666666666666661</v>
      </c>
      <c r="Z31" s="55">
        <f>+'[1]Budget Comparativo'!F31/'[1]Budget Comparativo'!$Z$8</f>
        <v>12.938989932647125</v>
      </c>
      <c r="AA31" s="55">
        <f t="shared" si="15"/>
        <v>-3.7723232659804591</v>
      </c>
      <c r="AF31" s="55">
        <f>+'[1]Budget Comparativo'!K31/'[1]Budget Comparativo'!$AF$8</f>
        <v>25</v>
      </c>
      <c r="AG31" s="55">
        <f>+'[1]Budget Comparativo'!M31/'[1]Budget Comparativo'!$AG$8</f>
        <v>24.714556962025316</v>
      </c>
      <c r="AH31" s="55">
        <f t="shared" si="16"/>
        <v>0.28544303797468373</v>
      </c>
      <c r="AJ31" s="37">
        <v>5235</v>
      </c>
      <c r="AK31" s="37">
        <v>5236</v>
      </c>
      <c r="AL31" s="37">
        <v>5237</v>
      </c>
    </row>
    <row r="32" spans="1:38" s="56" customFormat="1" ht="14">
      <c r="A32" s="25" t="s">
        <v>26</v>
      </c>
      <c r="B32" s="57" t="s">
        <v>32</v>
      </c>
      <c r="C32" s="51"/>
      <c r="D32" s="52">
        <v>0</v>
      </c>
      <c r="E32" s="52">
        <f t="shared" si="17"/>
        <v>0</v>
      </c>
      <c r="F32" s="52"/>
      <c r="G32" s="52">
        <f t="shared" si="20"/>
        <v>0</v>
      </c>
      <c r="H32" s="88"/>
      <c r="I32" s="52"/>
      <c r="J32" s="54"/>
      <c r="K32" s="52">
        <v>0</v>
      </c>
      <c r="L32" s="52">
        <f t="shared" si="18"/>
        <v>0</v>
      </c>
      <c r="M32" s="52">
        <f>SUMIF([1]Resumen_Base!$A$94:$A$160,'[1]Budget Comparativo'!B32,[1]Resumen_Base!$Y$94:$Y$160)</f>
        <v>0</v>
      </c>
      <c r="N32" s="52">
        <f t="shared" si="29"/>
        <v>0</v>
      </c>
      <c r="O32" s="47"/>
      <c r="P32" s="52"/>
      <c r="Q32" s="54"/>
      <c r="R32" s="52">
        <f t="shared" si="30"/>
        <v>0</v>
      </c>
      <c r="S32" s="52">
        <f t="shared" si="30"/>
        <v>0</v>
      </c>
      <c r="T32" s="52">
        <f t="shared" si="30"/>
        <v>0</v>
      </c>
      <c r="U32" s="52">
        <f t="shared" si="31"/>
        <v>0</v>
      </c>
      <c r="V32" s="47"/>
      <c r="W32" s="52"/>
      <c r="X32" s="54"/>
      <c r="Y32" s="55">
        <f>+'[1]Budget Comparativo'!D32/'[1]Budget Comparativo'!$Y$8</f>
        <v>0</v>
      </c>
      <c r="Z32" s="55">
        <f>+'[1]Budget Comparativo'!F32/'[1]Budget Comparativo'!$Z$8</f>
        <v>0</v>
      </c>
      <c r="AA32" s="55">
        <f t="shared" si="15"/>
        <v>0</v>
      </c>
      <c r="AB32" s="54"/>
      <c r="AC32" s="54"/>
      <c r="AD32" s="54"/>
      <c r="AE32" s="54"/>
      <c r="AF32" s="55">
        <f>+'[1]Budget Comparativo'!K32/'[1]Budget Comparativo'!$AF$8</f>
        <v>0</v>
      </c>
      <c r="AG32" s="55">
        <f>+'[1]Budget Comparativo'!M32/'[1]Budget Comparativo'!$AG$8</f>
        <v>0</v>
      </c>
      <c r="AH32" s="55">
        <f t="shared" si="16"/>
        <v>0</v>
      </c>
      <c r="AI32" s="54"/>
      <c r="AJ32" s="37"/>
      <c r="AK32" s="37"/>
      <c r="AL32" s="37"/>
    </row>
    <row r="33" spans="1:41" s="54" customFormat="1" ht="42">
      <c r="A33" s="25" t="s">
        <v>26</v>
      </c>
      <c r="B33" s="99" t="s">
        <v>119</v>
      </c>
      <c r="C33" s="51"/>
      <c r="D33" s="52">
        <f>+$D$8*55</f>
        <v>66000</v>
      </c>
      <c r="E33" s="52">
        <f t="shared" si="17"/>
        <v>57145</v>
      </c>
      <c r="F33" s="52" t="e">
        <f>+SUMIF([1]Resumen_Base!$A$7:$A$91,'[1]Budget Comparativo'!B33,[1]Resumen_Base!$Y$7:$Y$91)+'[1]Stock - Deudas'!$F$6</f>
        <v>#VALUE!</v>
      </c>
      <c r="G33" s="52" t="e">
        <f t="shared" si="20"/>
        <v>#VALUE!</v>
      </c>
      <c r="H33" s="47" t="s">
        <v>120</v>
      </c>
      <c r="I33" s="52"/>
      <c r="K33" s="52">
        <f>ROUND($K$8*60,0)</f>
        <v>9600</v>
      </c>
      <c r="L33" s="52">
        <f t="shared" si="18"/>
        <v>4740</v>
      </c>
      <c r="M33" s="52" t="e">
        <f>SUMIF([1]Resumen_Base!$A$94:$A$160,'[1]Budget Comparativo'!B33,[1]Resumen_Base!$Y$94:$Y$160)+'[1]Stock - Deudas'!$F$34</f>
        <v>#VALUE!</v>
      </c>
      <c r="N33" s="52" t="e">
        <f t="shared" si="29"/>
        <v>#VALUE!</v>
      </c>
      <c r="O33" s="47" t="s">
        <v>121</v>
      </c>
      <c r="P33" s="52"/>
      <c r="R33" s="52">
        <f t="shared" si="30"/>
        <v>75600</v>
      </c>
      <c r="S33" s="52">
        <f t="shared" si="30"/>
        <v>61885</v>
      </c>
      <c r="T33" s="52" t="e">
        <f t="shared" si="30"/>
        <v>#VALUE!</v>
      </c>
      <c r="U33" s="52" t="e">
        <f t="shared" si="31"/>
        <v>#VALUE!</v>
      </c>
      <c r="V33" s="47" t="s">
        <v>122</v>
      </c>
      <c r="W33" s="52"/>
      <c r="Y33" s="55">
        <f>+'[1]Budget Comparativo'!D33/'[1]Budget Comparativo'!$Y$8</f>
        <v>55</v>
      </c>
      <c r="Z33" s="55">
        <f>+'[1]Budget Comparativo'!F33/'[1]Budget Comparativo'!$Z$8</f>
        <v>62.180293023274047</v>
      </c>
      <c r="AA33" s="55">
        <f t="shared" si="15"/>
        <v>-7.1802930232740465</v>
      </c>
      <c r="AF33" s="55">
        <f>+'[1]Budget Comparativo'!K33/'[1]Budget Comparativo'!$AF$8</f>
        <v>60</v>
      </c>
      <c r="AG33" s="55">
        <f>+'[1]Budget Comparativo'!M33/'[1]Budget Comparativo'!$AG$8</f>
        <v>86.968729007558068</v>
      </c>
      <c r="AH33" s="55">
        <f t="shared" si="16"/>
        <v>-26.968729007558068</v>
      </c>
      <c r="AJ33" s="37">
        <v>5250</v>
      </c>
      <c r="AK33" s="37">
        <v>5251</v>
      </c>
      <c r="AL33" s="37">
        <v>5213</v>
      </c>
      <c r="AM33" s="37">
        <v>5291</v>
      </c>
      <c r="AN33" s="37">
        <v>5289</v>
      </c>
      <c r="AO33" s="37"/>
    </row>
    <row r="34" spans="1:41" s="98" customFormat="1" ht="16">
      <c r="A34" s="95"/>
      <c r="B34" s="96" t="s">
        <v>123</v>
      </c>
      <c r="C34" s="97"/>
      <c r="D34" s="87">
        <f t="shared" ref="D34:G34" si="32">+SUM(D35:D37)</f>
        <v>25000</v>
      </c>
      <c r="E34" s="87">
        <f t="shared" si="32"/>
        <v>21645.833333333336</v>
      </c>
      <c r="F34" s="87" t="e">
        <f t="shared" si="32"/>
        <v>#VALUE!</v>
      </c>
      <c r="G34" s="87" t="e">
        <f t="shared" si="32"/>
        <v>#VALUE!</v>
      </c>
      <c r="H34" s="88"/>
      <c r="I34" s="87"/>
      <c r="J34" s="54"/>
      <c r="K34" s="87">
        <f t="shared" ref="K34:N34" si="33">+SUM(K35:K37)</f>
        <v>12200</v>
      </c>
      <c r="L34" s="87">
        <f t="shared" si="33"/>
        <v>6023.75</v>
      </c>
      <c r="M34" s="87" t="e">
        <f t="shared" si="33"/>
        <v>#VALUE!</v>
      </c>
      <c r="N34" s="87" t="e">
        <f t="shared" si="33"/>
        <v>#VALUE!</v>
      </c>
      <c r="O34" s="47"/>
      <c r="P34" s="87"/>
      <c r="Q34" s="54"/>
      <c r="R34" s="87">
        <f t="shared" ref="R34:U34" si="34">+SUM(R35:R37)</f>
        <v>37200</v>
      </c>
      <c r="S34" s="87">
        <f t="shared" si="34"/>
        <v>27669.583333333336</v>
      </c>
      <c r="T34" s="87" t="e">
        <f t="shared" si="34"/>
        <v>#VALUE!</v>
      </c>
      <c r="U34" s="87" t="e">
        <f t="shared" si="34"/>
        <v>#VALUE!</v>
      </c>
      <c r="V34" s="47"/>
      <c r="W34" s="87"/>
      <c r="X34" s="54"/>
      <c r="Y34" s="90">
        <f>+'[1]Budget Comparativo'!D34/'[1]Budget Comparativo'!$Y$8</f>
        <v>20.833333333333332</v>
      </c>
      <c r="Z34" s="90">
        <f>+'[1]Budget Comparativo'!F34/'[1]Budget Comparativo'!$Z$8</f>
        <v>23.565077327575782</v>
      </c>
      <c r="AA34" s="90">
        <f t="shared" si="15"/>
        <v>-2.73174399424245</v>
      </c>
      <c r="AB34" s="54"/>
      <c r="AC34" s="54"/>
      <c r="AD34" s="54"/>
      <c r="AE34" s="54"/>
      <c r="AF34" s="90">
        <f>+'[1]Budget Comparativo'!K34/'[1]Budget Comparativo'!$AF$8</f>
        <v>76.25</v>
      </c>
      <c r="AG34" s="90">
        <f>+'[1]Budget Comparativo'!M34/'[1]Budget Comparativo'!$AG$8</f>
        <v>37.674536140124786</v>
      </c>
      <c r="AH34" s="90">
        <f t="shared" si="16"/>
        <v>38.575463859875214</v>
      </c>
      <c r="AI34" s="54"/>
      <c r="AJ34" s="37"/>
      <c r="AK34" s="37"/>
      <c r="AL34" s="37"/>
      <c r="AM34" s="37"/>
      <c r="AN34" s="37"/>
      <c r="AO34" s="37"/>
    </row>
    <row r="35" spans="1:41" s="102" customFormat="1" ht="28">
      <c r="A35" s="25" t="s">
        <v>26</v>
      </c>
      <c r="B35" s="100" t="s">
        <v>124</v>
      </c>
      <c r="C35" s="101"/>
      <c r="D35" s="52">
        <v>500</v>
      </c>
      <c r="E35" s="52">
        <f t="shared" si="17"/>
        <v>432.91666666666669</v>
      </c>
      <c r="F35" s="52" t="e">
        <f>+SUMIF([1]Resumen_Base!$A$7:$A$91,'[1]Budget Comparativo'!B35,[1]Resumen_Base!$Y$7:$Y$91)+'[1]Stock - Deudas'!$F$8</f>
        <v>#VALUE!</v>
      </c>
      <c r="G35" s="52" t="e">
        <f t="shared" si="20"/>
        <v>#VALUE!</v>
      </c>
      <c r="H35" s="88" t="s">
        <v>125</v>
      </c>
      <c r="I35" s="52"/>
      <c r="J35" s="54"/>
      <c r="K35" s="52">
        <v>6000</v>
      </c>
      <c r="L35" s="52">
        <f t="shared" si="18"/>
        <v>2962.5</v>
      </c>
      <c r="M35" s="52" t="e">
        <f>SUMIF([1]Resumen_Base!$A$94:$A$160,'[1]Budget Comparativo'!B35,[1]Resumen_Base!$Y$94:$Y$160)</f>
        <v>#VALUE!</v>
      </c>
      <c r="N35" s="52" t="e">
        <f t="shared" ref="N35:N41" si="35">+L35-M35</f>
        <v>#VALUE!</v>
      </c>
      <c r="O35" s="47"/>
      <c r="P35" s="52"/>
      <c r="Q35" s="54"/>
      <c r="R35" s="52">
        <f t="shared" ref="R35:T41" si="36">+D35+K35</f>
        <v>6500</v>
      </c>
      <c r="S35" s="52">
        <f t="shared" si="36"/>
        <v>3395.4166666666665</v>
      </c>
      <c r="T35" s="52" t="e">
        <f t="shared" si="36"/>
        <v>#VALUE!</v>
      </c>
      <c r="U35" s="52" t="e">
        <f t="shared" ref="U35:U41" si="37">+S35-T35</f>
        <v>#VALUE!</v>
      </c>
      <c r="V35" s="47"/>
      <c r="W35" s="52"/>
      <c r="X35" s="54"/>
      <c r="Y35" s="55">
        <f>+'[1]Budget Comparativo'!D35/'[1]Budget Comparativo'!$Y$8</f>
        <v>0.41666666666666669</v>
      </c>
      <c r="Z35" s="55">
        <f>+'[1]Budget Comparativo'!F35/'[1]Budget Comparativo'!$Z$8</f>
        <v>1.0398772282542565</v>
      </c>
      <c r="AA35" s="55">
        <f t="shared" si="15"/>
        <v>-0.62321056158758981</v>
      </c>
      <c r="AB35" s="54"/>
      <c r="AC35" s="54"/>
      <c r="AD35" s="54"/>
      <c r="AE35" s="54"/>
      <c r="AF35" s="55">
        <f>+'[1]Budget Comparativo'!K35/'[1]Budget Comparativo'!$AF$8</f>
        <v>37.5</v>
      </c>
      <c r="AG35" s="55">
        <f>+'[1]Budget Comparativo'!M35/'[1]Budget Comparativo'!$AG$8</f>
        <v>14.905457611587186</v>
      </c>
      <c r="AH35" s="55">
        <f t="shared" si="16"/>
        <v>22.594542388412812</v>
      </c>
      <c r="AI35" s="54"/>
      <c r="AJ35" s="37">
        <v>5247</v>
      </c>
      <c r="AK35" s="37">
        <v>5259</v>
      </c>
      <c r="AL35" s="37"/>
      <c r="AM35" s="37"/>
      <c r="AN35" s="37"/>
      <c r="AO35" s="37"/>
    </row>
    <row r="36" spans="1:41" s="102" customFormat="1" ht="14">
      <c r="A36" s="25" t="s">
        <v>26</v>
      </c>
      <c r="B36" s="100" t="s">
        <v>126</v>
      </c>
      <c r="C36" s="101"/>
      <c r="D36" s="52">
        <f>+$D$8*20</f>
        <v>24000</v>
      </c>
      <c r="E36" s="52">
        <f t="shared" si="17"/>
        <v>20780</v>
      </c>
      <c r="F36" s="52" t="e">
        <f>+SUMIF([1]Resumen_Base!$A$7:$A$91,'[1]Budget Comparativo'!B36,[1]Resumen_Base!$Y$7:$Y$91)+'[1]Stock - Deudas'!$F$10</f>
        <v>#VALUE!</v>
      </c>
      <c r="G36" s="52" t="e">
        <f t="shared" si="20"/>
        <v>#VALUE!</v>
      </c>
      <c r="H36" s="88" t="s">
        <v>127</v>
      </c>
      <c r="I36" s="52"/>
      <c r="J36" s="54"/>
      <c r="K36" s="52">
        <f>ROUND($K$8*20,0)</f>
        <v>3200</v>
      </c>
      <c r="L36" s="52">
        <f t="shared" si="18"/>
        <v>1580</v>
      </c>
      <c r="M36" s="52" t="e">
        <f>SUMIF([1]Resumen_Base!$A$94:$A$160,'[1]Budget Comparativo'!B36,[1]Resumen_Base!$Y$94:$Y$160)</f>
        <v>#VALUE!</v>
      </c>
      <c r="N36" s="52" t="e">
        <f t="shared" si="35"/>
        <v>#VALUE!</v>
      </c>
      <c r="O36" s="47"/>
      <c r="P36" s="52"/>
      <c r="Q36" s="54"/>
      <c r="R36" s="52">
        <f t="shared" si="36"/>
        <v>27200</v>
      </c>
      <c r="S36" s="52">
        <f t="shared" si="36"/>
        <v>22360</v>
      </c>
      <c r="T36" s="52" t="e">
        <f t="shared" si="36"/>
        <v>#VALUE!</v>
      </c>
      <c r="U36" s="52" t="e">
        <f t="shared" si="37"/>
        <v>#VALUE!</v>
      </c>
      <c r="V36" s="47"/>
      <c r="W36" s="52"/>
      <c r="X36" s="54"/>
      <c r="Y36" s="55">
        <f>+'[1]Budget Comparativo'!D36/'[1]Budget Comparativo'!$Y$8</f>
        <v>20</v>
      </c>
      <c r="Z36" s="55">
        <f>+'[1]Budget Comparativo'!F36/'[1]Budget Comparativo'!$Z$8</f>
        <v>22.063032295045957</v>
      </c>
      <c r="AA36" s="55">
        <f t="shared" si="15"/>
        <v>-2.0630322950459572</v>
      </c>
      <c r="AB36" s="54"/>
      <c r="AC36" s="54"/>
      <c r="AD36" s="54"/>
      <c r="AE36" s="54"/>
      <c r="AF36" s="55">
        <f>+'[1]Budget Comparativo'!K36/'[1]Budget Comparativo'!$AF$8</f>
        <v>20</v>
      </c>
      <c r="AG36" s="55">
        <f>+'[1]Budget Comparativo'!M36/'[1]Budget Comparativo'!$AG$8</f>
        <v>15.916065242865544</v>
      </c>
      <c r="AH36" s="55">
        <f t="shared" si="16"/>
        <v>4.0839347571344558</v>
      </c>
      <c r="AI36" s="54"/>
      <c r="AJ36" s="37">
        <v>5248</v>
      </c>
      <c r="AK36" s="37">
        <v>5288</v>
      </c>
      <c r="AL36" s="37"/>
      <c r="AM36" s="37"/>
      <c r="AN36" s="37"/>
      <c r="AO36" s="37"/>
    </row>
    <row r="37" spans="1:41" s="102" customFormat="1" ht="14">
      <c r="A37" s="25" t="s">
        <v>26</v>
      </c>
      <c r="B37" s="100" t="s">
        <v>128</v>
      </c>
      <c r="C37" s="101"/>
      <c r="D37" s="52">
        <v>500</v>
      </c>
      <c r="E37" s="52">
        <f t="shared" si="17"/>
        <v>432.91666666666669</v>
      </c>
      <c r="F37" s="52" t="e">
        <f>+SUMIF([1]Resumen_Base!$A$7:$A$91,'[1]Budget Comparativo'!B37,[1]Resumen_Base!$Y$7:$Y$91)</f>
        <v>#VALUE!</v>
      </c>
      <c r="G37" s="52" t="e">
        <f t="shared" si="20"/>
        <v>#VALUE!</v>
      </c>
      <c r="H37" s="88"/>
      <c r="I37" s="52"/>
      <c r="J37" s="54"/>
      <c r="K37" s="52">
        <v>3000</v>
      </c>
      <c r="L37" s="52">
        <f t="shared" si="18"/>
        <v>1481.25</v>
      </c>
      <c r="M37" s="52" t="e">
        <f>SUMIF([1]Resumen_Base!$A$94:$A$160,'[1]Budget Comparativo'!B37,[1]Resumen_Base!$Y$94:$Y$160)</f>
        <v>#VALUE!</v>
      </c>
      <c r="N37" s="52" t="e">
        <f t="shared" si="35"/>
        <v>#VALUE!</v>
      </c>
      <c r="O37" s="47"/>
      <c r="P37" s="52"/>
      <c r="Q37" s="54"/>
      <c r="R37" s="52">
        <f t="shared" si="36"/>
        <v>3500</v>
      </c>
      <c r="S37" s="52">
        <f t="shared" si="36"/>
        <v>1914.1666666666667</v>
      </c>
      <c r="T37" s="52" t="e">
        <f t="shared" si="36"/>
        <v>#VALUE!</v>
      </c>
      <c r="U37" s="52" t="e">
        <f t="shared" si="37"/>
        <v>#VALUE!</v>
      </c>
      <c r="V37" s="47"/>
      <c r="W37" s="52"/>
      <c r="X37" s="54"/>
      <c r="Y37" s="55">
        <f>+'[1]Budget Comparativo'!D37/'[1]Budget Comparativo'!$Y$8</f>
        <v>0.41666666666666669</v>
      </c>
      <c r="Z37" s="55">
        <f>+'[1]Budget Comparativo'!F37/'[1]Budget Comparativo'!$Z$8</f>
        <v>0.46216780427556814</v>
      </c>
      <c r="AA37" s="55">
        <f t="shared" si="15"/>
        <v>-4.5501137608901454E-2</v>
      </c>
      <c r="AB37" s="54"/>
      <c r="AC37" s="54"/>
      <c r="AD37" s="54"/>
      <c r="AE37" s="54"/>
      <c r="AF37" s="55">
        <f>+'[1]Budget Comparativo'!K37/'[1]Budget Comparativo'!$AF$8</f>
        <v>18.75</v>
      </c>
      <c r="AG37" s="55">
        <f>+'[1]Budget Comparativo'!M37/'[1]Budget Comparativo'!$AG$8</f>
        <v>6.8530132856720547</v>
      </c>
      <c r="AH37" s="55">
        <f t="shared" si="16"/>
        <v>11.896986714327944</v>
      </c>
      <c r="AI37" s="54"/>
      <c r="AJ37" s="37">
        <v>5249</v>
      </c>
      <c r="AK37" s="37"/>
      <c r="AL37" s="37"/>
      <c r="AM37" s="37"/>
      <c r="AN37" s="37"/>
      <c r="AO37" s="37"/>
    </row>
    <row r="38" spans="1:41" s="54" customFormat="1" ht="14">
      <c r="A38" s="25" t="s">
        <v>104</v>
      </c>
      <c r="B38" s="103" t="s">
        <v>129</v>
      </c>
      <c r="C38" s="51"/>
      <c r="D38" s="52">
        <v>14400</v>
      </c>
      <c r="E38" s="52" t="e">
        <f t="shared" si="17"/>
        <v>#VALUE!</v>
      </c>
      <c r="F38" s="52" t="e">
        <f>+SUMIF([1]Resumen_Base!$A$7:$A$91,'[1]Budget Comparativo'!B38,[1]Resumen_Base!$Y$7:$Y$91)</f>
        <v>#VALUE!</v>
      </c>
      <c r="G38" s="52" t="e">
        <f t="shared" si="20"/>
        <v>#VALUE!</v>
      </c>
      <c r="H38" s="88"/>
      <c r="I38" s="94" t="e">
        <f>IF(ROUND(F38,0)=0,0,IF(D38=0,0,+F38/D38))</f>
        <v>#VALUE!</v>
      </c>
      <c r="K38" s="52">
        <v>2000</v>
      </c>
      <c r="L38" s="52" t="e">
        <f t="shared" si="18"/>
        <v>#VALUE!</v>
      </c>
      <c r="M38" s="52" t="e">
        <f>SUMIF([1]Resumen_Base!$A$94:$A$160,'[1]Budget Comparativo'!B38,[1]Resumen_Base!$Y$94:$Y$160)</f>
        <v>#VALUE!</v>
      </c>
      <c r="N38" s="52" t="e">
        <f t="shared" si="35"/>
        <v>#VALUE!</v>
      </c>
      <c r="O38" s="47"/>
      <c r="P38" s="94" t="e">
        <f>IF(ROUND(M38,0)=0,0,IF(K38=0,0,+M38/K38))</f>
        <v>#VALUE!</v>
      </c>
      <c r="R38" s="52">
        <f t="shared" si="36"/>
        <v>16400</v>
      </c>
      <c r="S38" s="52" t="e">
        <f t="shared" si="36"/>
        <v>#VALUE!</v>
      </c>
      <c r="T38" s="52" t="e">
        <f t="shared" si="36"/>
        <v>#VALUE!</v>
      </c>
      <c r="U38" s="52" t="e">
        <f t="shared" si="37"/>
        <v>#VALUE!</v>
      </c>
      <c r="V38" s="47"/>
      <c r="W38" s="94" t="e">
        <f>IF(ROUND(T38,0)=0,0,IF(R38=0,0,+T38/R38))</f>
        <v>#VALUE!</v>
      </c>
      <c r="Y38" s="55">
        <f>+'[1]Budget Comparativo'!D38/'[1]Budget Comparativo'!$Y$8</f>
        <v>12</v>
      </c>
      <c r="Z38" s="55">
        <f>+'[1]Budget Comparativo'!F38/'[1]Budget Comparativo'!$Z$8</f>
        <v>15.327865044965959</v>
      </c>
      <c r="AA38" s="55">
        <f t="shared" si="15"/>
        <v>-3.327865044965959</v>
      </c>
      <c r="AF38" s="55">
        <f>+'[1]Budget Comparativo'!K38/'[1]Budget Comparativo'!$AF$8</f>
        <v>12.5</v>
      </c>
      <c r="AG38" s="55">
        <f>+'[1]Budget Comparativo'!M38/'[1]Budget Comparativo'!$AG$8</f>
        <v>7.6859750525048307</v>
      </c>
      <c r="AH38" s="55">
        <f t="shared" si="16"/>
        <v>4.8140249474951693</v>
      </c>
      <c r="AJ38" s="37">
        <v>5210</v>
      </c>
      <c r="AK38" s="37">
        <v>5225</v>
      </c>
      <c r="AL38" s="37"/>
      <c r="AM38" s="37"/>
      <c r="AN38" s="37"/>
      <c r="AO38" s="37"/>
    </row>
    <row r="39" spans="1:41" ht="14">
      <c r="A39" s="25" t="s">
        <v>104</v>
      </c>
      <c r="B39" s="103" t="s">
        <v>130</v>
      </c>
      <c r="C39" s="51"/>
      <c r="D39" s="52">
        <v>4000</v>
      </c>
      <c r="E39" s="52" t="e">
        <f t="shared" si="17"/>
        <v>#VALUE!</v>
      </c>
      <c r="F39" s="52" t="e">
        <f>+SUMIF([1]Resumen_Base!$A$7:$A$91,'[1]Budget Comparativo'!B39,[1]Resumen_Base!$Y$7:$Y$91)</f>
        <v>#VALUE!</v>
      </c>
      <c r="G39" s="52" t="e">
        <f t="shared" si="20"/>
        <v>#VALUE!</v>
      </c>
      <c r="H39" s="88"/>
      <c r="I39" s="94" t="e">
        <f>IF(ROUND(F39,0)=0,0,IF(D39=0,0,+F39/D39))</f>
        <v>#VALUE!</v>
      </c>
      <c r="J39" s="54"/>
      <c r="K39" s="52">
        <v>1000</v>
      </c>
      <c r="L39" s="52" t="e">
        <f t="shared" si="18"/>
        <v>#VALUE!</v>
      </c>
      <c r="M39" s="52" t="e">
        <f>SUMIF([1]Resumen_Base!$A$94:$A$160,'[1]Budget Comparativo'!B39,[1]Resumen_Base!$Y$94:$Y$160)</f>
        <v>#VALUE!</v>
      </c>
      <c r="N39" s="52" t="e">
        <f t="shared" si="35"/>
        <v>#VALUE!</v>
      </c>
      <c r="O39" s="47"/>
      <c r="P39" s="94" t="e">
        <f>IF(ROUND(M39,0)=0,0,IF(K39=0,0,+M39/K39))</f>
        <v>#VALUE!</v>
      </c>
      <c r="Q39" s="54"/>
      <c r="R39" s="52">
        <f t="shared" si="36"/>
        <v>5000</v>
      </c>
      <c r="S39" s="52" t="e">
        <f t="shared" si="36"/>
        <v>#VALUE!</v>
      </c>
      <c r="T39" s="52" t="e">
        <f t="shared" si="36"/>
        <v>#VALUE!</v>
      </c>
      <c r="U39" s="52" t="e">
        <f t="shared" si="37"/>
        <v>#VALUE!</v>
      </c>
      <c r="V39" s="47"/>
      <c r="W39" s="94" t="e">
        <f>IF(ROUND(T39,0)=0,0,IF(R39=0,0,+T39/R39))</f>
        <v>#VALUE!</v>
      </c>
      <c r="X39" s="54"/>
      <c r="Y39" s="55">
        <f>+'[1]Budget Comparativo'!D39/'[1]Budget Comparativo'!$Y$8</f>
        <v>3.3333333333333335</v>
      </c>
      <c r="Z39" s="55">
        <f>+'[1]Budget Comparativo'!F39/'[1]Budget Comparativo'!$Z$8</f>
        <v>1.5174209427915324</v>
      </c>
      <c r="AA39" s="55">
        <f t="shared" si="15"/>
        <v>1.8159123905418011</v>
      </c>
      <c r="AB39" s="54"/>
      <c r="AC39" s="54"/>
      <c r="AD39" s="54"/>
      <c r="AE39" s="54"/>
      <c r="AF39" s="55">
        <f>+'[1]Budget Comparativo'!K39/'[1]Budget Comparativo'!$AF$8</f>
        <v>6.25</v>
      </c>
      <c r="AG39" s="55">
        <f>+'[1]Budget Comparativo'!M39/'[1]Budget Comparativo'!$AG$8</f>
        <v>11.081152285986541</v>
      </c>
      <c r="AH39" s="55">
        <f t="shared" si="16"/>
        <v>-4.8311522859865406</v>
      </c>
      <c r="AI39" s="54"/>
      <c r="AJ39" s="37">
        <v>5255</v>
      </c>
      <c r="AK39" s="37">
        <v>5310</v>
      </c>
      <c r="AL39" s="37">
        <v>5222</v>
      </c>
      <c r="AM39" s="37">
        <v>5256</v>
      </c>
      <c r="AN39" s="37"/>
      <c r="AO39" s="37"/>
    </row>
    <row r="40" spans="1:41" s="54" customFormat="1" ht="14">
      <c r="A40" s="25" t="s">
        <v>104</v>
      </c>
      <c r="B40" s="103" t="s">
        <v>131</v>
      </c>
      <c r="C40" s="51"/>
      <c r="D40" s="52">
        <v>12000</v>
      </c>
      <c r="E40" s="52" t="e">
        <f t="shared" si="17"/>
        <v>#VALUE!</v>
      </c>
      <c r="F40" s="52" t="e">
        <f>+SUMIF([1]Resumen_Base!$A$7:$A$91,'[1]Budget Comparativo'!B40,[1]Resumen_Base!$Y$7:$Y$91)</f>
        <v>#VALUE!</v>
      </c>
      <c r="G40" s="52" t="e">
        <f t="shared" si="20"/>
        <v>#VALUE!</v>
      </c>
      <c r="H40" s="88"/>
      <c r="I40" s="94" t="e">
        <f>IF(ROUND(F40,0)=0,0,IF(D40=0,0,+F40/D40))</f>
        <v>#VALUE!</v>
      </c>
      <c r="K40" s="52">
        <v>1000</v>
      </c>
      <c r="L40" s="52" t="e">
        <f t="shared" si="18"/>
        <v>#VALUE!</v>
      </c>
      <c r="M40" s="52" t="e">
        <f>SUMIF([1]Resumen_Base!$A$94:$A$160,'[1]Budget Comparativo'!B40,[1]Resumen_Base!$Y$94:$Y$160)</f>
        <v>#VALUE!</v>
      </c>
      <c r="N40" s="52" t="e">
        <f t="shared" si="35"/>
        <v>#VALUE!</v>
      </c>
      <c r="O40" s="47"/>
      <c r="P40" s="94" t="e">
        <f>IF(ROUND(M40,0)=0,0,IF(K40=0,0,+M40/K40))</f>
        <v>#VALUE!</v>
      </c>
      <c r="R40" s="52">
        <f t="shared" si="36"/>
        <v>13000</v>
      </c>
      <c r="S40" s="52" t="e">
        <f t="shared" si="36"/>
        <v>#VALUE!</v>
      </c>
      <c r="T40" s="52" t="e">
        <f t="shared" si="36"/>
        <v>#VALUE!</v>
      </c>
      <c r="U40" s="52" t="e">
        <f t="shared" si="37"/>
        <v>#VALUE!</v>
      </c>
      <c r="V40" s="47"/>
      <c r="W40" s="94" t="e">
        <f>IF(ROUND(T40,0)=0,0,IF(R40=0,0,+T40/R40))</f>
        <v>#VALUE!</v>
      </c>
      <c r="Y40" s="55">
        <f>+'[1]Budget Comparativo'!D40/'[1]Budget Comparativo'!$Y$8</f>
        <v>10</v>
      </c>
      <c r="Z40" s="55">
        <f>+'[1]Budget Comparativo'!F40/'[1]Budget Comparativo'!$Z$8</f>
        <v>4.3455410957265608</v>
      </c>
      <c r="AA40" s="55">
        <f t="shared" si="15"/>
        <v>5.6544589042734392</v>
      </c>
      <c r="AF40" s="55">
        <f>+'[1]Budget Comparativo'!K40/'[1]Budget Comparativo'!$AF$8</f>
        <v>6.25</v>
      </c>
      <c r="AG40" s="55">
        <f>+'[1]Budget Comparativo'!M40/'[1]Budget Comparativo'!$AG$8</f>
        <v>3.4915708005645083</v>
      </c>
      <c r="AH40" s="55">
        <f t="shared" si="16"/>
        <v>2.7584291994354917</v>
      </c>
      <c r="AJ40" s="37">
        <v>5220</v>
      </c>
      <c r="AK40" s="37"/>
      <c r="AL40" s="37"/>
      <c r="AM40" s="37"/>
      <c r="AN40" s="37"/>
      <c r="AO40" s="37"/>
    </row>
    <row r="41" spans="1:41" s="54" customFormat="1" ht="14">
      <c r="A41" s="25" t="s">
        <v>104</v>
      </c>
      <c r="B41" s="99" t="s">
        <v>132</v>
      </c>
      <c r="C41" s="51"/>
      <c r="D41" s="52">
        <v>1200</v>
      </c>
      <c r="E41" s="52" t="e">
        <f t="shared" si="17"/>
        <v>#VALUE!</v>
      </c>
      <c r="F41" s="52" t="e">
        <f>+SUMIF([1]Resumen_Base!$A$7:$A$91,'[1]Budget Comparativo'!B41,[1]Resumen_Base!$Y$7:$Y$91)</f>
        <v>#VALUE!</v>
      </c>
      <c r="G41" s="52" t="e">
        <f t="shared" si="20"/>
        <v>#VALUE!</v>
      </c>
      <c r="H41" s="88"/>
      <c r="I41" s="94" t="e">
        <f>IF(ROUND(F41,0)=0,0,IF(D41=0,0,+F41/D41))</f>
        <v>#VALUE!</v>
      </c>
      <c r="K41" s="52">
        <v>1000</v>
      </c>
      <c r="L41" s="52" t="e">
        <f t="shared" si="18"/>
        <v>#VALUE!</v>
      </c>
      <c r="M41" s="52" t="e">
        <f>SUMIF([1]Resumen_Base!$A$94:$A$160,'[1]Budget Comparativo'!B41,[1]Resumen_Base!$Y$94:$Y$160)</f>
        <v>#VALUE!</v>
      </c>
      <c r="N41" s="52" t="e">
        <f t="shared" si="35"/>
        <v>#VALUE!</v>
      </c>
      <c r="O41" s="47"/>
      <c r="P41" s="94" t="e">
        <f>IF(ROUND(M41,0)=0,0,IF(K41=0,0,+M41/K41))</f>
        <v>#VALUE!</v>
      </c>
      <c r="R41" s="52">
        <f t="shared" si="36"/>
        <v>2200</v>
      </c>
      <c r="S41" s="52" t="e">
        <f t="shared" si="36"/>
        <v>#VALUE!</v>
      </c>
      <c r="T41" s="52" t="e">
        <f t="shared" si="36"/>
        <v>#VALUE!</v>
      </c>
      <c r="U41" s="52" t="e">
        <f t="shared" si="37"/>
        <v>#VALUE!</v>
      </c>
      <c r="V41" s="47"/>
      <c r="W41" s="94" t="e">
        <f>IF(ROUND(T41,0)=0,0,IF(R41=0,0,+T41/R41))</f>
        <v>#VALUE!</v>
      </c>
      <c r="Y41" s="55">
        <f>+'[1]Budget Comparativo'!D41/'[1]Budget Comparativo'!$Y$8</f>
        <v>1</v>
      </c>
      <c r="Z41" s="55">
        <f>+'[1]Budget Comparativo'!F41/'[1]Budget Comparativo'!$Z$8</f>
        <v>1.8060448102477746</v>
      </c>
      <c r="AA41" s="55">
        <f t="shared" si="15"/>
        <v>-0.80604481024777463</v>
      </c>
      <c r="AF41" s="55">
        <f>+'[1]Budget Comparativo'!K41/'[1]Budget Comparativo'!$AF$8</f>
        <v>6.25</v>
      </c>
      <c r="AG41" s="55">
        <f>+'[1]Budget Comparativo'!M41/'[1]Budget Comparativo'!$AG$8</f>
        <v>0.26932399676811203</v>
      </c>
      <c r="AH41" s="55">
        <f t="shared" si="16"/>
        <v>5.9806760032318884</v>
      </c>
      <c r="AJ41" s="37">
        <v>5221</v>
      </c>
      <c r="AK41" s="37">
        <v>5261</v>
      </c>
      <c r="AL41" s="37"/>
      <c r="AM41" s="37"/>
      <c r="AN41" s="37"/>
      <c r="AO41" s="37"/>
    </row>
    <row r="42" spans="1:41" s="105" customFormat="1" ht="16">
      <c r="A42" s="95"/>
      <c r="B42" s="96" t="s">
        <v>133</v>
      </c>
      <c r="C42" s="104"/>
      <c r="D42" s="87">
        <f t="shared" ref="D42:G42" si="38">+SUM(D43:D45)</f>
        <v>20000</v>
      </c>
      <c r="E42" s="87" t="e">
        <f t="shared" si="38"/>
        <v>#VALUE!</v>
      </c>
      <c r="F42" s="87" t="e">
        <f t="shared" si="38"/>
        <v>#VALUE!</v>
      </c>
      <c r="G42" s="87" t="e">
        <f t="shared" si="38"/>
        <v>#VALUE!</v>
      </c>
      <c r="H42" s="88"/>
      <c r="I42" s="87"/>
      <c r="J42" s="54"/>
      <c r="K42" s="87">
        <f t="shared" ref="K42:N42" si="39">+SUM(K43:K45)</f>
        <v>9000</v>
      </c>
      <c r="L42" s="87" t="e">
        <f t="shared" si="39"/>
        <v>#VALUE!</v>
      </c>
      <c r="M42" s="87" t="e">
        <f t="shared" si="39"/>
        <v>#VALUE!</v>
      </c>
      <c r="N42" s="87" t="e">
        <f t="shared" si="39"/>
        <v>#VALUE!</v>
      </c>
      <c r="O42" s="47"/>
      <c r="P42" s="87"/>
      <c r="Q42" s="54"/>
      <c r="R42" s="87">
        <f t="shared" ref="R42:U42" si="40">+SUM(R43:R45)</f>
        <v>29000</v>
      </c>
      <c r="S42" s="87" t="e">
        <f t="shared" si="40"/>
        <v>#VALUE!</v>
      </c>
      <c r="T42" s="87" t="e">
        <f t="shared" si="40"/>
        <v>#VALUE!</v>
      </c>
      <c r="U42" s="87" t="e">
        <f t="shared" si="40"/>
        <v>#VALUE!</v>
      </c>
      <c r="V42" s="47"/>
      <c r="W42" s="87"/>
      <c r="X42" s="54"/>
      <c r="Y42" s="90">
        <f>+'[1]Budget Comparativo'!D42/'[1]Budget Comparativo'!$Y$8</f>
        <v>16.666666666666668</v>
      </c>
      <c r="Z42" s="90">
        <f>+'[1]Budget Comparativo'!F42/'[1]Budget Comparativo'!$Z$8</f>
        <v>22.401641699499987</v>
      </c>
      <c r="AA42" s="90">
        <f t="shared" si="15"/>
        <v>-5.7349750328333187</v>
      </c>
      <c r="AB42" s="54"/>
      <c r="AC42" s="54"/>
      <c r="AD42" s="54"/>
      <c r="AE42" s="54"/>
      <c r="AF42" s="90">
        <f>+'[1]Budget Comparativo'!K42/'[1]Budget Comparativo'!$AF$8</f>
        <v>56.25</v>
      </c>
      <c r="AG42" s="90">
        <f>+'[1]Budget Comparativo'!M42/'[1]Budget Comparativo'!$AG$8</f>
        <v>40.473683428643</v>
      </c>
      <c r="AH42" s="90">
        <f t="shared" si="16"/>
        <v>15.776316571357</v>
      </c>
      <c r="AI42" s="54"/>
      <c r="AJ42" s="37"/>
      <c r="AK42" s="37"/>
      <c r="AL42" s="37"/>
      <c r="AM42" s="37"/>
      <c r="AN42" s="37"/>
      <c r="AO42" s="37"/>
    </row>
    <row r="43" spans="1:41" ht="56">
      <c r="A43" s="25" t="s">
        <v>104</v>
      </c>
      <c r="B43" s="100" t="s">
        <v>134</v>
      </c>
      <c r="C43" s="106"/>
      <c r="D43" s="52">
        <v>7000</v>
      </c>
      <c r="E43" s="52" t="e">
        <f t="shared" si="17"/>
        <v>#VALUE!</v>
      </c>
      <c r="F43" s="52" t="e">
        <f>+SUMIF([1]Resumen_Base!$A$7:$A$91,'[1]Budget Comparativo'!B43,[1]Resumen_Base!$Y$7:$Y$91)</f>
        <v>#VALUE!</v>
      </c>
      <c r="G43" s="52" t="e">
        <f t="shared" si="20"/>
        <v>#VALUE!</v>
      </c>
      <c r="H43" s="88" t="s">
        <v>135</v>
      </c>
      <c r="I43" s="94" t="e">
        <f>IF(ROUND(F43,0)=0,0,+F43/D43)</f>
        <v>#VALUE!</v>
      </c>
      <c r="J43" s="54"/>
      <c r="K43" s="52">
        <v>4000</v>
      </c>
      <c r="L43" s="52" t="e">
        <f t="shared" si="18"/>
        <v>#VALUE!</v>
      </c>
      <c r="M43" s="52" t="e">
        <f>SUMIF([1]Resumen_Base!$A$94:$A$160,'[1]Budget Comparativo'!B43,[1]Resumen_Base!$Y$94:$Y$160)</f>
        <v>#VALUE!</v>
      </c>
      <c r="N43" s="52" t="e">
        <f t="shared" ref="N43:N49" si="41">+L43-M43</f>
        <v>#VALUE!</v>
      </c>
      <c r="O43" s="47"/>
      <c r="P43" s="94" t="e">
        <f>IF(ROUND(M43,0)=0,0,+M43/K43)</f>
        <v>#VALUE!</v>
      </c>
      <c r="Q43" s="107">
        <f>0.7+0.4+0.3+0.3+0.5+0.3+0.4+0.7+0.7+0.4+(1.4)</f>
        <v>6.1</v>
      </c>
      <c r="R43" s="52">
        <f t="shared" ref="R43:T49" si="42">+D43+K43</f>
        <v>11000</v>
      </c>
      <c r="S43" s="52" t="e">
        <f t="shared" si="42"/>
        <v>#VALUE!</v>
      </c>
      <c r="T43" s="52" t="e">
        <f t="shared" si="42"/>
        <v>#VALUE!</v>
      </c>
      <c r="U43" s="52" t="e">
        <f t="shared" ref="U43:U49" si="43">+S43-T43</f>
        <v>#VALUE!</v>
      </c>
      <c r="V43" s="47"/>
      <c r="W43" s="94" t="e">
        <f>IF(ROUND(T43,0)=0,0,+T43/R43)</f>
        <v>#VALUE!</v>
      </c>
      <c r="X43" s="54"/>
      <c r="Y43" s="55">
        <f>+'[1]Budget Comparativo'!D43/'[1]Budget Comparativo'!$Y$8</f>
        <v>5.833333333333333</v>
      </c>
      <c r="Z43" s="55">
        <f>+'[1]Budget Comparativo'!F43/'[1]Budget Comparativo'!$Z$8</f>
        <v>7.2552707056560095</v>
      </c>
      <c r="AA43" s="55">
        <f t="shared" si="15"/>
        <v>-1.4219373723226765</v>
      </c>
      <c r="AB43" s="54"/>
      <c r="AC43" s="54"/>
      <c r="AD43" s="54"/>
      <c r="AE43" s="54"/>
      <c r="AF43" s="55">
        <f>+'[1]Budget Comparativo'!K43/'[1]Budget Comparativo'!$AF$8</f>
        <v>25</v>
      </c>
      <c r="AG43" s="55">
        <f>+'[1]Budget Comparativo'!M43/'[1]Budget Comparativo'!$AG$8</f>
        <v>23.767039594519968</v>
      </c>
      <c r="AH43" s="55">
        <f t="shared" si="16"/>
        <v>1.2329604054800321</v>
      </c>
      <c r="AI43" s="54"/>
      <c r="AJ43" s="37">
        <v>5252</v>
      </c>
      <c r="AK43" s="37"/>
      <c r="AL43" s="37"/>
      <c r="AM43" s="37"/>
      <c r="AN43" s="37"/>
      <c r="AO43" s="37"/>
    </row>
    <row r="44" spans="1:41" ht="28">
      <c r="A44" s="25" t="s">
        <v>104</v>
      </c>
      <c r="B44" s="100" t="s">
        <v>136</v>
      </c>
      <c r="C44" s="106"/>
      <c r="D44" s="52">
        <v>8000</v>
      </c>
      <c r="E44" s="52" t="e">
        <f t="shared" si="17"/>
        <v>#VALUE!</v>
      </c>
      <c r="F44" s="52" t="e">
        <f>+SUMIF([1]Resumen_Base!$A$7:$A$91,'[1]Budget Comparativo'!B44,[1]Resumen_Base!$Y$7:$Y$91)</f>
        <v>#VALUE!</v>
      </c>
      <c r="G44" s="52" t="e">
        <f t="shared" si="20"/>
        <v>#VALUE!</v>
      </c>
      <c r="H44" s="88" t="s">
        <v>137</v>
      </c>
      <c r="I44" s="94" t="e">
        <f>IF(ROUND(F44,0)=0,0,IF(D44=0,0,+F44/D44))</f>
        <v>#VALUE!</v>
      </c>
      <c r="J44" s="54"/>
      <c r="K44" s="52">
        <v>3000</v>
      </c>
      <c r="L44" s="52" t="e">
        <f t="shared" si="18"/>
        <v>#VALUE!</v>
      </c>
      <c r="M44" s="52" t="e">
        <f>SUMIF([1]Resumen_Base!$A$94:$A$160,'[1]Budget Comparativo'!B44,[1]Resumen_Base!$Y$94:$Y$160)</f>
        <v>#VALUE!</v>
      </c>
      <c r="N44" s="52" t="e">
        <f t="shared" si="41"/>
        <v>#VALUE!</v>
      </c>
      <c r="O44" s="47"/>
      <c r="P44" s="94" t="e">
        <f>IF(ROUND(M44,0)=0,0,IF(K44=0,0,+M44/K44))</f>
        <v>#VALUE!</v>
      </c>
      <c r="Q44" s="107">
        <f>2.1+3.8+0.8+0.9</f>
        <v>7.6000000000000005</v>
      </c>
      <c r="R44" s="52">
        <f t="shared" si="42"/>
        <v>11000</v>
      </c>
      <c r="S44" s="52" t="e">
        <f t="shared" si="42"/>
        <v>#VALUE!</v>
      </c>
      <c r="T44" s="52" t="e">
        <f t="shared" si="42"/>
        <v>#VALUE!</v>
      </c>
      <c r="U44" s="52" t="e">
        <f t="shared" si="43"/>
        <v>#VALUE!</v>
      </c>
      <c r="V44" s="47"/>
      <c r="W44" s="94" t="e">
        <f>IF(ROUND(T44,0)=0,0,IF(R44=0,0,+T44/R44))</f>
        <v>#VALUE!</v>
      </c>
      <c r="X44" s="54"/>
      <c r="Y44" s="55">
        <f>+'[1]Budget Comparativo'!D44/'[1]Budget Comparativo'!$Y$8</f>
        <v>6.666666666666667</v>
      </c>
      <c r="Z44" s="55">
        <f>+'[1]Budget Comparativo'!F44/'[1]Budget Comparativo'!$Z$8</f>
        <v>8.9517820994275361</v>
      </c>
      <c r="AA44" s="55">
        <f t="shared" si="15"/>
        <v>-2.2851154327608691</v>
      </c>
      <c r="AB44" s="54"/>
      <c r="AC44" s="54"/>
      <c r="AD44" s="54"/>
      <c r="AE44" s="54"/>
      <c r="AF44" s="55">
        <f>+'[1]Budget Comparativo'!K44/'[1]Budget Comparativo'!$AF$8</f>
        <v>18.75</v>
      </c>
      <c r="AG44" s="55">
        <f>+'[1]Budget Comparativo'!M44/'[1]Budget Comparativo'!$AG$8</f>
        <v>15.404489014343996</v>
      </c>
      <c r="AH44" s="55">
        <f t="shared" si="16"/>
        <v>3.3455109856560039</v>
      </c>
      <c r="AI44" s="54"/>
      <c r="AJ44" s="37">
        <v>5253</v>
      </c>
      <c r="AK44" s="37"/>
      <c r="AL44" s="37"/>
      <c r="AM44" s="37"/>
      <c r="AN44" s="37"/>
      <c r="AO44" s="37"/>
    </row>
    <row r="45" spans="1:41" ht="14">
      <c r="A45" s="25" t="s">
        <v>104</v>
      </c>
      <c r="B45" s="100" t="s">
        <v>138</v>
      </c>
      <c r="C45" s="106"/>
      <c r="D45" s="52">
        <v>5000</v>
      </c>
      <c r="E45" s="52" t="e">
        <f t="shared" si="17"/>
        <v>#VALUE!</v>
      </c>
      <c r="F45" s="52" t="e">
        <f>+SUMIF([1]Resumen_Base!$A$7:$A$91,'[1]Budget Comparativo'!B45,[1]Resumen_Base!$Y$7:$Y$91)</f>
        <v>#VALUE!</v>
      </c>
      <c r="G45" s="52" t="e">
        <f t="shared" si="20"/>
        <v>#VALUE!</v>
      </c>
      <c r="H45" s="88" t="s">
        <v>139</v>
      </c>
      <c r="I45" s="94" t="e">
        <f>IF(ROUND(F45,0)=0,0,IF(D45=0,0,+F45/D45))</f>
        <v>#VALUE!</v>
      </c>
      <c r="J45" s="54"/>
      <c r="K45" s="52">
        <v>2000</v>
      </c>
      <c r="L45" s="52" t="e">
        <f t="shared" si="18"/>
        <v>#VALUE!</v>
      </c>
      <c r="M45" s="52" t="e">
        <f>SUMIF([1]Resumen_Base!$A$94:$A$160,'[1]Budget Comparativo'!B45,[1]Resumen_Base!$Y$94:$Y$160)</f>
        <v>#VALUE!</v>
      </c>
      <c r="N45" s="52" t="e">
        <f t="shared" si="41"/>
        <v>#VALUE!</v>
      </c>
      <c r="O45" s="47"/>
      <c r="P45" s="94" t="e">
        <f>IF(ROUND(M45,0)=0,0,IF(K45=0,0,+M45/K45))</f>
        <v>#VALUE!</v>
      </c>
      <c r="Q45" s="54"/>
      <c r="R45" s="52">
        <f t="shared" si="42"/>
        <v>7000</v>
      </c>
      <c r="S45" s="52" t="e">
        <f t="shared" si="42"/>
        <v>#VALUE!</v>
      </c>
      <c r="T45" s="52" t="e">
        <f t="shared" si="42"/>
        <v>#VALUE!</v>
      </c>
      <c r="U45" s="52" t="e">
        <f t="shared" si="43"/>
        <v>#VALUE!</v>
      </c>
      <c r="V45" s="47"/>
      <c r="W45" s="94" t="e">
        <f>IF(ROUND(T45,0)=0,0,IF(R45=0,0,+T45/R45))</f>
        <v>#VALUE!</v>
      </c>
      <c r="X45" s="54"/>
      <c r="Y45" s="55">
        <f>+'[1]Budget Comparativo'!D45/'[1]Budget Comparativo'!$Y$8</f>
        <v>4.166666666666667</v>
      </c>
      <c r="Z45" s="55">
        <f>+'[1]Budget Comparativo'!F45/'[1]Budget Comparativo'!$Z$8</f>
        <v>6.1945888944164418</v>
      </c>
      <c r="AA45" s="55">
        <f t="shared" si="15"/>
        <v>-2.0279222277497748</v>
      </c>
      <c r="AB45" s="54"/>
      <c r="AC45" s="54"/>
      <c r="AD45" s="54"/>
      <c r="AE45" s="54"/>
      <c r="AF45" s="55">
        <f>+'[1]Budget Comparativo'!K45/'[1]Budget Comparativo'!$AF$8</f>
        <v>12.5</v>
      </c>
      <c r="AG45" s="55">
        <f>+'[1]Budget Comparativo'!M45/'[1]Budget Comparativo'!$AG$8</f>
        <v>1.3021548197790465</v>
      </c>
      <c r="AH45" s="55">
        <f t="shared" si="16"/>
        <v>11.197845180220954</v>
      </c>
      <c r="AI45" s="54"/>
      <c r="AJ45" s="37">
        <v>5254</v>
      </c>
      <c r="AK45" s="37"/>
      <c r="AL45" s="37"/>
      <c r="AM45" s="37"/>
      <c r="AN45" s="37"/>
      <c r="AO45" s="37"/>
    </row>
    <row r="46" spans="1:41" s="54" customFormat="1" ht="14">
      <c r="A46" s="25" t="s">
        <v>104</v>
      </c>
      <c r="B46" s="108" t="s">
        <v>140</v>
      </c>
      <c r="C46" s="51"/>
      <c r="D46" s="52">
        <v>1000</v>
      </c>
      <c r="E46" s="52" t="e">
        <f t="shared" si="17"/>
        <v>#VALUE!</v>
      </c>
      <c r="F46" s="52" t="e">
        <f>+SUMIF([1]Resumen_Base!$A$7:$A$91,'[1]Budget Comparativo'!B46,[1]Resumen_Base!$Y$7:$Y$91)</f>
        <v>#VALUE!</v>
      </c>
      <c r="G46" s="52" t="e">
        <f t="shared" si="20"/>
        <v>#VALUE!</v>
      </c>
      <c r="H46" s="88"/>
      <c r="I46" s="94" t="e">
        <f>IF(ROUND(F46,0)=0,0,+F46/D46)</f>
        <v>#VALUE!</v>
      </c>
      <c r="K46" s="52">
        <v>0</v>
      </c>
      <c r="L46" s="52" t="e">
        <f t="shared" si="18"/>
        <v>#VALUE!</v>
      </c>
      <c r="M46" s="52" t="e">
        <f>SUMIF([1]Resumen_Base!$A$94:$A$160,'[1]Budget Comparativo'!B46,[1]Resumen_Base!$Y$94:$Y$160)</f>
        <v>#VALUE!</v>
      </c>
      <c r="N46" s="52" t="e">
        <f t="shared" si="41"/>
        <v>#VALUE!</v>
      </c>
      <c r="O46" s="47"/>
      <c r="P46" s="94" t="e">
        <f>IF(ROUND(M46,0)=0,0,+M46/K46)</f>
        <v>#VALUE!</v>
      </c>
      <c r="R46" s="52">
        <f t="shared" si="42"/>
        <v>1000</v>
      </c>
      <c r="S46" s="52" t="e">
        <f t="shared" si="42"/>
        <v>#VALUE!</v>
      </c>
      <c r="T46" s="52" t="e">
        <f t="shared" si="42"/>
        <v>#VALUE!</v>
      </c>
      <c r="U46" s="52" t="e">
        <f t="shared" si="43"/>
        <v>#VALUE!</v>
      </c>
      <c r="V46" s="47"/>
      <c r="W46" s="94" t="e">
        <f>IF(ROUND(T46,0)=0,0,+T46/R46)</f>
        <v>#VALUE!</v>
      </c>
      <c r="Y46" s="55">
        <f>+'[1]Budget Comparativo'!D46/'[1]Budget Comparativo'!$Y$8</f>
        <v>0.83333333333333337</v>
      </c>
      <c r="Z46" s="55">
        <f>+'[1]Budget Comparativo'!F46/'[1]Budget Comparativo'!$Z$8</f>
        <v>0.68870347698269407</v>
      </c>
      <c r="AA46" s="55">
        <f t="shared" si="15"/>
        <v>0.1446298563506393</v>
      </c>
      <c r="AF46" s="55">
        <f>+'[1]Budget Comparativo'!K46/'[1]Budget Comparativo'!$AF$8</f>
        <v>0</v>
      </c>
      <c r="AG46" s="55">
        <f>+'[1]Budget Comparativo'!M46/'[1]Budget Comparativo'!$AG$8</f>
        <v>1.7813651030032265</v>
      </c>
      <c r="AH46" s="55">
        <f t="shared" si="16"/>
        <v>-1.7813651030032265</v>
      </c>
      <c r="AJ46" s="37">
        <v>5209</v>
      </c>
      <c r="AK46" s="37">
        <v>5266</v>
      </c>
      <c r="AL46" s="37">
        <v>5324</v>
      </c>
      <c r="AM46" s="37">
        <v>5325</v>
      </c>
      <c r="AN46" s="37">
        <v>5326</v>
      </c>
      <c r="AO46" s="37"/>
    </row>
    <row r="47" spans="1:41" s="54" customFormat="1" ht="14">
      <c r="A47" s="25" t="s">
        <v>104</v>
      </c>
      <c r="B47" s="50" t="s">
        <v>141</v>
      </c>
      <c r="C47" s="51"/>
      <c r="D47" s="52">
        <v>3500</v>
      </c>
      <c r="E47" s="52" t="e">
        <f t="shared" si="17"/>
        <v>#VALUE!</v>
      </c>
      <c r="F47" s="52" t="e">
        <f>+SUMIF([1]Resumen_Base!$A$7:$A$91,'[1]Budget Comparativo'!B47,[1]Resumen_Base!$Y$7:$Y$91)</f>
        <v>#VALUE!</v>
      </c>
      <c r="G47" s="52" t="e">
        <f t="shared" si="20"/>
        <v>#VALUE!</v>
      </c>
      <c r="H47" s="88" t="s">
        <v>142</v>
      </c>
      <c r="I47" s="94" t="e">
        <f>IF(ROUND(F47,0)=0,0,IF(D47=0,0,+F47/D47))</f>
        <v>#VALUE!</v>
      </c>
      <c r="K47" s="52">
        <v>2000</v>
      </c>
      <c r="L47" s="52" t="e">
        <f t="shared" si="18"/>
        <v>#VALUE!</v>
      </c>
      <c r="M47" s="52" t="e">
        <f>SUMIF([1]Resumen_Base!$A$94:$A$160,'[1]Budget Comparativo'!B47,[1]Resumen_Base!$Y$94:$Y$160)</f>
        <v>#VALUE!</v>
      </c>
      <c r="N47" s="52" t="e">
        <f t="shared" si="41"/>
        <v>#VALUE!</v>
      </c>
      <c r="O47" s="47"/>
      <c r="P47" s="94" t="e">
        <f>IF(ROUND(M47,0)=0,0,IF(K47=0,0,+M47/K47))</f>
        <v>#VALUE!</v>
      </c>
      <c r="R47" s="52">
        <f t="shared" si="42"/>
        <v>5500</v>
      </c>
      <c r="S47" s="52" t="e">
        <f t="shared" si="42"/>
        <v>#VALUE!</v>
      </c>
      <c r="T47" s="52" t="e">
        <f t="shared" si="42"/>
        <v>#VALUE!</v>
      </c>
      <c r="U47" s="52" t="e">
        <f t="shared" si="43"/>
        <v>#VALUE!</v>
      </c>
      <c r="V47" s="47"/>
      <c r="W47" s="94" t="e">
        <f>IF(ROUND(T47,0)=0,0,IF(R47=0,0,+T47/R47))</f>
        <v>#VALUE!</v>
      </c>
      <c r="Y47" s="55">
        <f>+'[1]Budget Comparativo'!D47/'[1]Budget Comparativo'!$Y$8</f>
        <v>2.9166666666666665</v>
      </c>
      <c r="Z47" s="55">
        <f>+'[1]Budget Comparativo'!F47/'[1]Budget Comparativo'!$Z$8</f>
        <v>7.765827208950884</v>
      </c>
      <c r="AA47" s="55">
        <f t="shared" si="15"/>
        <v>-4.849160542284217</v>
      </c>
      <c r="AF47" s="55">
        <f>+'[1]Budget Comparativo'!K47/'[1]Budget Comparativo'!$AF$8</f>
        <v>12.5</v>
      </c>
      <c r="AG47" s="55">
        <f>+'[1]Budget Comparativo'!M47/'[1]Budget Comparativo'!$AG$8</f>
        <v>0.8503561181434599</v>
      </c>
      <c r="AH47" s="55">
        <f t="shared" si="16"/>
        <v>11.649643881856541</v>
      </c>
      <c r="AJ47" s="37">
        <v>5215</v>
      </c>
      <c r="AK47" s="37">
        <v>5321</v>
      </c>
      <c r="AL47" s="37"/>
      <c r="AM47" s="37"/>
      <c r="AN47" s="37"/>
      <c r="AO47" s="37"/>
    </row>
    <row r="48" spans="1:41" s="54" customFormat="1" ht="14">
      <c r="A48" s="25" t="s">
        <v>104</v>
      </c>
      <c r="B48" s="50" t="s">
        <v>143</v>
      </c>
      <c r="C48" s="51"/>
      <c r="D48" s="52">
        <v>1000</v>
      </c>
      <c r="E48" s="52" t="e">
        <f t="shared" si="17"/>
        <v>#VALUE!</v>
      </c>
      <c r="F48" s="52" t="e">
        <f>+SUMIF([1]Resumen_Base!$A$7:$A$91,'[1]Budget Comparativo'!B48,[1]Resumen_Base!$Y$7:$Y$91)</f>
        <v>#VALUE!</v>
      </c>
      <c r="G48" s="52" t="e">
        <f t="shared" si="20"/>
        <v>#VALUE!</v>
      </c>
      <c r="H48" s="88" t="s">
        <v>142</v>
      </c>
      <c r="I48" s="94" t="e">
        <f>IF(ROUND(F48,0)=0,0,IF(D48=0,0,+F48/D48))</f>
        <v>#VALUE!</v>
      </c>
      <c r="K48" s="52">
        <v>0</v>
      </c>
      <c r="L48" s="52" t="e">
        <f t="shared" si="18"/>
        <v>#VALUE!</v>
      </c>
      <c r="M48" s="52" t="e">
        <f>SUMIF([1]Resumen_Base!$A$94:$A$160,'[1]Budget Comparativo'!B48,[1]Resumen_Base!$Y$94:$Y$160)</f>
        <v>#VALUE!</v>
      </c>
      <c r="N48" s="52" t="e">
        <f t="shared" si="41"/>
        <v>#VALUE!</v>
      </c>
      <c r="O48" s="47"/>
      <c r="P48" s="94" t="e">
        <f>IF(ROUND(M48,0)=0,0,IF(K48=0,0,+M48/K48))</f>
        <v>#VALUE!</v>
      </c>
      <c r="R48" s="52">
        <f t="shared" si="42"/>
        <v>1000</v>
      </c>
      <c r="S48" s="52" t="e">
        <f t="shared" si="42"/>
        <v>#VALUE!</v>
      </c>
      <c r="T48" s="52" t="e">
        <f t="shared" si="42"/>
        <v>#VALUE!</v>
      </c>
      <c r="U48" s="52" t="e">
        <f t="shared" si="43"/>
        <v>#VALUE!</v>
      </c>
      <c r="V48" s="47"/>
      <c r="W48" s="94" t="e">
        <f>IF(ROUND(T48,0)=0,0,IF(R48=0,0,+T48/R48))</f>
        <v>#VALUE!</v>
      </c>
      <c r="Y48" s="55">
        <f>+'[1]Budget Comparativo'!D48/'[1]Budget Comparativo'!$Y$8</f>
        <v>0.83333333333333337</v>
      </c>
      <c r="Z48" s="55">
        <f>+'[1]Budget Comparativo'!F48/'[1]Budget Comparativo'!$Z$8</f>
        <v>1.2667923525312179</v>
      </c>
      <c r="AA48" s="55">
        <f t="shared" si="15"/>
        <v>-0.43345901919788454</v>
      </c>
      <c r="AF48" s="55">
        <f>+'[1]Budget Comparativo'!K48/'[1]Budget Comparativo'!$AF$8</f>
        <v>0</v>
      </c>
      <c r="AG48" s="55">
        <f>+'[1]Budget Comparativo'!M48/'[1]Budget Comparativo'!$AG$8</f>
        <v>0</v>
      </c>
      <c r="AH48" s="55">
        <f t="shared" si="16"/>
        <v>0</v>
      </c>
      <c r="AJ48" s="37">
        <v>5217</v>
      </c>
      <c r="AK48" s="37">
        <v>5260</v>
      </c>
      <c r="AL48" s="37"/>
      <c r="AM48" s="37"/>
      <c r="AN48" s="37"/>
      <c r="AO48" s="37"/>
    </row>
    <row r="49" spans="1:43" s="54" customFormat="1" ht="28">
      <c r="A49" s="25" t="s">
        <v>104</v>
      </c>
      <c r="B49" s="108" t="s">
        <v>144</v>
      </c>
      <c r="C49" s="51"/>
      <c r="D49" s="52">
        <v>5000</v>
      </c>
      <c r="E49" s="52" t="e">
        <f t="shared" si="17"/>
        <v>#VALUE!</v>
      </c>
      <c r="F49" s="52" t="e">
        <f>+SUMIF([1]Resumen_Base!$A$7:$A$91,'[1]Budget Comparativo'!B49,[1]Resumen_Base!$Y$7:$Y$91)</f>
        <v>#VALUE!</v>
      </c>
      <c r="G49" s="52" t="e">
        <f t="shared" si="20"/>
        <v>#VALUE!</v>
      </c>
      <c r="H49" s="88" t="s">
        <v>145</v>
      </c>
      <c r="I49" s="94" t="e">
        <f>IF(ROUND(F49,0)=0,0,IF(D49=0,0,+F49/D49))</f>
        <v>#VALUE!</v>
      </c>
      <c r="K49" s="52">
        <v>1500</v>
      </c>
      <c r="L49" s="52" t="e">
        <f t="shared" si="18"/>
        <v>#VALUE!</v>
      </c>
      <c r="M49" s="52" t="e">
        <f>SUMIF([1]Resumen_Base!$A$94:$A$160,'[1]Budget Comparativo'!B49,[1]Resumen_Base!$Y$94:$Y$160)</f>
        <v>#VALUE!</v>
      </c>
      <c r="N49" s="52" t="e">
        <f t="shared" si="41"/>
        <v>#VALUE!</v>
      </c>
      <c r="O49" s="47"/>
      <c r="P49" s="94" t="e">
        <f>IF(ROUND(M49,0)=0,0,IF(K49=0,0,+M49/K49))</f>
        <v>#VALUE!</v>
      </c>
      <c r="Q49" s="107">
        <f>1.8+1.8+0.9+0.4</f>
        <v>4.9000000000000004</v>
      </c>
      <c r="R49" s="52">
        <f t="shared" si="42"/>
        <v>6500</v>
      </c>
      <c r="S49" s="52" t="e">
        <f t="shared" si="42"/>
        <v>#VALUE!</v>
      </c>
      <c r="T49" s="52" t="e">
        <f t="shared" si="42"/>
        <v>#VALUE!</v>
      </c>
      <c r="U49" s="52" t="e">
        <f t="shared" si="43"/>
        <v>#VALUE!</v>
      </c>
      <c r="V49" s="47"/>
      <c r="W49" s="94" t="e">
        <f>IF(ROUND(T49,0)=0,0,IF(R49=0,0,+T49/R49))</f>
        <v>#VALUE!</v>
      </c>
      <c r="Y49" s="55">
        <f>+'[1]Budget Comparativo'!D49/'[1]Budget Comparativo'!$Y$8</f>
        <v>4.166666666666667</v>
      </c>
      <c r="Z49" s="55">
        <f>+'[1]Budget Comparativo'!F49/'[1]Budget Comparativo'!$Z$8</f>
        <v>5.6890475593180012</v>
      </c>
      <c r="AA49" s="55">
        <f t="shared" si="15"/>
        <v>-1.5223808926513342</v>
      </c>
      <c r="AF49" s="55">
        <f>+'[1]Budget Comparativo'!K49/'[1]Budget Comparativo'!$AF$8</f>
        <v>9.375</v>
      </c>
      <c r="AG49" s="55">
        <f>+'[1]Budget Comparativo'!M49/'[1]Budget Comparativo'!$AG$8</f>
        <v>15.137467323673926</v>
      </c>
      <c r="AH49" s="55">
        <f t="shared" si="16"/>
        <v>-5.7624673236739259</v>
      </c>
      <c r="AJ49" s="37">
        <v>5219</v>
      </c>
      <c r="AK49" s="37">
        <v>5218</v>
      </c>
      <c r="AL49" s="37">
        <v>5263</v>
      </c>
      <c r="AM49" s="37">
        <v>5312</v>
      </c>
      <c r="AN49" s="37">
        <v>5314</v>
      </c>
      <c r="AO49" s="37">
        <v>5337</v>
      </c>
      <c r="AP49" s="37"/>
      <c r="AQ49" s="37"/>
    </row>
    <row r="50" spans="1:43" s="67" customFormat="1" ht="17" thickBot="1">
      <c r="A50" s="60"/>
      <c r="B50" s="61" t="s">
        <v>0</v>
      </c>
      <c r="C50" s="62"/>
      <c r="D50" s="63" t="s">
        <v>146</v>
      </c>
      <c r="E50" s="63"/>
      <c r="F50" s="109"/>
      <c r="G50" s="63"/>
      <c r="H50" s="64"/>
      <c r="I50" s="63"/>
      <c r="J50" s="54"/>
      <c r="K50" s="63" t="s">
        <v>146</v>
      </c>
      <c r="L50" s="63"/>
      <c r="M50" s="109"/>
      <c r="N50" s="63"/>
      <c r="O50" s="64"/>
      <c r="P50" s="63"/>
      <c r="Q50" s="54"/>
      <c r="R50" s="63" t="s">
        <v>146</v>
      </c>
      <c r="S50" s="63"/>
      <c r="T50" s="109"/>
      <c r="U50" s="63"/>
      <c r="V50" s="64"/>
      <c r="W50" s="63"/>
      <c r="X50" s="54"/>
      <c r="Y50" s="66"/>
      <c r="Z50" s="90">
        <f>+'[1]Budget Comparativo'!F50/'[1]Budget Comparativo'!$Z$8</f>
        <v>0</v>
      </c>
      <c r="AA50" s="90">
        <f t="shared" si="15"/>
        <v>0</v>
      </c>
      <c r="AB50" s="54"/>
      <c r="AC50" s="54"/>
      <c r="AD50" s="54"/>
      <c r="AE50" s="54"/>
      <c r="AF50" s="66"/>
      <c r="AG50" s="90">
        <f>+'[1]Budget Comparativo'!M50/'[1]Budget Comparativo'!$AG$8</f>
        <v>0</v>
      </c>
      <c r="AH50" s="90">
        <f t="shared" si="16"/>
        <v>0</v>
      </c>
      <c r="AI50" s="54"/>
      <c r="AJ50" s="37"/>
      <c r="AK50" s="37"/>
      <c r="AL50" s="37"/>
      <c r="AM50" s="37"/>
      <c r="AN50" s="37"/>
      <c r="AO50" s="37"/>
      <c r="AP50" s="37"/>
      <c r="AQ50" s="37"/>
    </row>
    <row r="51" spans="1:43" s="54" customFormat="1" ht="15" thickBot="1">
      <c r="A51" s="25"/>
      <c r="B51" s="110" t="s">
        <v>147</v>
      </c>
      <c r="C51" s="51"/>
      <c r="D51" s="111">
        <f>SUM(D22:D50)-D23-D34-D27-D42</f>
        <v>291900</v>
      </c>
      <c r="E51" s="111" t="e">
        <f t="shared" ref="E51:F51" si="44">SUM(E22:E50)-E23-E34-E27-E42</f>
        <v>#VALUE!</v>
      </c>
      <c r="F51" s="111" t="e">
        <f t="shared" si="44"/>
        <v>#VALUE!</v>
      </c>
      <c r="G51" s="111" t="e">
        <f t="shared" ref="G51:G56" si="45">+E51-F51</f>
        <v>#VALUE!</v>
      </c>
      <c r="H51" s="112"/>
      <c r="I51" s="111"/>
      <c r="K51" s="111">
        <f>SUM(K22:K50)-K23-K34-K27-K42</f>
        <v>75492</v>
      </c>
      <c r="L51" s="111" t="e">
        <f t="shared" ref="L51:M51" si="46">SUM(L22:L50)-L23-L34-L27-L42</f>
        <v>#VALUE!</v>
      </c>
      <c r="M51" s="111" t="e">
        <f t="shared" si="46"/>
        <v>#VALUE!</v>
      </c>
      <c r="N51" s="111" t="e">
        <f t="shared" ref="N51" si="47">+L51-M51</f>
        <v>#VALUE!</v>
      </c>
      <c r="O51" s="112"/>
      <c r="P51" s="111"/>
      <c r="R51" s="111">
        <f>SUM(R22:R50)-R23-R34-R27-R42</f>
        <v>367392</v>
      </c>
      <c r="S51" s="111" t="e">
        <f t="shared" ref="S51:T51" si="48">SUM(S22:S50)-S23-S34-S27-S42</f>
        <v>#VALUE!</v>
      </c>
      <c r="T51" s="111" t="e">
        <f t="shared" si="48"/>
        <v>#VALUE!</v>
      </c>
      <c r="U51" s="111" t="e">
        <f t="shared" ref="U51" si="49">+S51-T51</f>
        <v>#VALUE!</v>
      </c>
      <c r="V51" s="112"/>
      <c r="W51" s="111"/>
      <c r="Y51" s="113">
        <f>SUM(Y22:Y50)-Y23-Y34-Y27-Y42</f>
        <v>243.25000000000003</v>
      </c>
      <c r="Z51" s="113">
        <f>SUM(Z22:Z50)-Z23-Z34-Z27-Z42</f>
        <v>264.15123431046214</v>
      </c>
      <c r="AA51" s="113">
        <f>SUM(AA22:AA50)-AA23-AA34-AA27-AA42</f>
        <v>-20.901234310462051</v>
      </c>
      <c r="AF51" s="113">
        <f>SUM(AF22:AF50)-AF23-AF34-AF27-AF42</f>
        <v>471.82500000000005</v>
      </c>
      <c r="AG51" s="113">
        <f>SUM(AG22:AG50)-AG23-AG34-AG27-AG42</f>
        <v>358.11766550779919</v>
      </c>
      <c r="AH51" s="113">
        <f>SUM(AH22:AH50)-AH23-AH34-AH27-AH42</f>
        <v>113.7073344922008</v>
      </c>
      <c r="AJ51" s="37"/>
      <c r="AK51" s="37"/>
      <c r="AL51" s="37"/>
      <c r="AM51" s="37"/>
      <c r="AN51" s="37"/>
      <c r="AO51" s="37"/>
      <c r="AP51" s="37"/>
      <c r="AQ51" s="37"/>
    </row>
    <row r="52" spans="1:43" s="14" customFormat="1">
      <c r="A52" s="10"/>
      <c r="B52" s="76"/>
      <c r="C52" s="77"/>
      <c r="D52" s="78"/>
      <c r="E52" s="78"/>
      <c r="F52" s="78"/>
      <c r="G52" s="78"/>
      <c r="H52" s="79"/>
      <c r="I52" s="78"/>
      <c r="J52" s="54"/>
      <c r="K52" s="78"/>
      <c r="L52" s="78"/>
      <c r="M52" s="78"/>
      <c r="N52" s="78"/>
      <c r="O52" s="79"/>
      <c r="P52" s="78"/>
      <c r="Q52" s="54"/>
      <c r="R52" s="78"/>
      <c r="S52" s="78"/>
      <c r="T52" s="78"/>
      <c r="U52" s="78"/>
      <c r="V52" s="79"/>
      <c r="W52" s="78"/>
      <c r="X52" s="54"/>
      <c r="Y52" s="114"/>
      <c r="Z52" s="114"/>
      <c r="AA52" s="114"/>
      <c r="AB52" s="54"/>
      <c r="AC52" s="54"/>
      <c r="AD52" s="54"/>
      <c r="AE52" s="54"/>
      <c r="AF52" s="114"/>
      <c r="AG52" s="114"/>
      <c r="AH52" s="114"/>
      <c r="AI52" s="54"/>
      <c r="AJ52" s="115"/>
      <c r="AK52" s="115"/>
      <c r="AL52" s="115"/>
      <c r="AM52" s="115"/>
      <c r="AN52" s="115"/>
      <c r="AO52" s="115"/>
      <c r="AP52" s="115"/>
      <c r="AQ52" s="115"/>
    </row>
    <row r="53" spans="1:43" s="54" customFormat="1" ht="14">
      <c r="A53" s="25" t="s">
        <v>104</v>
      </c>
      <c r="B53" s="108" t="s">
        <v>148</v>
      </c>
      <c r="C53" s="51"/>
      <c r="D53" s="52" t="e">
        <f>+F53</f>
        <v>#VALUE!</v>
      </c>
      <c r="E53" s="52" t="e">
        <f t="shared" ref="E53:E55" si="50">IF(A53="Acumulado",IF(F53&gt;D53,D53,F53),IF(A53="BN",+(D53/$D$8*$E$8),"VER"))</f>
        <v>#VALUE!</v>
      </c>
      <c r="F53" s="52" t="e">
        <f>+SUMIF([1]Resumen_Base!$A$7:$A$91,'[1]Budget Comparativo'!B53,[1]Resumen_Base!$Y$7:$Y$91)</f>
        <v>#VALUE!</v>
      </c>
      <c r="G53" s="52" t="e">
        <f t="shared" si="45"/>
        <v>#VALUE!</v>
      </c>
      <c r="H53" s="88"/>
      <c r="I53" s="94" t="e">
        <f>IF(ROUND(F53,0)=0,0,IF(D53=0,0,+F53/D53))</f>
        <v>#VALUE!</v>
      </c>
      <c r="K53" s="52" t="e">
        <f>+M53</f>
        <v>#VALUE!</v>
      </c>
      <c r="L53" s="52" t="e">
        <f t="shared" ref="L53:L55" si="51">IF(A53="Acumulado",IF(M53&gt;K53,K53,M53),IF(A53="BN",+(K53/$K$8*$L$8),"VER"))</f>
        <v>#VALUE!</v>
      </c>
      <c r="M53" s="52" t="e">
        <f>SUMIF([1]Resumen_Base!$A$94:$A$160,'[1]Budget Comparativo'!B53,[1]Resumen_Base!$Y$94:$Y$160)</f>
        <v>#VALUE!</v>
      </c>
      <c r="N53" s="52" t="e">
        <f t="shared" ref="N53:N56" si="52">+L53-M53</f>
        <v>#VALUE!</v>
      </c>
      <c r="O53" s="88"/>
      <c r="P53" s="94" t="e">
        <f>IF(ROUND(M53,0)=0,0,IF(K53=0,0,+M53/K53))</f>
        <v>#VALUE!</v>
      </c>
      <c r="R53" s="52" t="e">
        <f t="shared" ref="R53:T56" si="53">+D53+K53</f>
        <v>#VALUE!</v>
      </c>
      <c r="S53" s="52" t="e">
        <f t="shared" si="53"/>
        <v>#VALUE!</v>
      </c>
      <c r="T53" s="52" t="e">
        <f t="shared" si="53"/>
        <v>#VALUE!</v>
      </c>
      <c r="U53" s="52" t="e">
        <f t="shared" ref="U53:U56" si="54">+S53-T53</f>
        <v>#VALUE!</v>
      </c>
      <c r="V53" s="88"/>
      <c r="W53" s="94" t="e">
        <f>IF(ROUND(T53,0)=0,0,IF(R53=0,0,+T53/R53))</f>
        <v>#VALUE!</v>
      </c>
      <c r="Y53" s="55">
        <f>+'[1]Budget Comparativo'!D53/'[1]Budget Comparativo'!$Y$8</f>
        <v>0</v>
      </c>
      <c r="Z53" s="55">
        <f>+'[1]Budget Comparativo'!F53/'[1]Budget Comparativo'!$Z$8</f>
        <v>0</v>
      </c>
      <c r="AA53" s="55">
        <f>+Y53-Z53</f>
        <v>0</v>
      </c>
      <c r="AF53" s="55">
        <f>+'[1]Budget Comparativo'!K53/'[1]Budget Comparativo'!$AF$8</f>
        <v>0</v>
      </c>
      <c r="AG53" s="55">
        <f>+'[1]Budget Comparativo'!M53/'[1]Budget Comparativo'!$AG$8</f>
        <v>0</v>
      </c>
      <c r="AH53" s="55">
        <f>+AF53-AG53</f>
        <v>0</v>
      </c>
      <c r="AJ53" s="37">
        <v>12020401</v>
      </c>
      <c r="AK53" s="37">
        <v>12020701</v>
      </c>
      <c r="AL53" s="37"/>
      <c r="AM53" s="37"/>
      <c r="AN53" s="37"/>
      <c r="AO53" s="37"/>
      <c r="AP53" s="37"/>
      <c r="AQ53" s="37"/>
    </row>
    <row r="54" spans="1:43" s="54" customFormat="1" ht="28">
      <c r="A54" s="25" t="s">
        <v>104</v>
      </c>
      <c r="B54" s="108" t="s">
        <v>149</v>
      </c>
      <c r="C54" s="51"/>
      <c r="D54" s="52">
        <f>55000+4000</f>
        <v>59000</v>
      </c>
      <c r="E54" s="52">
        <f>+D54</f>
        <v>59000</v>
      </c>
      <c r="F54" s="52" t="e">
        <f>+SUMIF([1]Resumen_Base!$A$7:$A$91,'[1]Budget Comparativo'!B54,[1]Resumen_Base!$Y$7:$Y$91)</f>
        <v>#VALUE!</v>
      </c>
      <c r="G54" s="52" t="e">
        <f t="shared" si="45"/>
        <v>#VALUE!</v>
      </c>
      <c r="H54" s="88" t="s">
        <v>150</v>
      </c>
      <c r="I54" s="94" t="e">
        <f>IF(ROUND(F54,0)=0,0,IF(D54=0,0,+F54/D54))</f>
        <v>#VALUE!</v>
      </c>
      <c r="K54" s="52">
        <v>25000</v>
      </c>
      <c r="L54" s="52" t="e">
        <f t="shared" si="51"/>
        <v>#VALUE!</v>
      </c>
      <c r="M54" s="52" t="e">
        <f>SUMIF([1]Resumen_Base!$A$94:$A$160,'[1]Budget Comparativo'!B54,[1]Resumen_Base!$Y$94:$Y$160)</f>
        <v>#VALUE!</v>
      </c>
      <c r="N54" s="52" t="e">
        <f t="shared" si="52"/>
        <v>#VALUE!</v>
      </c>
      <c r="O54" s="88" t="s">
        <v>151</v>
      </c>
      <c r="P54" s="94" t="e">
        <f>IF(ROUND(M54,0)=0,0,IF(K54=0,0,+M54/K54))</f>
        <v>#VALUE!</v>
      </c>
      <c r="R54" s="52">
        <f t="shared" si="53"/>
        <v>84000</v>
      </c>
      <c r="S54" s="52" t="e">
        <f t="shared" si="53"/>
        <v>#VALUE!</v>
      </c>
      <c r="T54" s="52" t="e">
        <f t="shared" si="53"/>
        <v>#VALUE!</v>
      </c>
      <c r="U54" s="52" t="e">
        <f t="shared" si="54"/>
        <v>#VALUE!</v>
      </c>
      <c r="V54" s="88"/>
      <c r="W54" s="94" t="e">
        <f>IF(ROUND(T54,0)=0,0,IF(R54=0,0,+T54/R54))</f>
        <v>#VALUE!</v>
      </c>
      <c r="Y54" s="55">
        <f>+'[1]Budget Comparativo'!D54/'[1]Budget Comparativo'!$Y$8</f>
        <v>49.166666666666664</v>
      </c>
      <c r="Z54" s="55">
        <f>+'[1]Budget Comparativo'!F54/'[1]Budget Comparativo'!$Z$8</f>
        <v>56.308188269432435</v>
      </c>
      <c r="AA54" s="55">
        <f>+Y54-Z54</f>
        <v>-7.1415216027657706</v>
      </c>
      <c r="AF54" s="55">
        <f>+'[1]Budget Comparativo'!K54/'[1]Budget Comparativo'!$AF$8</f>
        <v>156.25</v>
      </c>
      <c r="AG54" s="55">
        <f>+'[1]Budget Comparativo'!M54/'[1]Budget Comparativo'!$AG$8</f>
        <v>296.20253164556959</v>
      </c>
      <c r="AH54" s="55">
        <f>+AF54-AG54</f>
        <v>-139.95253164556959</v>
      </c>
      <c r="AJ54" s="37">
        <v>120211</v>
      </c>
      <c r="AK54" s="37"/>
      <c r="AL54" s="37"/>
      <c r="AM54" s="37"/>
      <c r="AN54" s="37"/>
      <c r="AO54" s="37"/>
      <c r="AP54" s="37"/>
      <c r="AQ54" s="37"/>
    </row>
    <row r="55" spans="1:43" s="54" customFormat="1" ht="109" customHeight="1">
      <c r="A55" s="25" t="s">
        <v>104</v>
      </c>
      <c r="B55" s="108" t="s">
        <v>152</v>
      </c>
      <c r="C55" s="51"/>
      <c r="D55" s="52" t="e">
        <f>61000-D53-D56</f>
        <v>#VALUE!</v>
      </c>
      <c r="E55" s="52" t="e">
        <f t="shared" si="50"/>
        <v>#VALUE!</v>
      </c>
      <c r="F55" s="52" t="e">
        <f>+SUMIF([1]Resumen_Base!$A$7:$A$91,'[1]Budget Comparativo'!B55,[1]Resumen_Base!$Y$7:$Y$91)</f>
        <v>#VALUE!</v>
      </c>
      <c r="G55" s="52" t="e">
        <f t="shared" si="45"/>
        <v>#VALUE!</v>
      </c>
      <c r="H55" s="88" t="s">
        <v>153</v>
      </c>
      <c r="I55" s="94" t="e">
        <f>IF(ROUND(F55,0)=0,0,IF(D55=0,0,+F55/D55))</f>
        <v>#VALUE!</v>
      </c>
      <c r="J55" s="54">
        <f>33.3+0.9+3.4+1.5+1.7+1.6+7.4+1.5+5+0.3+1.7+0.7+1.7+1.3+1.5+0.7+0.6</f>
        <v>64.8</v>
      </c>
      <c r="K55" s="52" t="e">
        <f>360000-K53-K56</f>
        <v>#VALUE!</v>
      </c>
      <c r="L55" s="52" t="e">
        <f t="shared" si="51"/>
        <v>#VALUE!</v>
      </c>
      <c r="M55" s="52" t="e">
        <f>SUMIF([1]Resumen_Base!$A$94:$A$160,'[1]Budget Comparativo'!B55,[1]Resumen_Base!$Y$94:$Y$160)</f>
        <v>#VALUE!</v>
      </c>
      <c r="N55" s="52" t="e">
        <f t="shared" si="52"/>
        <v>#VALUE!</v>
      </c>
      <c r="O55" s="88" t="s">
        <v>154</v>
      </c>
      <c r="P55" s="94" t="e">
        <f>IF(ROUND(M55,0)=0,0,IF(K55=0,0,+M55/K55))</f>
        <v>#VALUE!</v>
      </c>
      <c r="Q55" s="107">
        <f>33.3+0.9+0.1+3.4+1.5+1.7+1.6+7.4+1.5+5+0.3+1.7+0.6+1+1.3+1.5</f>
        <v>62.8</v>
      </c>
      <c r="R55" s="52" t="e">
        <f t="shared" si="53"/>
        <v>#VALUE!</v>
      </c>
      <c r="S55" s="52" t="e">
        <f t="shared" si="53"/>
        <v>#VALUE!</v>
      </c>
      <c r="T55" s="52" t="e">
        <f t="shared" si="53"/>
        <v>#VALUE!</v>
      </c>
      <c r="U55" s="52" t="e">
        <f t="shared" si="54"/>
        <v>#VALUE!</v>
      </c>
      <c r="V55" s="88"/>
      <c r="W55" s="94" t="e">
        <f>IF(ROUND(T55,0)=0,0,IF(R55=0,0,+T55/R55))</f>
        <v>#VALUE!</v>
      </c>
      <c r="Y55" s="55">
        <f>+'[1]Budget Comparativo'!D55/'[1]Budget Comparativo'!$Y$8</f>
        <v>53.669692481412504</v>
      </c>
      <c r="Z55" s="55">
        <f>+'[1]Budget Comparativo'!F55/'[1]Budget Comparativo'!$Z$8</f>
        <v>62.963351310072845</v>
      </c>
      <c r="AA55" s="55">
        <f>+Y55-Z55</f>
        <v>-9.293658828660341</v>
      </c>
      <c r="AF55" s="55">
        <f>+'[1]Budget Comparativo'!K55/'[1]Budget Comparativo'!$AF$8</f>
        <v>2250</v>
      </c>
      <c r="AG55" s="55">
        <f>+'[1]Budget Comparativo'!M55/'[1]Budget Comparativo'!$AG$8</f>
        <v>4365.1665449799984</v>
      </c>
      <c r="AH55" s="55">
        <f>+AF55-AG55</f>
        <v>-2115.1665449799984</v>
      </c>
      <c r="AJ55" s="37">
        <v>12020103</v>
      </c>
      <c r="AK55" s="37">
        <v>12020105</v>
      </c>
      <c r="AL55" s="37">
        <v>12020201</v>
      </c>
      <c r="AM55" s="37">
        <v>12020301</v>
      </c>
      <c r="AN55" s="37">
        <v>12021001</v>
      </c>
      <c r="AO55" s="37">
        <v>12020501</v>
      </c>
      <c r="AP55" s="37">
        <v>12020601</v>
      </c>
      <c r="AQ55" s="37">
        <v>12020901</v>
      </c>
    </row>
    <row r="56" spans="1:43" s="54" customFormat="1" ht="15" thickBot="1">
      <c r="A56" s="25" t="s">
        <v>104</v>
      </c>
      <c r="B56" s="108" t="s">
        <v>155</v>
      </c>
      <c r="C56" s="51"/>
      <c r="D56" s="52" t="e">
        <f>+E56</f>
        <v>#VALUE!</v>
      </c>
      <c r="E56" s="52" t="e">
        <f>+F56</f>
        <v>#VALUE!</v>
      </c>
      <c r="F56" s="52" t="e">
        <f>+SUMIF([1]Resumen_Base!$A$7:$A$91,'[1]Budget Comparativo'!B56,[1]Resumen_Base!$Y$7:$Y$91)</f>
        <v>#VALUE!</v>
      </c>
      <c r="G56" s="52" t="e">
        <f t="shared" si="45"/>
        <v>#VALUE!</v>
      </c>
      <c r="H56" s="88" t="s">
        <v>156</v>
      </c>
      <c r="I56" s="94" t="e">
        <f>IF(ROUND(F56,0)=0,0,IF(D56=0,0,+F56/D56))</f>
        <v>#VALUE!</v>
      </c>
      <c r="K56" s="52" t="e">
        <f>+L56</f>
        <v>#VALUE!</v>
      </c>
      <c r="L56" s="52" t="e">
        <f>+M56</f>
        <v>#VALUE!</v>
      </c>
      <c r="M56" s="52" t="e">
        <f>SUMIF([1]Resumen_Base!$A$94:$A$160,'[1]Budget Comparativo'!B56,[1]Resumen_Base!$Y$94:$Y$160)</f>
        <v>#VALUE!</v>
      </c>
      <c r="N56" s="52" t="e">
        <f t="shared" si="52"/>
        <v>#VALUE!</v>
      </c>
      <c r="O56" s="88"/>
      <c r="P56" s="94" t="e">
        <f>IF(ROUND(M56,0)=0,0,IF(K56=0,0,+M56/K56))</f>
        <v>#VALUE!</v>
      </c>
      <c r="R56" s="52" t="e">
        <f t="shared" si="53"/>
        <v>#VALUE!</v>
      </c>
      <c r="S56" s="52" t="e">
        <f>+T56</f>
        <v>#VALUE!</v>
      </c>
      <c r="T56" s="52" t="e">
        <f t="shared" si="53"/>
        <v>#VALUE!</v>
      </c>
      <c r="U56" s="52" t="e">
        <f t="shared" si="54"/>
        <v>#VALUE!</v>
      </c>
      <c r="V56" s="88"/>
      <c r="W56" s="94" t="e">
        <f>IF(ROUND(T56,0)=0,0,IF(R56=0,0,+T56/R56))</f>
        <v>#VALUE!</v>
      </c>
      <c r="Y56" s="55">
        <f>+'[1]Budget Comparativo'!D56/'[1]Budget Comparativo'!$Y$8</f>
        <v>-2.8363591480791697</v>
      </c>
      <c r="Z56" s="55">
        <f>+'[1]Budget Comparativo'!F56/'[1]Budget Comparativo'!$Z$8</f>
        <v>-3.2758719708325348</v>
      </c>
      <c r="AA56" s="55">
        <f>+Y56-Z56</f>
        <v>0.43951282275336512</v>
      </c>
      <c r="AF56" s="55">
        <f>+'[1]Budget Comparativo'!K56/'[1]Budget Comparativo'!$AF$8</f>
        <v>0</v>
      </c>
      <c r="AG56" s="55">
        <f>+'[1]Budget Comparativo'!M56/'[1]Budget Comparativo'!$AG$8</f>
        <v>0</v>
      </c>
      <c r="AH56" s="55">
        <f>+AF56-AG56</f>
        <v>0</v>
      </c>
      <c r="AJ56" s="37">
        <v>7102</v>
      </c>
      <c r="AK56" s="37"/>
      <c r="AL56" s="37"/>
      <c r="AM56" s="37"/>
      <c r="AN56" s="37"/>
      <c r="AO56" s="37"/>
      <c r="AP56" s="37"/>
      <c r="AQ56" s="37"/>
    </row>
    <row r="57" spans="1:43" s="54" customFormat="1" ht="42.5" customHeight="1" thickBot="1">
      <c r="A57" s="25"/>
      <c r="B57" s="110" t="s">
        <v>157</v>
      </c>
      <c r="C57" s="51"/>
      <c r="D57" s="111" t="e">
        <f>+SUM(D53:D56)</f>
        <v>#VALUE!</v>
      </c>
      <c r="E57" s="111" t="e">
        <f t="shared" ref="E57:G57" si="55">+SUM(E53:E56)</f>
        <v>#VALUE!</v>
      </c>
      <c r="F57" s="111" t="e">
        <f t="shared" si="55"/>
        <v>#VALUE!</v>
      </c>
      <c r="G57" s="111" t="e">
        <f t="shared" si="55"/>
        <v>#VALUE!</v>
      </c>
      <c r="H57" s="112" t="s">
        <v>158</v>
      </c>
      <c r="I57" s="111"/>
      <c r="K57" s="111" t="e">
        <f>+SUM(K53:K56)</f>
        <v>#VALUE!</v>
      </c>
      <c r="L57" s="111" t="e">
        <f t="shared" ref="L57" si="56">+SUM(L53:L56)</f>
        <v>#VALUE!</v>
      </c>
      <c r="M57" s="111">
        <f>SUMIF([1]Resumen_Base!$A$94:$A$160,'[1]Budget Comparativo'!B57,[1]Resumen_Base!$Y$94:$Y$160)</f>
        <v>0</v>
      </c>
      <c r="N57" s="111" t="e">
        <f t="shared" ref="N57" si="57">+SUM(N53:N56)</f>
        <v>#VALUE!</v>
      </c>
      <c r="O57" s="112"/>
      <c r="P57" s="111"/>
      <c r="R57" s="111" t="e">
        <f>+SUM(R53:R56)</f>
        <v>#VALUE!</v>
      </c>
      <c r="S57" s="111" t="e">
        <f t="shared" ref="S57:U57" si="58">+SUM(S53:S56)</f>
        <v>#VALUE!</v>
      </c>
      <c r="T57" s="111" t="e">
        <f t="shared" si="58"/>
        <v>#VALUE!</v>
      </c>
      <c r="U57" s="111" t="e">
        <f t="shared" si="58"/>
        <v>#VALUE!</v>
      </c>
      <c r="V57" s="112"/>
      <c r="W57" s="111"/>
      <c r="Y57" s="113">
        <f>+'[1]Budget Comparativo'!D57/'[1]Budget Comparativo'!$Y$8</f>
        <v>100</v>
      </c>
      <c r="Z57" s="113">
        <f>+'[1]Budget Comparativo'!F57/'[1]Budget Comparativo'!$Z$8</f>
        <v>115.99566760867273</v>
      </c>
      <c r="AA57" s="113">
        <f>+Y57-Z57</f>
        <v>-15.995667608672733</v>
      </c>
      <c r="AF57" s="113">
        <f>+'[1]Budget Comparativo'!K57/'[1]Budget Comparativo'!$AF$8</f>
        <v>2406.25</v>
      </c>
      <c r="AG57" s="113">
        <f>+'[1]Budget Comparativo'!M57/'[1]Budget Comparativo'!$AG$8</f>
        <v>0</v>
      </c>
      <c r="AH57" s="113">
        <f>+AF57-AG57</f>
        <v>2406.25</v>
      </c>
      <c r="AJ57" s="37"/>
      <c r="AK57" s="37"/>
      <c r="AL57" s="37"/>
      <c r="AM57" s="37"/>
      <c r="AN57" s="37"/>
      <c r="AO57" s="37"/>
      <c r="AP57" s="37"/>
      <c r="AQ57" s="37"/>
    </row>
    <row r="58" spans="1:43" s="14" customFormat="1">
      <c r="A58" s="10"/>
      <c r="B58" s="11"/>
      <c r="C58" s="12"/>
      <c r="D58" s="13"/>
      <c r="E58" s="13"/>
      <c r="F58" s="13"/>
      <c r="G58" s="13"/>
      <c r="H58" s="116"/>
      <c r="I58" s="13"/>
      <c r="J58" s="12"/>
      <c r="K58" s="13"/>
      <c r="L58" s="13"/>
      <c r="M58" s="13"/>
      <c r="N58" s="13"/>
      <c r="O58" s="116"/>
      <c r="P58" s="13"/>
      <c r="Q58" s="12"/>
      <c r="R58" s="13"/>
      <c r="S58" s="13"/>
      <c r="T58" s="13"/>
      <c r="U58" s="13"/>
      <c r="V58" s="116"/>
      <c r="W58" s="13"/>
      <c r="X58" s="12"/>
      <c r="Y58" s="5"/>
      <c r="Z58" s="5"/>
      <c r="AA58" s="5"/>
      <c r="AB58" s="12"/>
      <c r="AC58" s="12"/>
      <c r="AD58" s="12"/>
      <c r="AE58" s="12"/>
      <c r="AF58" s="5"/>
      <c r="AG58" s="5"/>
      <c r="AH58" s="5"/>
      <c r="AI58" s="12"/>
      <c r="AJ58" s="54"/>
      <c r="AK58" s="54"/>
      <c r="AL58" s="54"/>
      <c r="AM58" s="54"/>
      <c r="AN58" s="54"/>
      <c r="AO58" s="54"/>
      <c r="AP58" s="54"/>
      <c r="AQ58" s="54"/>
    </row>
    <row r="59" spans="1:43">
      <c r="H59" s="118"/>
      <c r="O59" s="118"/>
      <c r="V59" s="118"/>
      <c r="AJ59" s="54"/>
      <c r="AK59" s="54"/>
      <c r="AL59" s="54"/>
      <c r="AM59" s="54"/>
      <c r="AN59" s="54"/>
      <c r="AO59" s="54"/>
      <c r="AP59" s="54"/>
      <c r="AQ59" s="54"/>
    </row>
    <row r="60" spans="1:43" s="125" customFormat="1" ht="14">
      <c r="A60" s="119"/>
      <c r="B60" s="120" t="s">
        <v>159</v>
      </c>
      <c r="C60" s="121"/>
      <c r="D60" s="122">
        <v>572100</v>
      </c>
      <c r="E60" s="123"/>
      <c r="F60" s="122" t="e">
        <f>+F56+F55+F54+F53+F49+F48+F47+F46+F45+F44+F43+F41+F40+F39+F38+F37+F36+F35+F33+F31+F30+F29+F28-F15-F14-F16+F25+F24+F26</f>
        <v>#VALUE!</v>
      </c>
      <c r="G60" s="123"/>
      <c r="H60" s="124"/>
      <c r="I60" s="123"/>
      <c r="J60" s="121"/>
      <c r="K60" s="122">
        <f>116412+360000</f>
        <v>476412</v>
      </c>
      <c r="L60" s="123"/>
      <c r="M60" s="122" t="e">
        <f>+M56+M55+M54+M53+M49+M48+M47+M46+M45+M44+M43+M41+M40+M39+M38+M37+M36+M35+M33+M31+M30+M29+M28-M15-M14-M16+M25+M24+M26</f>
        <v>#VALUE!</v>
      </c>
      <c r="N60" s="123"/>
      <c r="O60" s="124"/>
      <c r="P60" s="123"/>
      <c r="Q60" s="121"/>
      <c r="R60" s="122">
        <f>+D60+K60</f>
        <v>1048512</v>
      </c>
      <c r="S60" s="123"/>
      <c r="T60" s="122" t="e">
        <f>+F60+M60</f>
        <v>#VALUE!</v>
      </c>
      <c r="U60" s="123"/>
      <c r="V60" s="124"/>
      <c r="W60" s="123"/>
      <c r="X60" s="121"/>
      <c r="Y60" s="5"/>
      <c r="Z60" s="5"/>
      <c r="AA60" s="5"/>
      <c r="AB60" s="121"/>
      <c r="AC60" s="121"/>
      <c r="AD60" s="121"/>
      <c r="AE60" s="121"/>
      <c r="AF60" s="5"/>
      <c r="AG60" s="5"/>
      <c r="AH60" s="5"/>
      <c r="AI60" s="121"/>
      <c r="AJ60" s="54"/>
      <c r="AK60" s="54"/>
      <c r="AL60" s="54"/>
      <c r="AM60" s="54"/>
      <c r="AN60" s="54"/>
      <c r="AO60" s="54"/>
      <c r="AP60" s="54"/>
      <c r="AQ60" s="54"/>
    </row>
    <row r="61" spans="1:43" ht="14">
      <c r="A61" s="119"/>
      <c r="B61" s="4" t="s">
        <v>160</v>
      </c>
      <c r="C61" s="5"/>
      <c r="D61" s="126" t="e">
        <f>+D18+D51+D57-D60</f>
        <v>#VALUE!</v>
      </c>
      <c r="F61" s="126" t="e">
        <f>+F60-[1]Resumen_Base!$Y$5-'[1]Stock - Deudas'!$F$23</f>
        <v>#VALUE!</v>
      </c>
      <c r="J61" s="5"/>
      <c r="K61" s="126" t="e">
        <f>+K18+K51+K57-K60</f>
        <v>#VALUE!</v>
      </c>
      <c r="M61" s="126" t="e">
        <f>+M60-[1]Resumen_Base!$Y$92-'[1]Stock - Deudas'!$F$42</f>
        <v>#VALUE!</v>
      </c>
      <c r="Q61" s="5"/>
      <c r="R61" s="126" t="e">
        <f>+R18+R51+R57-R60</f>
        <v>#VALUE!</v>
      </c>
      <c r="T61" s="126" t="e">
        <f>+T60-[1]Resumen_Base!$Y$2-'[1]Stock - Deudas'!$F$42-'[1]Stock - Deudas'!$F$23</f>
        <v>#VALUE!</v>
      </c>
      <c r="X61" s="5"/>
      <c r="AB61" s="5"/>
      <c r="AC61" s="5"/>
      <c r="AD61" s="5"/>
      <c r="AE61" s="5"/>
      <c r="AI61" s="5"/>
      <c r="AJ61" s="54"/>
      <c r="AK61" s="54"/>
      <c r="AL61" s="54"/>
      <c r="AM61" s="54"/>
      <c r="AN61" s="54"/>
      <c r="AO61" s="54"/>
      <c r="AP61" s="54"/>
      <c r="AQ61" s="54"/>
    </row>
  </sheetData>
  <mergeCells count="10">
    <mergeCell ref="D6:I6"/>
    <mergeCell ref="K6:P6"/>
    <mergeCell ref="R6:W6"/>
    <mergeCell ref="Y6:AA6"/>
    <mergeCell ref="AF6:AH6"/>
    <mergeCell ref="D5:I5"/>
    <mergeCell ref="K5:P5"/>
    <mergeCell ref="R5:W5"/>
    <mergeCell ref="Y5:AA5"/>
    <mergeCell ref="AF5:AH5"/>
  </mergeCells>
  <conditionalFormatting sqref="B5">
    <cfRule type="cellIs" dxfId="12" priority="12" stopIfTrue="1" operator="notEqual">
      <formula>"ok"</formula>
    </cfRule>
  </conditionalFormatting>
  <conditionalFormatting sqref="G14:G18 G23:G57">
    <cfRule type="cellIs" dxfId="11" priority="11" operator="lessThan">
      <formula>0</formula>
    </cfRule>
  </conditionalFormatting>
  <conditionalFormatting sqref="I24:I31 I38:I41 I43:I49 I53:I56">
    <cfRule type="cellIs" dxfId="10" priority="13" operator="greaterThan">
      <formula>#REF!</formula>
    </cfRule>
  </conditionalFormatting>
  <conditionalFormatting sqref="I24:I56">
    <cfRule type="cellIs" dxfId="9" priority="10" operator="greaterThan">
      <formula>$I$10</formula>
    </cfRule>
  </conditionalFormatting>
  <conditionalFormatting sqref="N14:N18">
    <cfRule type="cellIs" dxfId="8" priority="8" operator="lessThan">
      <formula>0</formula>
    </cfRule>
  </conditionalFormatting>
  <conditionalFormatting sqref="N23:N57">
    <cfRule type="cellIs" dxfId="7" priority="7" operator="lessThan">
      <formula>0</formula>
    </cfRule>
  </conditionalFormatting>
  <conditionalFormatting sqref="P24:P31 P38:P41 P43:P49 P53:P56">
    <cfRule type="cellIs" dxfId="6" priority="6" operator="greaterThan">
      <formula>#REF!</formula>
    </cfRule>
  </conditionalFormatting>
  <conditionalFormatting sqref="P24:P56">
    <cfRule type="cellIs" dxfId="5" priority="5" operator="greaterThan">
      <formula>$I$10</formula>
    </cfRule>
  </conditionalFormatting>
  <conditionalFormatting sqref="U14:U18">
    <cfRule type="cellIs" dxfId="4" priority="4" operator="lessThan">
      <formula>0</formula>
    </cfRule>
  </conditionalFormatting>
  <conditionalFormatting sqref="U23:U57">
    <cfRule type="cellIs" dxfId="3" priority="3" operator="lessThan">
      <formula>0</formula>
    </cfRule>
  </conditionalFormatting>
  <conditionalFormatting sqref="W24:W31 W38:W41 W43:W49 W53:W56">
    <cfRule type="cellIs" dxfId="2" priority="2" operator="greaterThan">
      <formula>#REF!</formula>
    </cfRule>
  </conditionalFormatting>
  <conditionalFormatting sqref="W24:W56">
    <cfRule type="cellIs" dxfId="1" priority="1" operator="greaterThan">
      <formula>$I$10</formula>
    </cfRule>
  </conditionalFormatting>
  <conditionalFormatting sqref="AA14:AA57 AH14:AH57">
    <cfRule type="cellIs" dxfId="0" priority="9" operator="lessThan">
      <formula>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A9131-0755-7F47-BC30-98EE61E8815B}">
  <dimension ref="A4:J78"/>
  <sheetViews>
    <sheetView showGridLines="0" zoomScale="130" zoomScaleNormal="130" workbookViewId="0">
      <selection activeCell="A74" sqref="A74"/>
    </sheetView>
  </sheetViews>
  <sheetFormatPr baseColWidth="10" defaultRowHeight="16" outlineLevelRow="1"/>
  <cols>
    <col min="1" max="1" width="29.42578125" style="128" customWidth="1"/>
    <col min="2" max="2" width="29.5703125" style="128" customWidth="1"/>
    <col min="3" max="3" width="19.28515625" style="128" customWidth="1"/>
    <col min="4" max="4" width="13.5703125" style="128" bestFit="1" customWidth="1"/>
    <col min="5" max="6" width="13.5703125" style="128" customWidth="1"/>
    <col min="7" max="9" width="11.5703125" style="128" customWidth="1"/>
    <col min="10" max="10" width="43" style="128" customWidth="1"/>
    <col min="11" max="11" width="10.7109375" style="128"/>
    <col min="12" max="12" width="30.140625" style="128" bestFit="1" customWidth="1"/>
    <col min="13" max="16384" width="10.7109375" style="128"/>
  </cols>
  <sheetData>
    <row r="4" spans="1:10" ht="50">
      <c r="D4" s="129" t="s">
        <v>63</v>
      </c>
      <c r="E4" s="129"/>
      <c r="F4" s="129"/>
      <c r="G4" s="129"/>
      <c r="H4" s="129"/>
      <c r="I4" s="129"/>
      <c r="J4" s="129"/>
    </row>
    <row r="5" spans="1:10" ht="25">
      <c r="D5" s="130" t="s">
        <v>183</v>
      </c>
      <c r="E5" s="130"/>
      <c r="F5" s="130"/>
      <c r="G5" s="130"/>
      <c r="H5" s="130"/>
      <c r="I5" s="130"/>
      <c r="J5" s="130"/>
    </row>
    <row r="6" spans="1:10" ht="25">
      <c r="D6" s="131"/>
      <c r="E6" s="131"/>
      <c r="F6" s="131"/>
      <c r="G6" s="131"/>
      <c r="H6" s="131"/>
      <c r="I6" s="131"/>
      <c r="J6" s="131"/>
    </row>
    <row r="7" spans="1:10" ht="25">
      <c r="D7" s="131"/>
      <c r="E7" s="131"/>
      <c r="F7" s="131"/>
      <c r="G7" s="131"/>
      <c r="H7" s="131"/>
      <c r="I7" s="131"/>
      <c r="J7" s="131"/>
    </row>
    <row r="8" spans="1:10" ht="17">
      <c r="D8" s="224"/>
      <c r="E8" s="224"/>
      <c r="F8" s="224"/>
      <c r="G8" s="224"/>
      <c r="H8" s="224"/>
      <c r="I8" s="224"/>
      <c r="J8" s="224"/>
    </row>
    <row r="9" spans="1:10" ht="17">
      <c r="D9" s="132"/>
      <c r="E9" s="132"/>
      <c r="F9" s="132"/>
      <c r="G9" s="132"/>
      <c r="H9" s="132"/>
      <c r="I9" s="132"/>
      <c r="J9" s="132"/>
    </row>
    <row r="10" spans="1:10" ht="17" hidden="1">
      <c r="B10" s="128" t="s">
        <v>12</v>
      </c>
      <c r="D10" s="132"/>
      <c r="E10" s="132"/>
      <c r="F10" s="132"/>
      <c r="G10" s="133" t="e">
        <f ca="1">VLOOKUP($B10,INDIRECT(#REF!),#REF!,FALSE)</f>
        <v>#REF!</v>
      </c>
      <c r="H10" s="133"/>
      <c r="I10" s="134" t="e">
        <f ca="1">VLOOKUP($B10,INDIRECT(#REF!),#REF!,FALSE)</f>
        <v>#REF!</v>
      </c>
      <c r="J10" s="132"/>
    </row>
    <row r="11" spans="1:10" hidden="1">
      <c r="B11" s="128" t="s">
        <v>60</v>
      </c>
      <c r="G11" s="133" t="e">
        <f ca="1">VLOOKUP($B11,INDIRECT(#REF!),#REF!,FALSE)</f>
        <v>#REF!</v>
      </c>
      <c r="H11" s="133"/>
      <c r="I11" s="134" t="e">
        <f ca="1">VLOOKUP($B11,INDIRECT(#REF!),#REF!,FALSE)</f>
        <v>#REF!</v>
      </c>
    </row>
    <row r="12" spans="1:10" ht="17" thickBot="1">
      <c r="A12" s="136" t="s">
        <v>39</v>
      </c>
      <c r="B12" s="135"/>
      <c r="C12" s="135"/>
      <c r="D12" s="225" t="s">
        <v>41</v>
      </c>
      <c r="E12" s="226"/>
      <c r="F12" s="226"/>
      <c r="G12" s="225" t="s">
        <v>42</v>
      </c>
      <c r="H12" s="226"/>
      <c r="I12" s="227"/>
      <c r="J12" s="136" t="s">
        <v>39</v>
      </c>
    </row>
    <row r="13" spans="1:10" ht="19" thickBot="1">
      <c r="A13" s="140"/>
      <c r="B13" s="137"/>
      <c r="C13" s="137"/>
      <c r="D13" s="138" t="s">
        <v>163</v>
      </c>
      <c r="E13" s="139" t="s">
        <v>161</v>
      </c>
      <c r="F13" s="139" t="s">
        <v>61</v>
      </c>
      <c r="G13" s="138" t="s">
        <v>62</v>
      </c>
      <c r="H13" s="139" t="s">
        <v>162</v>
      </c>
      <c r="I13" s="139" t="s">
        <v>61</v>
      </c>
      <c r="J13" s="140"/>
    </row>
    <row r="14" spans="1:10" ht="17" customHeight="1">
      <c r="B14" s="141" t="s">
        <v>40</v>
      </c>
      <c r="C14" s="141"/>
      <c r="D14" s="142"/>
      <c r="G14" s="143"/>
      <c r="J14" s="142"/>
    </row>
    <row r="15" spans="1:10">
      <c r="B15" s="144" t="s">
        <v>26</v>
      </c>
      <c r="C15" s="144"/>
      <c r="D15" s="145">
        <v>260</v>
      </c>
      <c r="E15" s="133">
        <v>154</v>
      </c>
      <c r="F15" s="133">
        <v>79</v>
      </c>
      <c r="G15" s="142"/>
      <c r="J15" s="142"/>
    </row>
    <row r="16" spans="1:10">
      <c r="B16" s="144" t="s">
        <v>20</v>
      </c>
      <c r="C16" s="144"/>
      <c r="D16" s="145">
        <f>D15/1.5</f>
        <v>173.33333333333334</v>
      </c>
      <c r="E16" s="133">
        <v>98</v>
      </c>
      <c r="F16" s="133">
        <v>55</v>
      </c>
      <c r="G16" s="142"/>
      <c r="J16" s="142"/>
    </row>
    <row r="17" spans="2:10">
      <c r="B17" s="144" t="s">
        <v>45</v>
      </c>
      <c r="C17" s="144"/>
      <c r="D17" s="146">
        <v>46162</v>
      </c>
      <c r="E17" s="147">
        <v>45797</v>
      </c>
      <c r="F17" s="147">
        <v>45432</v>
      </c>
      <c r="G17" s="142"/>
      <c r="J17" s="142"/>
    </row>
    <row r="18" spans="2:10">
      <c r="B18" s="144" t="s">
        <v>44</v>
      </c>
      <c r="C18" s="144"/>
      <c r="D18" s="146">
        <v>46275</v>
      </c>
      <c r="E18" s="147">
        <v>45910</v>
      </c>
      <c r="F18" s="147">
        <v>45545</v>
      </c>
      <c r="G18" s="142"/>
      <c r="J18" s="142"/>
    </row>
    <row r="19" spans="2:10">
      <c r="B19" s="144" t="s">
        <v>43</v>
      </c>
      <c r="C19" s="144"/>
      <c r="D19" s="142">
        <f>D18-D17</f>
        <v>113</v>
      </c>
      <c r="E19" s="128">
        <f>E18-E17</f>
        <v>113</v>
      </c>
      <c r="F19" s="128">
        <f>F18-F17</f>
        <v>113</v>
      </c>
      <c r="G19" s="142"/>
      <c r="J19" s="142"/>
    </row>
    <row r="20" spans="2:10">
      <c r="D20" s="142"/>
      <c r="G20" s="142"/>
      <c r="J20" s="142"/>
    </row>
    <row r="21" spans="2:10" ht="19" thickBot="1">
      <c r="B21" s="148" t="s">
        <v>38</v>
      </c>
      <c r="C21" s="148"/>
      <c r="D21" s="149">
        <f>SUM(D22:D29)</f>
        <v>37242.400000000001</v>
      </c>
      <c r="E21" s="150">
        <f>SUM(E22:E29)</f>
        <v>21668.970000000048</v>
      </c>
      <c r="F21" s="150">
        <f>SUM(F22:F29)</f>
        <v>13635.865500000004</v>
      </c>
      <c r="G21" s="149">
        <f t="shared" ref="G21:G29" si="0">D21/$D$15</f>
        <v>143.24</v>
      </c>
      <c r="H21" s="150">
        <f t="shared" ref="H21:I38" si="1">E21/$E$15</f>
        <v>140.70759740259771</v>
      </c>
      <c r="I21" s="150">
        <f t="shared" ref="I21:I27" si="2">F21/$F$15</f>
        <v>172.60589240506334</v>
      </c>
      <c r="J21" s="151"/>
    </row>
    <row r="22" spans="2:10">
      <c r="B22" s="144" t="s">
        <v>37</v>
      </c>
      <c r="C22" s="144"/>
      <c r="D22" s="152">
        <f>9*D15</f>
        <v>2340</v>
      </c>
      <c r="E22" s="153">
        <v>935</v>
      </c>
      <c r="F22" s="133">
        <v>220</v>
      </c>
      <c r="G22" s="145">
        <f t="shared" si="0"/>
        <v>9</v>
      </c>
      <c r="H22" s="133">
        <f t="shared" si="1"/>
        <v>6.0714285714285712</v>
      </c>
      <c r="I22" s="154">
        <f t="shared" si="2"/>
        <v>2.7848101265822787</v>
      </c>
      <c r="J22" s="142"/>
    </row>
    <row r="23" spans="2:10">
      <c r="B23" s="144" t="s">
        <v>36</v>
      </c>
      <c r="C23" s="144"/>
      <c r="D23" s="152">
        <f>D22*-0.6</f>
        <v>-1404</v>
      </c>
      <c r="E23" s="153">
        <v>-527.279999999952</v>
      </c>
      <c r="F23" s="133">
        <f>F22*-0.6</f>
        <v>-132</v>
      </c>
      <c r="G23" s="145">
        <f t="shared" si="0"/>
        <v>-5.4</v>
      </c>
      <c r="H23" s="133">
        <f t="shared" si="1"/>
        <v>-3.423896103895792</v>
      </c>
      <c r="I23" s="154">
        <f t="shared" si="2"/>
        <v>-1.6708860759493671</v>
      </c>
      <c r="J23" s="142"/>
    </row>
    <row r="24" spans="2:10">
      <c r="B24" s="144" t="s">
        <v>35</v>
      </c>
      <c r="C24" s="144"/>
      <c r="D24" s="152">
        <f>(D22+D23)*-0.1</f>
        <v>-93.600000000000009</v>
      </c>
      <c r="E24" s="153">
        <v>0</v>
      </c>
      <c r="F24" s="133">
        <f>(F22+F23)*-0.1</f>
        <v>-8.8000000000000007</v>
      </c>
      <c r="G24" s="145">
        <f t="shared" si="0"/>
        <v>-0.36000000000000004</v>
      </c>
      <c r="H24" s="133">
        <f t="shared" si="1"/>
        <v>0</v>
      </c>
      <c r="I24" s="154">
        <f t="shared" si="2"/>
        <v>-0.11139240506329115</v>
      </c>
      <c r="J24" s="142"/>
    </row>
    <row r="25" spans="2:10">
      <c r="B25" s="144" t="s">
        <v>54</v>
      </c>
      <c r="C25" s="144"/>
      <c r="D25" s="152">
        <v>0</v>
      </c>
      <c r="E25" s="153">
        <v>0</v>
      </c>
      <c r="F25" s="128">
        <v>60</v>
      </c>
      <c r="G25" s="145">
        <f t="shared" si="0"/>
        <v>0</v>
      </c>
      <c r="H25" s="133">
        <f t="shared" si="1"/>
        <v>0</v>
      </c>
      <c r="I25" s="154">
        <f t="shared" si="2"/>
        <v>0.759493670886076</v>
      </c>
      <c r="J25" s="142"/>
    </row>
    <row r="26" spans="2:10">
      <c r="B26" s="144" t="s">
        <v>55</v>
      </c>
      <c r="C26" s="144"/>
      <c r="D26" s="152">
        <v>0</v>
      </c>
      <c r="E26" s="153">
        <v>0</v>
      </c>
      <c r="F26" s="133">
        <v>0</v>
      </c>
      <c r="G26" s="145">
        <f t="shared" si="0"/>
        <v>0</v>
      </c>
      <c r="H26" s="133">
        <f t="shared" si="1"/>
        <v>0</v>
      </c>
      <c r="I26" s="154">
        <f t="shared" si="2"/>
        <v>0</v>
      </c>
      <c r="J26" s="142"/>
    </row>
    <row r="27" spans="2:10">
      <c r="B27" s="144" t="s">
        <v>56</v>
      </c>
      <c r="C27" s="144"/>
      <c r="D27" s="152">
        <f>80*D15</f>
        <v>20800</v>
      </c>
      <c r="E27" s="153">
        <v>12090</v>
      </c>
      <c r="F27" s="133">
        <v>8370</v>
      </c>
      <c r="G27" s="145">
        <f t="shared" si="0"/>
        <v>80</v>
      </c>
      <c r="H27" s="133">
        <f t="shared" si="1"/>
        <v>78.506493506493513</v>
      </c>
      <c r="I27" s="154">
        <f t="shared" si="2"/>
        <v>105.9493670886076</v>
      </c>
      <c r="J27" s="142"/>
    </row>
    <row r="28" spans="2:10">
      <c r="B28" s="144" t="s">
        <v>164</v>
      </c>
      <c r="C28" s="144"/>
      <c r="D28" s="152">
        <f>5*26*D15</f>
        <v>33800</v>
      </c>
      <c r="E28" s="153">
        <v>18698</v>
      </c>
      <c r="F28" s="133">
        <f>4.95*24.34*F15</f>
        <v>9518.1570000000011</v>
      </c>
      <c r="G28" s="145">
        <f t="shared" si="0"/>
        <v>130</v>
      </c>
      <c r="H28" s="133">
        <f t="shared" si="1"/>
        <v>121.41558441558442</v>
      </c>
      <c r="I28" s="154">
        <f t="shared" si="1"/>
        <v>61.80621428571429</v>
      </c>
      <c r="J28" s="142"/>
    </row>
    <row r="29" spans="2:10">
      <c r="B29" s="144" t="s">
        <v>165</v>
      </c>
      <c r="C29" s="144"/>
      <c r="D29" s="152">
        <f>-14*D15*5</f>
        <v>-18200</v>
      </c>
      <c r="E29" s="153">
        <v>-9526.75</v>
      </c>
      <c r="F29" s="133">
        <f>-11.23*F15*4.95</f>
        <v>-4391.4915000000001</v>
      </c>
      <c r="G29" s="145">
        <f t="shared" si="0"/>
        <v>-70</v>
      </c>
      <c r="H29" s="133">
        <f t="shared" si="1"/>
        <v>-61.862012987012989</v>
      </c>
      <c r="I29" s="154">
        <f t="shared" si="1"/>
        <v>-28.516178571428572</v>
      </c>
      <c r="J29" s="142"/>
    </row>
    <row r="30" spans="2:10">
      <c r="D30" s="142"/>
      <c r="F30" s="133"/>
      <c r="G30" s="145">
        <f t="shared" ref="G30:G77" si="3">D30/$D$15</f>
        <v>0</v>
      </c>
      <c r="H30" s="133">
        <f t="shared" si="1"/>
        <v>0</v>
      </c>
      <c r="I30" s="154">
        <f t="shared" ref="I30:I77" si="4">F30/$F$15</f>
        <v>0</v>
      </c>
      <c r="J30" s="142"/>
    </row>
    <row r="31" spans="2:10" ht="19" thickBot="1">
      <c r="B31" s="155" t="s">
        <v>34</v>
      </c>
      <c r="C31" s="155"/>
      <c r="D31" s="156">
        <f t="shared" ref="D31:F31" si="5">SUM(D32:D58)-D51-D43-D40-D33</f>
        <v>113550.85057471266</v>
      </c>
      <c r="E31" s="157">
        <f>SUM(E32:E58)-E51-E43-E40-E33</f>
        <v>107227.62539529914</v>
      </c>
      <c r="F31" s="157">
        <f t="shared" si="5"/>
        <v>41720.63898970357</v>
      </c>
      <c r="G31" s="156">
        <f t="shared" si="3"/>
        <v>436.7340406719718</v>
      </c>
      <c r="H31" s="157">
        <f t="shared" si="1"/>
        <v>696.28328178765673</v>
      </c>
      <c r="I31" s="157">
        <f t="shared" si="4"/>
        <v>528.1093543000452</v>
      </c>
      <c r="J31" s="158"/>
    </row>
    <row r="32" spans="2:10">
      <c r="B32" s="128" t="s">
        <v>53</v>
      </c>
      <c r="D32" s="145">
        <v>0</v>
      </c>
      <c r="E32" s="133">
        <v>0</v>
      </c>
      <c r="F32" s="133">
        <v>0</v>
      </c>
      <c r="G32" s="145">
        <f t="shared" si="3"/>
        <v>0</v>
      </c>
      <c r="H32" s="133">
        <f t="shared" si="1"/>
        <v>0</v>
      </c>
      <c r="I32" s="154">
        <f t="shared" si="4"/>
        <v>0</v>
      </c>
      <c r="J32" s="142"/>
    </row>
    <row r="33" spans="1:10">
      <c r="B33" s="159" t="s">
        <v>33</v>
      </c>
      <c r="C33" s="159"/>
      <c r="D33" s="160">
        <f>SUBTOTAL(9,D34:D38)</f>
        <v>48715.517241379319</v>
      </c>
      <c r="E33" s="161">
        <v>47607.82</v>
      </c>
      <c r="F33" s="161">
        <f>SUM(F35:F38)</f>
        <v>25452.45</v>
      </c>
      <c r="G33" s="145">
        <f t="shared" si="3"/>
        <v>187.36737400530507</v>
      </c>
      <c r="H33" s="133">
        <f>E33/$E$15</f>
        <v>309.14168831168831</v>
      </c>
      <c r="I33" s="154">
        <f t="shared" si="4"/>
        <v>322.18291139240506</v>
      </c>
      <c r="J33" s="142"/>
    </row>
    <row r="34" spans="1:10" hidden="1" outlineLevel="1">
      <c r="B34" s="162" t="s">
        <v>32</v>
      </c>
      <c r="C34" s="162"/>
      <c r="D34" s="163">
        <v>0</v>
      </c>
      <c r="E34" s="164">
        <v>8758.9599999999991</v>
      </c>
      <c r="F34" s="164"/>
      <c r="G34" s="145">
        <f t="shared" si="3"/>
        <v>0</v>
      </c>
      <c r="H34" s="133">
        <f t="shared" si="1"/>
        <v>56.876363636363628</v>
      </c>
      <c r="I34" s="154">
        <f t="shared" si="4"/>
        <v>0</v>
      </c>
      <c r="J34" s="142"/>
    </row>
    <row r="35" spans="1:10" outlineLevel="1">
      <c r="B35" s="162" t="s">
        <v>31</v>
      </c>
      <c r="C35" s="162"/>
      <c r="D35" s="163">
        <f>Sueldos!G20</f>
        <v>8158.6206896551721</v>
      </c>
      <c r="E35" s="164">
        <v>8759</v>
      </c>
      <c r="F35" s="164">
        <v>6900</v>
      </c>
      <c r="G35" s="145">
        <f t="shared" si="3"/>
        <v>31.379310344827584</v>
      </c>
      <c r="H35" s="133">
        <f>E36/$E$15</f>
        <v>126.78571428571429</v>
      </c>
      <c r="I35" s="154">
        <f t="shared" si="4"/>
        <v>87.341772151898738</v>
      </c>
      <c r="J35" s="142"/>
    </row>
    <row r="36" spans="1:10" outlineLevel="1">
      <c r="B36" s="162" t="s">
        <v>30</v>
      </c>
      <c r="C36" s="162"/>
      <c r="D36" s="163">
        <f>Sueldos!F15</f>
        <v>14544.827586206897</v>
      </c>
      <c r="E36" s="164">
        <v>19525</v>
      </c>
      <c r="F36" s="164">
        <v>4000</v>
      </c>
      <c r="G36" s="145">
        <f t="shared" si="3"/>
        <v>55.941644562334218</v>
      </c>
      <c r="H36" s="133">
        <f>E37/$E$15</f>
        <v>101.85655844155845</v>
      </c>
      <c r="I36" s="154">
        <f t="shared" si="4"/>
        <v>50.632911392405063</v>
      </c>
      <c r="J36" s="142"/>
    </row>
    <row r="37" spans="1:10" outlineLevel="1">
      <c r="B37" s="162" t="s">
        <v>29</v>
      </c>
      <c r="C37" s="162"/>
      <c r="D37" s="163">
        <f>Sueldos!G33</f>
        <v>19881.034482758623</v>
      </c>
      <c r="E37" s="164">
        <v>15685.910000000002</v>
      </c>
      <c r="F37" s="164">
        <v>12600</v>
      </c>
      <c r="G37" s="145">
        <f t="shared" si="3"/>
        <v>76.465517241379317</v>
      </c>
      <c r="H37" s="133">
        <f>E38/$E$15</f>
        <v>23.623376623376622</v>
      </c>
      <c r="I37" s="154">
        <f t="shared" si="4"/>
        <v>159.49367088607596</v>
      </c>
      <c r="J37" s="142"/>
    </row>
    <row r="38" spans="1:10" outlineLevel="1">
      <c r="B38" s="162" t="s">
        <v>28</v>
      </c>
      <c r="C38" s="162"/>
      <c r="D38" s="163">
        <f>Sueldos!B41</f>
        <v>6131.0344827586205</v>
      </c>
      <c r="E38" s="164">
        <v>3638</v>
      </c>
      <c r="F38" s="164">
        <v>1952.45</v>
      </c>
      <c r="G38" s="145">
        <f t="shared" si="3"/>
        <v>23.580901856763926</v>
      </c>
      <c r="H38" s="133">
        <f t="shared" si="1"/>
        <v>23.623376623376622</v>
      </c>
      <c r="I38" s="154">
        <f t="shared" si="4"/>
        <v>24.714556962025316</v>
      </c>
      <c r="J38" s="142"/>
    </row>
    <row r="39" spans="1:10">
      <c r="B39" s="165" t="s">
        <v>50</v>
      </c>
      <c r="D39" s="166">
        <f>85*D15</f>
        <v>22100</v>
      </c>
      <c r="E39" s="133">
        <v>13937.669999999991</v>
      </c>
      <c r="F39" s="133">
        <v>6871</v>
      </c>
      <c r="G39" s="166">
        <f t="shared" si="3"/>
        <v>85</v>
      </c>
      <c r="H39" s="133">
        <f>E39/$E$15</f>
        <v>90.504350649350584</v>
      </c>
      <c r="I39" s="167">
        <f t="shared" si="4"/>
        <v>86.974683544303801</v>
      </c>
      <c r="J39" s="168"/>
    </row>
    <row r="40" spans="1:10">
      <c r="B40" s="159" t="s">
        <v>57</v>
      </c>
      <c r="C40" s="169"/>
      <c r="D40" s="170">
        <f>SUBTOTAL(9,D41:D42)</f>
        <v>4500</v>
      </c>
      <c r="E40" s="171">
        <f>E42+E41</f>
        <v>3101.64</v>
      </c>
      <c r="F40" s="172">
        <f>F42+F41</f>
        <v>40</v>
      </c>
      <c r="G40" s="145">
        <f t="shared" si="3"/>
        <v>17.307692307692307</v>
      </c>
      <c r="H40" s="173">
        <f t="shared" ref="H40:H78" si="6">E40/$E$15</f>
        <v>20.14051948051948</v>
      </c>
      <c r="I40" s="154">
        <f t="shared" si="4"/>
        <v>0.50632911392405067</v>
      </c>
      <c r="J40" s="142"/>
    </row>
    <row r="41" spans="1:10">
      <c r="B41" s="162" t="s">
        <v>52</v>
      </c>
      <c r="C41" s="162"/>
      <c r="D41" s="145">
        <v>0</v>
      </c>
      <c r="E41" s="133">
        <v>0</v>
      </c>
      <c r="F41" s="164">
        <v>0</v>
      </c>
      <c r="G41" s="145">
        <f t="shared" si="3"/>
        <v>0</v>
      </c>
      <c r="H41" s="133">
        <f t="shared" si="6"/>
        <v>0</v>
      </c>
      <c r="I41" s="154">
        <f t="shared" si="4"/>
        <v>0</v>
      </c>
      <c r="J41" s="142"/>
    </row>
    <row r="42" spans="1:10">
      <c r="B42" s="162" t="s">
        <v>51</v>
      </c>
      <c r="C42" s="162"/>
      <c r="D42" s="163">
        <v>4500</v>
      </c>
      <c r="E42" s="164">
        <v>3101.64</v>
      </c>
      <c r="F42" s="164">
        <v>40</v>
      </c>
      <c r="G42" s="166">
        <f t="shared" si="3"/>
        <v>17.307692307692307</v>
      </c>
      <c r="H42" s="133">
        <f t="shared" si="6"/>
        <v>20.14051948051948</v>
      </c>
      <c r="I42" s="167">
        <f t="shared" si="4"/>
        <v>0.50632911392405067</v>
      </c>
      <c r="J42" s="174"/>
    </row>
    <row r="43" spans="1:10">
      <c r="B43" s="175" t="s">
        <v>27</v>
      </c>
      <c r="C43" s="175"/>
      <c r="D43" s="176">
        <f>SUBTOTAL(9,D44:D46)</f>
        <v>10900</v>
      </c>
      <c r="E43" s="172">
        <v>8904.9900000000016</v>
      </c>
      <c r="F43" s="172">
        <v>2976.288355069858</v>
      </c>
      <c r="G43" s="145">
        <f t="shared" si="3"/>
        <v>41.92307692307692</v>
      </c>
      <c r="H43" s="173">
        <f t="shared" si="6"/>
        <v>57.824610389610399</v>
      </c>
      <c r="I43" s="154">
        <f t="shared" si="4"/>
        <v>37.674536140124786</v>
      </c>
      <c r="J43" s="142"/>
    </row>
    <row r="44" spans="1:10" ht="68" outlineLevel="1">
      <c r="A44" s="181" t="s">
        <v>180</v>
      </c>
      <c r="B44" s="162" t="s">
        <v>25</v>
      </c>
      <c r="C44" s="162"/>
      <c r="D44" s="163">
        <v>4500</v>
      </c>
      <c r="E44" s="164">
        <v>4473.8300000000008</v>
      </c>
      <c r="F44" s="164">
        <v>1177.5311513153877</v>
      </c>
      <c r="G44" s="145">
        <f t="shared" si="3"/>
        <v>17.307692307692307</v>
      </c>
      <c r="H44" s="133">
        <f t="shared" si="6"/>
        <v>29.05084415584416</v>
      </c>
      <c r="I44" s="154">
        <f t="shared" si="4"/>
        <v>14.905457611587186</v>
      </c>
      <c r="J44" s="142"/>
    </row>
    <row r="45" spans="1:10" ht="34" outlineLevel="1">
      <c r="A45" s="211" t="s">
        <v>204</v>
      </c>
      <c r="B45" s="200" t="s">
        <v>24</v>
      </c>
      <c r="C45" s="162"/>
      <c r="D45" s="163">
        <f>20*D15</f>
        <v>5200</v>
      </c>
      <c r="E45" s="164">
        <v>3276.5299999999997</v>
      </c>
      <c r="F45" s="164">
        <v>1257.369154186378</v>
      </c>
      <c r="G45" s="145">
        <f t="shared" si="3"/>
        <v>20</v>
      </c>
      <c r="H45" s="133">
        <f t="shared" si="6"/>
        <v>21.276168831168828</v>
      </c>
      <c r="I45" s="154">
        <f t="shared" si="4"/>
        <v>15.916065242865544</v>
      </c>
      <c r="J45" s="142"/>
    </row>
    <row r="46" spans="1:10" outlineLevel="1">
      <c r="B46" s="177" t="s">
        <v>23</v>
      </c>
      <c r="C46" s="177"/>
      <c r="D46" s="178">
        <v>1200</v>
      </c>
      <c r="E46" s="179">
        <v>1154.6300000000001</v>
      </c>
      <c r="F46" s="179">
        <v>541.38804956809236</v>
      </c>
      <c r="G46" s="166">
        <f t="shared" si="3"/>
        <v>4.615384615384615</v>
      </c>
      <c r="H46" s="133">
        <f t="shared" si="6"/>
        <v>7.4975974025974033</v>
      </c>
      <c r="I46" s="167">
        <f t="shared" si="4"/>
        <v>6.8530132856720547</v>
      </c>
      <c r="J46" s="168"/>
    </row>
    <row r="47" spans="1:10">
      <c r="B47" s="128" t="s">
        <v>22</v>
      </c>
      <c r="D47" s="145">
        <v>0</v>
      </c>
      <c r="E47" s="133">
        <v>400</v>
      </c>
      <c r="F47" s="133">
        <v>607.19202914788161</v>
      </c>
      <c r="G47" s="145">
        <f t="shared" si="3"/>
        <v>0</v>
      </c>
      <c r="H47" s="173">
        <f t="shared" si="6"/>
        <v>2.5974025974025974</v>
      </c>
      <c r="I47" s="154">
        <f t="shared" si="4"/>
        <v>7.6859750525048307</v>
      </c>
      <c r="J47" s="180"/>
    </row>
    <row r="48" spans="1:10">
      <c r="B48" s="128" t="s">
        <v>49</v>
      </c>
      <c r="D48" s="145">
        <v>2500</v>
      </c>
      <c r="E48" s="133">
        <v>2336.1400000000003</v>
      </c>
      <c r="F48" s="133">
        <v>875.41103059293664</v>
      </c>
      <c r="G48" s="145">
        <f t="shared" si="3"/>
        <v>9.615384615384615</v>
      </c>
      <c r="H48" s="133">
        <f t="shared" si="6"/>
        <v>15.169740259740262</v>
      </c>
      <c r="I48" s="154">
        <f t="shared" si="4"/>
        <v>11.081152285986541</v>
      </c>
      <c r="J48" s="142"/>
    </row>
    <row r="49" spans="1:10">
      <c r="B49" s="128" t="s">
        <v>21</v>
      </c>
      <c r="D49" s="145">
        <v>1500</v>
      </c>
      <c r="E49" s="133">
        <v>1620.9799999999998</v>
      </c>
      <c r="F49" s="133">
        <v>275.83409324459615</v>
      </c>
      <c r="G49" s="145">
        <f t="shared" si="3"/>
        <v>5.7692307692307692</v>
      </c>
      <c r="H49" s="133">
        <f t="shared" si="6"/>
        <v>10.525844155844155</v>
      </c>
      <c r="I49" s="154">
        <f t="shared" si="4"/>
        <v>3.4915708005645083</v>
      </c>
      <c r="J49" s="142"/>
    </row>
    <row r="50" spans="1:10" ht="34">
      <c r="A50" s="181" t="s">
        <v>166</v>
      </c>
      <c r="B50" s="165" t="s">
        <v>48</v>
      </c>
      <c r="C50" s="165"/>
      <c r="D50" s="166">
        <v>150</v>
      </c>
      <c r="E50" s="167">
        <v>137.19847222222222</v>
      </c>
      <c r="F50" s="167">
        <v>21.276595744680851</v>
      </c>
      <c r="G50" s="166">
        <f t="shared" si="3"/>
        <v>0.57692307692307687</v>
      </c>
      <c r="H50" s="133">
        <f t="shared" si="6"/>
        <v>0.89089917027417032</v>
      </c>
      <c r="I50" s="167">
        <f t="shared" si="4"/>
        <v>0.26932399676811203</v>
      </c>
      <c r="J50" s="168"/>
    </row>
    <row r="51" spans="1:10">
      <c r="B51" s="159" t="s">
        <v>19</v>
      </c>
      <c r="C51" s="159"/>
      <c r="D51" s="182">
        <f>SUBTOTAL(9,D52:D54)</f>
        <v>15000</v>
      </c>
      <c r="E51" s="183">
        <v>14211.580000000007</v>
      </c>
      <c r="F51" s="183">
        <v>3197.4209908627972</v>
      </c>
      <c r="G51" s="145">
        <f t="shared" si="3"/>
        <v>57.692307692307693</v>
      </c>
      <c r="H51" s="173">
        <f t="shared" si="6"/>
        <v>92.282987012987064</v>
      </c>
      <c r="I51" s="154">
        <f t="shared" si="4"/>
        <v>40.473683428643</v>
      </c>
      <c r="J51" s="142"/>
    </row>
    <row r="52" spans="1:10" outlineLevel="1">
      <c r="B52" s="162" t="s">
        <v>18</v>
      </c>
      <c r="C52" s="162"/>
      <c r="D52" s="163">
        <v>5000</v>
      </c>
      <c r="E52" s="164">
        <v>3359.9600000000119</v>
      </c>
      <c r="F52" s="164">
        <v>1877.5961279670773</v>
      </c>
      <c r="G52" s="145">
        <f t="shared" si="3"/>
        <v>19.23076923076923</v>
      </c>
      <c r="H52" s="133">
        <f t="shared" si="6"/>
        <v>21.817922077922155</v>
      </c>
      <c r="I52" s="154">
        <f t="shared" si="4"/>
        <v>23.767039594519968</v>
      </c>
      <c r="J52" s="142"/>
    </row>
    <row r="53" spans="1:10" outlineLevel="1">
      <c r="B53" s="162" t="s">
        <v>17</v>
      </c>
      <c r="C53" s="162"/>
      <c r="D53" s="163">
        <v>8000</v>
      </c>
      <c r="E53" s="164">
        <v>9342.399999999996</v>
      </c>
      <c r="F53" s="164">
        <v>1216.9546321331757</v>
      </c>
      <c r="G53" s="145">
        <f t="shared" si="3"/>
        <v>30.76923076923077</v>
      </c>
      <c r="H53" s="133">
        <f t="shared" si="6"/>
        <v>60.664935064935037</v>
      </c>
      <c r="I53" s="154">
        <f t="shared" si="4"/>
        <v>15.404489014343996</v>
      </c>
      <c r="J53" s="142"/>
    </row>
    <row r="54" spans="1:10" outlineLevel="1">
      <c r="B54" s="177" t="s">
        <v>16</v>
      </c>
      <c r="C54" s="177"/>
      <c r="D54" s="178">
        <v>2000</v>
      </c>
      <c r="E54" s="179">
        <v>1509.22</v>
      </c>
      <c r="F54" s="179">
        <v>102.87023076254467</v>
      </c>
      <c r="G54" s="166">
        <f t="shared" si="3"/>
        <v>7.6923076923076925</v>
      </c>
      <c r="H54" s="133">
        <f t="shared" si="6"/>
        <v>9.8001298701298705</v>
      </c>
      <c r="I54" s="167">
        <f t="shared" si="4"/>
        <v>1.3021548197790465</v>
      </c>
      <c r="J54" s="168"/>
    </row>
    <row r="55" spans="1:10">
      <c r="A55" s="128" t="s">
        <v>167</v>
      </c>
      <c r="B55" s="128" t="s">
        <v>15</v>
      </c>
      <c r="D55" s="145">
        <f>56*12</f>
        <v>672</v>
      </c>
      <c r="E55" s="133">
        <v>689.13</v>
      </c>
      <c r="F55" s="133">
        <v>140.72784313725489</v>
      </c>
      <c r="G55" s="145">
        <f t="shared" si="3"/>
        <v>2.5846153846153848</v>
      </c>
      <c r="H55" s="173">
        <f t="shared" si="6"/>
        <v>4.4748701298701299</v>
      </c>
      <c r="I55" s="154">
        <f t="shared" si="4"/>
        <v>1.7813651030032265</v>
      </c>
      <c r="J55" s="142"/>
    </row>
    <row r="56" spans="1:10">
      <c r="B56" s="128" t="s">
        <v>14</v>
      </c>
      <c r="D56" s="145">
        <v>3800</v>
      </c>
      <c r="E56" s="133">
        <v>3562.1169230769233</v>
      </c>
      <c r="F56" s="133">
        <v>67.178133333333335</v>
      </c>
      <c r="G56" s="145">
        <f t="shared" si="3"/>
        <v>14.615384615384615</v>
      </c>
      <c r="H56" s="133">
        <f t="shared" si="6"/>
        <v>23.130629370629372</v>
      </c>
      <c r="I56" s="154">
        <f t="shared" si="4"/>
        <v>0.8503561181434599</v>
      </c>
      <c r="J56" s="142"/>
    </row>
    <row r="57" spans="1:10" ht="34">
      <c r="A57" s="181" t="s">
        <v>168</v>
      </c>
      <c r="B57" s="128" t="s">
        <v>13</v>
      </c>
      <c r="D57" s="145">
        <v>500</v>
      </c>
      <c r="E57" s="133">
        <v>0</v>
      </c>
      <c r="F57" s="133">
        <v>0</v>
      </c>
      <c r="G57" s="145">
        <f t="shared" si="3"/>
        <v>1.9230769230769231</v>
      </c>
      <c r="H57" s="133">
        <f t="shared" si="6"/>
        <v>0</v>
      </c>
      <c r="I57" s="154">
        <f t="shared" si="4"/>
        <v>0</v>
      </c>
      <c r="J57" s="142"/>
    </row>
    <row r="58" spans="1:10" ht="34">
      <c r="A58" s="181" t="s">
        <v>169</v>
      </c>
      <c r="B58" s="128" t="s">
        <v>47</v>
      </c>
      <c r="D58" s="145">
        <f>(7*D16)+2000</f>
        <v>3213.3333333333335</v>
      </c>
      <c r="E58" s="133">
        <v>1959.31</v>
      </c>
      <c r="F58" s="133">
        <v>1195.8599185702401</v>
      </c>
      <c r="G58" s="145">
        <f t="shared" si="3"/>
        <v>12.358974358974359</v>
      </c>
      <c r="H58" s="133">
        <f t="shared" si="6"/>
        <v>12.722792207792207</v>
      </c>
      <c r="I58" s="154">
        <f t="shared" si="4"/>
        <v>15.137467323673926</v>
      </c>
      <c r="J58" s="142"/>
    </row>
    <row r="59" spans="1:10">
      <c r="G59" s="154"/>
      <c r="H59" s="133"/>
      <c r="I59" s="154"/>
    </row>
    <row r="60" spans="1:10">
      <c r="B60" s="184"/>
      <c r="C60" s="184"/>
      <c r="I60" s="154"/>
    </row>
    <row r="61" spans="1:10">
      <c r="G61" s="154"/>
      <c r="H61" s="133"/>
      <c r="I61" s="154"/>
    </row>
    <row r="62" spans="1:10" ht="18" hidden="1">
      <c r="B62" s="185" t="s">
        <v>59</v>
      </c>
      <c r="C62" s="185"/>
      <c r="D62" s="186">
        <f>SUBTOTAL(9,D63:D64)</f>
        <v>32000</v>
      </c>
      <c r="E62" s="187"/>
      <c r="F62" s="187">
        <v>0</v>
      </c>
      <c r="G62" s="187">
        <f t="shared" si="3"/>
        <v>123.07692307692308</v>
      </c>
      <c r="H62" s="188">
        <f t="shared" si="6"/>
        <v>0</v>
      </c>
      <c r="I62" s="189">
        <f t="shared" si="4"/>
        <v>0</v>
      </c>
      <c r="J62" s="190"/>
    </row>
    <row r="63" spans="1:10" ht="18" hidden="1">
      <c r="B63" s="185" t="s">
        <v>58</v>
      </c>
      <c r="C63" s="185"/>
      <c r="D63" s="186">
        <f>SUBTOTAL(9,D64:D65)</f>
        <v>32000</v>
      </c>
      <c r="E63" s="187"/>
      <c r="F63" s="187">
        <v>0</v>
      </c>
      <c r="G63" s="191">
        <f t="shared" si="3"/>
        <v>123.07692307692308</v>
      </c>
      <c r="H63" s="188">
        <f t="shared" si="6"/>
        <v>0</v>
      </c>
      <c r="I63" s="192">
        <f t="shared" si="4"/>
        <v>0</v>
      </c>
      <c r="J63" s="190"/>
    </row>
    <row r="64" spans="1:10" ht="18">
      <c r="B64" s="193" t="s">
        <v>46</v>
      </c>
      <c r="C64" s="193"/>
      <c r="D64" s="194">
        <f>SUM(D65:D77)</f>
        <v>32000</v>
      </c>
      <c r="E64" s="195"/>
      <c r="F64" s="195">
        <f>SUM(F65:F77)</f>
        <v>368248</v>
      </c>
      <c r="G64" s="194">
        <f t="shared" si="3"/>
        <v>123.07692307692308</v>
      </c>
      <c r="H64" s="196">
        <f t="shared" si="6"/>
        <v>0</v>
      </c>
      <c r="I64" s="197">
        <f t="shared" si="4"/>
        <v>4661.3670886075952</v>
      </c>
      <c r="J64" s="198"/>
    </row>
    <row r="65" spans="1:10">
      <c r="B65" s="128" t="s">
        <v>1</v>
      </c>
      <c r="D65" s="199">
        <v>0</v>
      </c>
      <c r="E65" s="133"/>
      <c r="F65" s="133">
        <v>0</v>
      </c>
      <c r="G65" s="145">
        <f t="shared" si="3"/>
        <v>0</v>
      </c>
      <c r="H65" s="173">
        <f t="shared" si="6"/>
        <v>0</v>
      </c>
      <c r="I65" s="133">
        <f t="shared" si="4"/>
        <v>0</v>
      </c>
      <c r="J65" s="142"/>
    </row>
    <row r="66" spans="1:10">
      <c r="B66" s="128" t="s">
        <v>11</v>
      </c>
      <c r="D66" s="145">
        <v>0</v>
      </c>
      <c r="E66" s="133"/>
      <c r="F66" s="133">
        <v>0</v>
      </c>
      <c r="G66" s="145">
        <f t="shared" si="3"/>
        <v>0</v>
      </c>
      <c r="H66" s="133">
        <f t="shared" si="6"/>
        <v>0</v>
      </c>
      <c r="I66" s="133">
        <f t="shared" si="4"/>
        <v>0</v>
      </c>
      <c r="J66" s="142"/>
    </row>
    <row r="67" spans="1:10">
      <c r="B67" s="128" t="s">
        <v>10</v>
      </c>
      <c r="D67" s="145">
        <v>0</v>
      </c>
      <c r="E67" s="133"/>
      <c r="F67" s="133">
        <v>0</v>
      </c>
      <c r="G67" s="145">
        <f t="shared" si="3"/>
        <v>0</v>
      </c>
      <c r="H67" s="133">
        <f t="shared" si="6"/>
        <v>0</v>
      </c>
      <c r="I67" s="133">
        <f t="shared" si="4"/>
        <v>0</v>
      </c>
      <c r="J67" s="142"/>
    </row>
    <row r="68" spans="1:10">
      <c r="B68" s="128" t="s">
        <v>9</v>
      </c>
      <c r="D68" s="145">
        <v>0</v>
      </c>
      <c r="E68" s="133"/>
      <c r="F68" s="133">
        <v>344848</v>
      </c>
      <c r="G68" s="145">
        <f t="shared" si="3"/>
        <v>0</v>
      </c>
      <c r="H68" s="133">
        <f t="shared" si="6"/>
        <v>0</v>
      </c>
      <c r="I68" s="133">
        <f t="shared" si="4"/>
        <v>4365.164556962025</v>
      </c>
      <c r="J68" s="142"/>
    </row>
    <row r="69" spans="1:10" ht="51">
      <c r="A69" s="181" t="s">
        <v>182</v>
      </c>
      <c r="B69" s="128" t="s">
        <v>8</v>
      </c>
      <c r="D69" s="145">
        <v>10000</v>
      </c>
      <c r="E69" s="133"/>
      <c r="F69" s="133">
        <v>0</v>
      </c>
      <c r="G69" s="145">
        <f t="shared" si="3"/>
        <v>38.46153846153846</v>
      </c>
      <c r="H69" s="133">
        <f t="shared" si="6"/>
        <v>0</v>
      </c>
      <c r="I69" s="133">
        <f t="shared" si="4"/>
        <v>0</v>
      </c>
      <c r="J69" s="142"/>
    </row>
    <row r="70" spans="1:10">
      <c r="B70" s="128" t="s">
        <v>7</v>
      </c>
      <c r="D70" s="145">
        <v>4000</v>
      </c>
      <c r="E70" s="133"/>
      <c r="F70" s="133">
        <v>0</v>
      </c>
      <c r="G70" s="145">
        <f t="shared" si="3"/>
        <v>15.384615384615385</v>
      </c>
      <c r="H70" s="133">
        <f t="shared" si="6"/>
        <v>0</v>
      </c>
      <c r="I70" s="133">
        <f t="shared" si="4"/>
        <v>0</v>
      </c>
      <c r="J70" s="142"/>
    </row>
    <row r="71" spans="1:10">
      <c r="A71" s="128" t="s">
        <v>181</v>
      </c>
      <c r="B71" s="128" t="s">
        <v>6</v>
      </c>
      <c r="D71" s="145">
        <v>15000</v>
      </c>
      <c r="E71" s="133"/>
      <c r="F71" s="133">
        <v>0</v>
      </c>
      <c r="G71" s="145">
        <f t="shared" si="3"/>
        <v>57.692307692307693</v>
      </c>
      <c r="H71" s="133">
        <f t="shared" si="6"/>
        <v>0</v>
      </c>
      <c r="I71" s="133">
        <f t="shared" si="4"/>
        <v>0</v>
      </c>
      <c r="J71" s="142"/>
    </row>
    <row r="72" spans="1:10">
      <c r="B72" s="128" t="s">
        <v>5</v>
      </c>
      <c r="D72" s="145">
        <v>0</v>
      </c>
      <c r="E72" s="133"/>
      <c r="F72" s="133">
        <v>0</v>
      </c>
      <c r="G72" s="145">
        <f t="shared" si="3"/>
        <v>0</v>
      </c>
      <c r="H72" s="133">
        <f t="shared" si="6"/>
        <v>0</v>
      </c>
      <c r="I72" s="133">
        <f t="shared" si="4"/>
        <v>0</v>
      </c>
      <c r="J72" s="142"/>
    </row>
    <row r="73" spans="1:10">
      <c r="B73" s="128" t="s">
        <v>4</v>
      </c>
      <c r="D73" s="145">
        <v>0</v>
      </c>
      <c r="E73" s="133"/>
      <c r="F73" s="133">
        <v>0</v>
      </c>
      <c r="G73" s="145">
        <f t="shared" si="3"/>
        <v>0</v>
      </c>
      <c r="H73" s="133">
        <f t="shared" si="6"/>
        <v>0</v>
      </c>
      <c r="I73" s="133">
        <f t="shared" si="4"/>
        <v>0</v>
      </c>
      <c r="J73" s="142"/>
    </row>
    <row r="74" spans="1:10">
      <c r="B74" s="128" t="s">
        <v>3</v>
      </c>
      <c r="D74" s="145">
        <v>0</v>
      </c>
      <c r="E74" s="133"/>
      <c r="F74" s="133">
        <v>0</v>
      </c>
      <c r="G74" s="145">
        <f t="shared" si="3"/>
        <v>0</v>
      </c>
      <c r="H74" s="133">
        <f t="shared" si="6"/>
        <v>0</v>
      </c>
      <c r="I74" s="133">
        <f t="shared" si="4"/>
        <v>0</v>
      </c>
      <c r="J74" s="142"/>
    </row>
    <row r="75" spans="1:10">
      <c r="B75" s="128" t="s">
        <v>2</v>
      </c>
      <c r="D75" s="145">
        <v>0</v>
      </c>
      <c r="E75" s="133"/>
      <c r="F75" s="133">
        <v>23400</v>
      </c>
      <c r="G75" s="145">
        <f t="shared" si="3"/>
        <v>0</v>
      </c>
      <c r="H75" s="133">
        <f t="shared" si="6"/>
        <v>0</v>
      </c>
      <c r="I75" s="133">
        <f t="shared" si="4"/>
        <v>296.20253164556959</v>
      </c>
      <c r="J75" s="142"/>
    </row>
    <row r="76" spans="1:10">
      <c r="B76" s="128" t="s">
        <v>1</v>
      </c>
      <c r="D76" s="145">
        <v>0</v>
      </c>
      <c r="E76" s="133"/>
      <c r="F76" s="133">
        <v>0</v>
      </c>
      <c r="G76" s="145">
        <f t="shared" si="3"/>
        <v>0</v>
      </c>
      <c r="H76" s="133">
        <f t="shared" si="6"/>
        <v>0</v>
      </c>
      <c r="I76" s="133">
        <f t="shared" si="4"/>
        <v>0</v>
      </c>
      <c r="J76" s="142"/>
    </row>
    <row r="77" spans="1:10">
      <c r="B77" s="128" t="s">
        <v>47</v>
      </c>
      <c r="D77" s="145">
        <v>3000</v>
      </c>
      <c r="E77" s="133"/>
      <c r="F77" s="133">
        <v>0</v>
      </c>
      <c r="G77" s="145">
        <f t="shared" si="3"/>
        <v>11.538461538461538</v>
      </c>
      <c r="H77" s="133">
        <f t="shared" si="6"/>
        <v>0</v>
      </c>
      <c r="I77" s="133">
        <f t="shared" si="4"/>
        <v>0</v>
      </c>
      <c r="J77" s="142"/>
    </row>
    <row r="78" spans="1:10">
      <c r="G78" s="154"/>
      <c r="H78" s="133">
        <f t="shared" si="6"/>
        <v>0</v>
      </c>
    </row>
  </sheetData>
  <mergeCells count="3">
    <mergeCell ref="D8:J8"/>
    <mergeCell ref="D12:F12"/>
    <mergeCell ref="G12:I12"/>
  </mergeCells>
  <pageMargins left="0.7" right="0.7" top="0.75" bottom="0.75" header="0.3" footer="0.3"/>
  <ignoredErrors>
    <ignoredError sqref="D43 D51 F33" formulaRange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8A007-73F0-2443-B272-2422A862CF30}">
  <dimension ref="A1:I41"/>
  <sheetViews>
    <sheetView tabSelected="1" topLeftCell="A10" workbookViewId="0">
      <selection activeCell="C40" sqref="C40"/>
    </sheetView>
  </sheetViews>
  <sheetFormatPr baseColWidth="10" defaultRowHeight="16"/>
  <cols>
    <col min="1" max="1" width="25.7109375" bestFit="1" customWidth="1"/>
    <col min="2" max="2" width="11.42578125" bestFit="1" customWidth="1"/>
    <col min="6" max="6" width="11.42578125" bestFit="1" customWidth="1"/>
    <col min="7" max="7" width="12" bestFit="1" customWidth="1"/>
  </cols>
  <sheetData>
    <row r="1" spans="1:7">
      <c r="B1" t="s">
        <v>170</v>
      </c>
      <c r="C1">
        <v>1450</v>
      </c>
    </row>
    <row r="3" spans="1:7">
      <c r="A3" s="208" t="s">
        <v>194</v>
      </c>
    </row>
    <row r="4" spans="1:7">
      <c r="A4" t="s">
        <v>26</v>
      </c>
      <c r="B4">
        <f>'Budget 2026'!D15</f>
        <v>260</v>
      </c>
    </row>
    <row r="5" spans="1:7">
      <c r="A5" t="s">
        <v>195</v>
      </c>
      <c r="B5">
        <v>75</v>
      </c>
    </row>
    <row r="6" spans="1:7">
      <c r="A6" t="s">
        <v>196</v>
      </c>
      <c r="B6">
        <f>B5*B4</f>
        <v>19500</v>
      </c>
    </row>
    <row r="7" spans="1:7">
      <c r="A7" t="s">
        <v>197</v>
      </c>
      <c r="B7">
        <f>B6*0.7</f>
        <v>13650</v>
      </c>
    </row>
    <row r="9" spans="1:7" ht="51">
      <c r="A9" s="201" t="s">
        <v>30</v>
      </c>
      <c r="B9" s="201" t="s">
        <v>172</v>
      </c>
      <c r="C9" s="201" t="s">
        <v>173</v>
      </c>
      <c r="D9" s="201" t="s">
        <v>174</v>
      </c>
      <c r="E9" s="201" t="s">
        <v>175</v>
      </c>
      <c r="F9" s="201" t="s">
        <v>60</v>
      </c>
      <c r="G9" s="202"/>
    </row>
    <row r="10" spans="1:7">
      <c r="A10" t="s">
        <v>171</v>
      </c>
      <c r="B10" s="203">
        <f>500000/C1</f>
        <v>344.82758620689657</v>
      </c>
      <c r="C10" s="203">
        <f>B10*0.25</f>
        <v>86.206896551724142</v>
      </c>
      <c r="D10" s="203">
        <f>1100-B10</f>
        <v>755.17241379310349</v>
      </c>
      <c r="E10">
        <v>4</v>
      </c>
      <c r="F10" s="203">
        <f>(B10+C10+D10)*E10</f>
        <v>4744.8275862068967</v>
      </c>
    </row>
    <row r="11" spans="1:7">
      <c r="A11" t="s">
        <v>184</v>
      </c>
      <c r="B11" s="203">
        <v>0</v>
      </c>
      <c r="C11" s="203">
        <v>0</v>
      </c>
      <c r="D11" s="203">
        <v>500</v>
      </c>
      <c r="E11">
        <v>5</v>
      </c>
      <c r="F11" s="203">
        <f>E11*D11</f>
        <v>2500</v>
      </c>
    </row>
    <row r="12" spans="1:7">
      <c r="A12" t="s">
        <v>185</v>
      </c>
      <c r="B12" s="203">
        <v>0</v>
      </c>
      <c r="C12" s="203">
        <v>0</v>
      </c>
      <c r="D12" s="203">
        <v>500</v>
      </c>
      <c r="E12">
        <v>5</v>
      </c>
      <c r="F12" s="203">
        <f>E12*D12</f>
        <v>2500</v>
      </c>
    </row>
    <row r="13" spans="1:7">
      <c r="A13" t="s">
        <v>191</v>
      </c>
      <c r="B13" s="203"/>
      <c r="C13" s="203"/>
      <c r="D13" s="203"/>
      <c r="F13" s="203">
        <v>2000</v>
      </c>
      <c r="G13" t="s">
        <v>192</v>
      </c>
    </row>
    <row r="14" spans="1:7">
      <c r="A14" t="s">
        <v>193</v>
      </c>
      <c r="B14" s="203"/>
      <c r="C14" s="203"/>
      <c r="D14" s="203"/>
      <c r="F14" s="203">
        <v>2800</v>
      </c>
      <c r="G14" t="s">
        <v>192</v>
      </c>
    </row>
    <row r="15" spans="1:7">
      <c r="A15" s="205" t="s">
        <v>186</v>
      </c>
      <c r="B15" s="205"/>
      <c r="C15" s="205"/>
      <c r="D15" s="205"/>
      <c r="E15" s="205"/>
      <c r="F15" s="207">
        <f>SUM(F10:F14)</f>
        <v>14544.827586206897</v>
      </c>
    </row>
    <row r="18" spans="1:9">
      <c r="A18" t="s">
        <v>111</v>
      </c>
    </row>
    <row r="19" spans="1:9" ht="51">
      <c r="A19" s="201" t="s">
        <v>30</v>
      </c>
      <c r="B19" s="201" t="s">
        <v>172</v>
      </c>
      <c r="C19" s="201" t="s">
        <v>173</v>
      </c>
      <c r="D19" s="201" t="s">
        <v>174</v>
      </c>
      <c r="E19" s="201" t="s">
        <v>175</v>
      </c>
      <c r="F19" s="201" t="s">
        <v>176</v>
      </c>
      <c r="G19" s="201" t="s">
        <v>60</v>
      </c>
    </row>
    <row r="20" spans="1:9">
      <c r="A20" t="s">
        <v>111</v>
      </c>
      <c r="B20" s="203">
        <f>1100000/C1</f>
        <v>758.62068965517244</v>
      </c>
      <c r="C20" s="203">
        <f>B20*0.25</f>
        <v>189.65517241379311</v>
      </c>
      <c r="D20" s="203">
        <f>1600-B20</f>
        <v>841.37931034482756</v>
      </c>
      <c r="E20" s="204">
        <v>4</v>
      </c>
      <c r="F20" s="203">
        <v>1000</v>
      </c>
      <c r="G20" s="203">
        <f>(B20+C20+D20)*E20+F20</f>
        <v>8158.6206896551721</v>
      </c>
      <c r="H20" s="203"/>
    </row>
    <row r="21" spans="1:9">
      <c r="B21" s="203"/>
      <c r="C21" s="203"/>
      <c r="D21" s="203"/>
      <c r="E21" s="203"/>
      <c r="F21" s="203"/>
      <c r="G21" s="203"/>
      <c r="H21" s="203"/>
    </row>
    <row r="22" spans="1:9">
      <c r="B22" s="203"/>
      <c r="C22" s="203"/>
      <c r="D22" s="203"/>
      <c r="E22" s="203"/>
      <c r="F22" s="203"/>
      <c r="G22" s="203"/>
      <c r="H22" s="203"/>
    </row>
    <row r="23" spans="1:9">
      <c r="B23" s="203"/>
      <c r="C23" s="203"/>
      <c r="D23" s="203"/>
      <c r="E23" s="203"/>
      <c r="F23" s="203"/>
      <c r="G23" s="203"/>
      <c r="H23" s="203"/>
    </row>
    <row r="24" spans="1:9" ht="51">
      <c r="A24" s="206" t="s">
        <v>29</v>
      </c>
      <c r="B24" s="201" t="s">
        <v>172</v>
      </c>
      <c r="C24" s="201" t="s">
        <v>173</v>
      </c>
      <c r="D24" s="201" t="s">
        <v>174</v>
      </c>
      <c r="E24" s="201" t="s">
        <v>175</v>
      </c>
      <c r="F24" s="201" t="s">
        <v>176</v>
      </c>
      <c r="G24" s="201" t="s">
        <v>60</v>
      </c>
      <c r="H24" s="203"/>
      <c r="I24" s="203"/>
    </row>
    <row r="25" spans="1:9">
      <c r="A25" t="s">
        <v>177</v>
      </c>
      <c r="B25" s="203">
        <f>500000/C1</f>
        <v>344.82758620689657</v>
      </c>
      <c r="C25" s="203">
        <f>B25*0.25</f>
        <v>86.206896551724142</v>
      </c>
      <c r="D25" s="203">
        <f>(1100000/C1)-B25</f>
        <v>413.79310344827587</v>
      </c>
      <c r="E25" s="204">
        <v>4</v>
      </c>
      <c r="F25" s="204">
        <v>700</v>
      </c>
      <c r="G25" s="203">
        <f t="shared" ref="G25:G31" si="0">(B25+C25+D25)*E25+F25</f>
        <v>4079.3103448275861</v>
      </c>
      <c r="H25" s="203"/>
      <c r="I25" s="203"/>
    </row>
    <row r="26" spans="1:9">
      <c r="A26" t="s">
        <v>178</v>
      </c>
      <c r="B26" s="203">
        <f>500000/C1</f>
        <v>344.82758620689657</v>
      </c>
      <c r="C26" s="203">
        <f>B26*0.25</f>
        <v>86.206896551724142</v>
      </c>
      <c r="D26" s="203">
        <f>(1100000/C1)-B26</f>
        <v>413.79310344827587</v>
      </c>
      <c r="E26" s="204">
        <v>4</v>
      </c>
      <c r="F26" s="204">
        <v>700</v>
      </c>
      <c r="G26" s="203">
        <f t="shared" ref="G26:G27" si="1">(B26+C26+D26)*E26+F26</f>
        <v>4079.3103448275861</v>
      </c>
      <c r="H26" s="203"/>
      <c r="I26" s="203"/>
    </row>
    <row r="27" spans="1:9" ht="17">
      <c r="A27" s="127" t="s">
        <v>189</v>
      </c>
      <c r="B27" s="203">
        <f>500000/C1</f>
        <v>344.82758620689657</v>
      </c>
      <c r="C27" s="203">
        <f>B27*0.25</f>
        <v>86.206896551724142</v>
      </c>
      <c r="D27" s="203">
        <f>(800000/C1)-B27</f>
        <v>206.89655172413796</v>
      </c>
      <c r="E27" s="204">
        <v>4</v>
      </c>
      <c r="F27" s="204">
        <v>200</v>
      </c>
      <c r="G27" s="203">
        <f t="shared" si="1"/>
        <v>2751.7241379310344</v>
      </c>
      <c r="H27" s="203"/>
      <c r="I27" s="203"/>
    </row>
    <row r="28" spans="1:9" ht="17">
      <c r="A28" s="127" t="s">
        <v>190</v>
      </c>
      <c r="B28" s="203">
        <v>0</v>
      </c>
      <c r="C28" s="203">
        <v>0</v>
      </c>
      <c r="D28" s="203">
        <f>550000/C1</f>
        <v>379.31034482758622</v>
      </c>
      <c r="E28" s="204">
        <v>4</v>
      </c>
      <c r="F28" s="204">
        <v>300</v>
      </c>
      <c r="G28" s="203">
        <f>D28*E28+F28</f>
        <v>1817.2413793103449</v>
      </c>
      <c r="H28" s="203"/>
      <c r="I28" s="203"/>
    </row>
    <row r="29" spans="1:9">
      <c r="A29" t="s">
        <v>179</v>
      </c>
      <c r="B29" s="203">
        <f>500000/C1</f>
        <v>344.82758620689657</v>
      </c>
      <c r="C29" s="203">
        <f>B29*0.25</f>
        <v>86.206896551724142</v>
      </c>
      <c r="D29" s="203">
        <v>1500</v>
      </c>
      <c r="E29" s="204">
        <v>4</v>
      </c>
      <c r="F29" s="204">
        <v>500</v>
      </c>
      <c r="G29" s="203">
        <f t="shared" si="0"/>
        <v>8224.1379310344819</v>
      </c>
      <c r="H29" s="203"/>
      <c r="I29" s="203"/>
    </row>
    <row r="30" spans="1:9">
      <c r="A30" t="s">
        <v>187</v>
      </c>
      <c r="B30" s="203">
        <f>500000/C1</f>
        <v>344.82758620689657</v>
      </c>
      <c r="C30" s="203">
        <f>B30*0.25</f>
        <v>86.206896551724142</v>
      </c>
      <c r="D30" s="203">
        <f>(900000/C1)-B30</f>
        <v>275.86206896551727</v>
      </c>
      <c r="E30" s="204">
        <v>5</v>
      </c>
      <c r="F30" s="204">
        <v>700</v>
      </c>
      <c r="G30" s="203">
        <f t="shared" si="0"/>
        <v>4234.4827586206893</v>
      </c>
      <c r="H30" s="203"/>
      <c r="I30" s="203"/>
    </row>
    <row r="31" spans="1:9">
      <c r="A31" t="s">
        <v>188</v>
      </c>
      <c r="B31" s="203">
        <f>500000/C1</f>
        <v>344.82758620689657</v>
      </c>
      <c r="C31" s="203">
        <f>B31*0.25</f>
        <v>86.206896551724142</v>
      </c>
      <c r="D31" s="203">
        <f>(750000/C1)-B31</f>
        <v>172.41379310344831</v>
      </c>
      <c r="E31" s="204">
        <v>13</v>
      </c>
      <c r="F31" s="204">
        <v>500</v>
      </c>
      <c r="G31" s="203">
        <f t="shared" si="0"/>
        <v>8344.8275862068986</v>
      </c>
      <c r="H31" s="203"/>
      <c r="I31" s="203"/>
    </row>
    <row r="32" spans="1:9">
      <c r="A32" t="s">
        <v>198</v>
      </c>
      <c r="B32" s="203"/>
      <c r="C32" s="203"/>
      <c r="D32" s="203"/>
      <c r="E32" s="203"/>
      <c r="F32" s="203"/>
      <c r="G32" s="203">
        <f>-B7</f>
        <v>-13650</v>
      </c>
      <c r="H32" s="203"/>
    </row>
    <row r="33" spans="1:7">
      <c r="A33" s="205" t="s">
        <v>199</v>
      </c>
      <c r="B33" s="205"/>
      <c r="C33" s="205"/>
      <c r="D33" s="205"/>
      <c r="E33" s="205"/>
      <c r="F33" s="205"/>
      <c r="G33" s="210">
        <f>SUM(G32:G32)+SUM(G25:G31)</f>
        <v>19881.034482758623</v>
      </c>
    </row>
    <row r="36" spans="1:7">
      <c r="A36" s="205" t="s">
        <v>28</v>
      </c>
      <c r="B36" s="205"/>
    </row>
    <row r="37" spans="1:7">
      <c r="A37" t="s">
        <v>202</v>
      </c>
      <c r="B37" s="209">
        <f>B10*E10</f>
        <v>1379.3103448275863</v>
      </c>
      <c r="F37" s="209"/>
    </row>
    <row r="38" spans="1:7">
      <c r="A38" t="s">
        <v>200</v>
      </c>
      <c r="B38" s="209">
        <f>B20*E20</f>
        <v>3034.4827586206898</v>
      </c>
    </row>
    <row r="39" spans="1:7">
      <c r="A39" t="s">
        <v>201</v>
      </c>
      <c r="B39" s="209">
        <f>SUM(B25*38)</f>
        <v>13103.448275862069</v>
      </c>
    </row>
    <row r="40" spans="1:7">
      <c r="A40" t="s">
        <v>60</v>
      </c>
      <c r="B40" s="209">
        <f>SUM(B37:B39)</f>
        <v>17517.241379310344</v>
      </c>
    </row>
    <row r="41" spans="1:7">
      <c r="A41" s="205" t="s">
        <v>203</v>
      </c>
      <c r="B41" s="210">
        <f>B40*0.35</f>
        <v>6131.0344827586205</v>
      </c>
    </row>
  </sheetData>
  <pageMargins left="0.7" right="0.7" top="0.75" bottom="0.75" header="0.3" footer="0.3"/>
  <ignoredErrors>
    <ignoredError sqref="G28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Real al 31-7-24</vt:lpstr>
      <vt:lpstr>Budget 2026</vt:lpstr>
      <vt:lpstr>Sueldos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 Braun</dc:creator>
  <cp:lastModifiedBy>Marina Soledad García</cp:lastModifiedBy>
  <dcterms:created xsi:type="dcterms:W3CDTF">2023-08-07T13:20:10Z</dcterms:created>
  <dcterms:modified xsi:type="dcterms:W3CDTF">2026-04-22T15:52:22Z</dcterms:modified>
</cp:coreProperties>
</file>
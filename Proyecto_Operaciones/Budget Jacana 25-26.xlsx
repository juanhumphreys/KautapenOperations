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Garcia/Documents/Budgets TKG 2026/Cacería/"/>
    </mc:Choice>
  </mc:AlternateContent>
  <xr:revisionPtr revIDLastSave="0" documentId="8_{C3E56F1C-5C70-FE43-A388-DCA19521FA0F}" xr6:coauthVersionLast="47" xr6:coauthVersionMax="47" xr10:uidLastSave="{00000000-0000-0000-0000-000000000000}"/>
  <bookViews>
    <workbookView xWindow="0" yWindow="0" windowWidth="28800" windowHeight="18000" xr2:uid="{A5155916-BC77-4E46-9CAD-32E40E0A6730}"/>
  </bookViews>
  <sheets>
    <sheet name="Budget 2025-26" sheetId="1" r:id="rId1"/>
    <sheet name="Sueldos" sheetId="10" r:id="rId2"/>
  </sheets>
  <definedNames>
    <definedName name="_Regression_X" hidden="1">#REF!</definedName>
    <definedName name="_Rt12">#REF!</definedName>
    <definedName name="AJUSTES">#REF!</definedName>
    <definedName name="Assumptions">#REF!</definedName>
    <definedName name="_xlnm.Database">#REF!</definedName>
    <definedName name="BN_CY">#REF!</definedName>
    <definedName name="BN_LY">#REF!</definedName>
    <definedName name="BN_PY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SH_FLOW">#REF!</definedName>
    <definedName name="Costo">#REF!</definedName>
    <definedName name="DAYS_CY">#REF!</definedName>
    <definedName name="Depreciation_Investment">#REF!</definedName>
    <definedName name="EVOLUCION___0">#N/A</definedName>
    <definedName name="FC_CY">#REF!</definedName>
    <definedName name="FC_LY">#REF!</definedName>
    <definedName name="FC_PY">#REF!</definedName>
    <definedName name="FI_CY">#REF!</definedName>
    <definedName name="FI_LY">#REF!</definedName>
    <definedName name="FI_PY">#REF!</definedName>
    <definedName name="Futa" hidden="1">{"Informe de Gastos",#N/A,FALSE,"Informe Gastos"}</definedName>
    <definedName name="IBrutos">#REF!</definedName>
    <definedName name="INCOME_STATEMENT">#REF!</definedName>
    <definedName name="Intang">#REF!</definedName>
    <definedName name="LCR_Real">#REF!</definedName>
    <definedName name="Macro1">#N/A</definedName>
    <definedName name="Monext">#REF!</definedName>
    <definedName name="º" hidden="1">{#N/A,#N/A,FALSE,"11) Det. Balance"}</definedName>
    <definedName name="PAX_CY">#REF!</definedName>
    <definedName name="PAX_LY">#REF!</definedName>
    <definedName name="PAX_PY">#REF!</definedName>
    <definedName name="PERSONNEL">#REF!</definedName>
    <definedName name="Real22">#REF!</definedName>
    <definedName name="Real23">#REF!</definedName>
    <definedName name="RealVM23">#REF!</definedName>
    <definedName name="res" hidden="1">{"Informe de Gastos",#N/A,FALSE,"Informe Gastos"}</definedName>
    <definedName name="Revenues_Expenses">#REF!</definedName>
    <definedName name="Total_Sales__quantity">#REF!</definedName>
    <definedName name="Uniona">#REF!</definedName>
    <definedName name="wrn.balance._.detallado." hidden="1">{#N/A,#N/A,FALSE,"11) Det. Balance"}</definedName>
    <definedName name="wrn.Informe._.de._.Caja._.semanal." hidden="1">{"Informe de Caja",#N/A,FALSE,"Caja"}</definedName>
    <definedName name="wrn.Informe._.Presupuesto._.vs._.Real." hidden="1">{"Informe Presupuesto",#N/A,FALSE,"Presupuesto"}</definedName>
    <definedName name="wrn.Resumen._.de._.Gastos._.por._.semana." hidden="1">{"Informe de Gastos",#N/A,FALSE,"Informe Gastos"}</definedName>
    <definedName name="wrn.Resumen._.de._.Ingresos._.por._.Semana." hidden="1">{"Resumen de Ingresos",#N/A,FALSE,"Informe Ingresos"}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9" i="1"/>
  <c r="D24" i="10"/>
  <c r="G25" i="10"/>
  <c r="E26" i="1"/>
  <c r="H26" i="1" s="1"/>
  <c r="D33" i="10"/>
  <c r="D32" i="10"/>
  <c r="J26" i="1"/>
  <c r="I26" i="1"/>
  <c r="E40" i="1"/>
  <c r="E4" i="10"/>
  <c r="B10" i="10"/>
  <c r="C10" i="10" s="1"/>
  <c r="B11" i="10"/>
  <c r="C11" i="10" s="1"/>
  <c r="B12" i="10"/>
  <c r="C12" i="10" s="1"/>
  <c r="F12" i="10" s="1"/>
  <c r="B13" i="10"/>
  <c r="C13" i="10" s="1"/>
  <c r="B14" i="10"/>
  <c r="C14" i="10" s="1"/>
  <c r="F14" i="10" s="1"/>
  <c r="B15" i="10"/>
  <c r="C15" i="10" s="1"/>
  <c r="F15" i="10" s="1"/>
  <c r="B16" i="10"/>
  <c r="C16" i="10" s="1"/>
  <c r="B17" i="10"/>
  <c r="C17" i="10" s="1"/>
  <c r="F17" i="10" s="1"/>
  <c r="B32" i="10"/>
  <c r="B31" i="10"/>
  <c r="C31" i="10" s="1"/>
  <c r="B34" i="10"/>
  <c r="C34" i="10" s="1"/>
  <c r="B33" i="10"/>
  <c r="C33" i="10" s="1"/>
  <c r="B30" i="10"/>
  <c r="B29" i="10"/>
  <c r="B4" i="10"/>
  <c r="B6" i="10" s="1"/>
  <c r="B7" i="10" s="1"/>
  <c r="B24" i="10"/>
  <c r="F13" i="10" l="1"/>
  <c r="E6" i="10"/>
  <c r="E7" i="10" s="1"/>
  <c r="F11" i="10"/>
  <c r="F16" i="10"/>
  <c r="G31" i="10"/>
  <c r="C32" i="10"/>
  <c r="G32" i="10" s="1"/>
  <c r="G33" i="10"/>
  <c r="G34" i="10"/>
  <c r="C29" i="10"/>
  <c r="G29" i="10" s="1"/>
  <c r="C24" i="10"/>
  <c r="G24" i="10" s="1"/>
  <c r="G26" i="10" s="1"/>
  <c r="E34" i="1" s="1"/>
  <c r="C30" i="10"/>
  <c r="G30" i="10" s="1"/>
  <c r="G35" i="10" l="1"/>
  <c r="F10" i="10"/>
  <c r="F19" i="10" s="1"/>
  <c r="E35" i="1" s="1"/>
  <c r="E33" i="1" s="1"/>
  <c r="E36" i="1"/>
  <c r="E38" i="1" l="1"/>
  <c r="E39" i="1"/>
  <c r="H33" i="1"/>
  <c r="E50" i="1"/>
  <c r="H50" i="1" s="1"/>
  <c r="E63" i="1"/>
  <c r="H63" i="1" s="1"/>
  <c r="H40" i="1"/>
  <c r="G70" i="1"/>
  <c r="J29" i="1"/>
  <c r="J28" i="1"/>
  <c r="I29" i="1"/>
  <c r="I28" i="1"/>
  <c r="H29" i="1"/>
  <c r="H57" i="1"/>
  <c r="H56" i="1"/>
  <c r="H55" i="1"/>
  <c r="H54" i="1"/>
  <c r="H53" i="1"/>
  <c r="H52" i="1"/>
  <c r="H51" i="1"/>
  <c r="H49" i="1"/>
  <c r="H48" i="1"/>
  <c r="H47" i="1"/>
  <c r="H46" i="1"/>
  <c r="H45" i="1"/>
  <c r="H44" i="1"/>
  <c r="H43" i="1"/>
  <c r="H42" i="1"/>
  <c r="H41" i="1"/>
  <c r="H38" i="1"/>
  <c r="H37" i="1"/>
  <c r="H36" i="1"/>
  <c r="H35" i="1"/>
  <c r="H34" i="1"/>
  <c r="H32" i="1"/>
  <c r="H30" i="1"/>
  <c r="H28" i="1"/>
  <c r="E27" i="1"/>
  <c r="H27" i="1" s="1"/>
  <c r="E25" i="1"/>
  <c r="H25" i="1" s="1"/>
  <c r="E22" i="1"/>
  <c r="H22" i="1" s="1"/>
  <c r="E20" i="1"/>
  <c r="F39" i="1"/>
  <c r="F33" i="1"/>
  <c r="F50" i="1"/>
  <c r="G39" i="1"/>
  <c r="G20" i="1"/>
  <c r="F20" i="1"/>
  <c r="F31" i="1" l="1"/>
  <c r="I31" i="1" s="1"/>
  <c r="E31" i="1"/>
  <c r="H31" i="1" s="1"/>
  <c r="H39" i="1"/>
  <c r="G33" i="1"/>
  <c r="G31" i="1" s="1"/>
  <c r="E23" i="1"/>
  <c r="H23" i="1" s="1"/>
  <c r="E24" i="1" l="1"/>
  <c r="H24" i="1" s="1"/>
  <c r="E21" i="1" l="1"/>
  <c r="H21" i="1" s="1"/>
  <c r="J76" i="1" l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I27" i="1"/>
  <c r="I25" i="1"/>
  <c r="I24" i="1"/>
  <c r="I23" i="1"/>
  <c r="I22" i="1"/>
  <c r="F21" i="1"/>
  <c r="I21" i="1" s="1"/>
  <c r="F63" i="1"/>
  <c r="I63" i="1" s="1"/>
  <c r="B62" i="1"/>
  <c r="B61" i="1"/>
  <c r="J69" i="1" l="1"/>
  <c r="G62" i="1"/>
  <c r="J62" i="1" l="1"/>
  <c r="J27" i="1"/>
  <c r="G16" i="1" l="1"/>
  <c r="F16" i="1"/>
  <c r="G61" i="1"/>
  <c r="J23" i="1" l="1"/>
  <c r="J68" i="1"/>
  <c r="J65" i="1"/>
  <c r="J66" i="1"/>
  <c r="J70" i="1"/>
  <c r="J24" i="1"/>
  <c r="J22" i="1"/>
  <c r="J72" i="1"/>
  <c r="J74" i="1"/>
  <c r="J61" i="1"/>
  <c r="J67" i="1"/>
  <c r="J64" i="1"/>
  <c r="J75" i="1"/>
  <c r="J25" i="1"/>
  <c r="J73" i="1"/>
  <c r="J71" i="1"/>
  <c r="G21" i="1"/>
  <c r="J21" i="1" s="1"/>
  <c r="F62" i="1"/>
  <c r="G17" i="1"/>
  <c r="F17" i="1"/>
  <c r="G63" i="1"/>
  <c r="I62" i="1" l="1"/>
  <c r="J63" i="1"/>
  <c r="F61" i="1"/>
  <c r="J31" i="1"/>
  <c r="I61" i="1" l="1"/>
</calcChain>
</file>

<file path=xl/sharedStrings.xml><?xml version="1.0" encoding="utf-8"?>
<sst xmlns="http://schemas.openxmlformats.org/spreadsheetml/2006/main" count="124" uniqueCount="102">
  <si>
    <t>Marcas y Patentes</t>
  </si>
  <si>
    <t>Armas</t>
  </si>
  <si>
    <t>Vajillas</t>
  </si>
  <si>
    <t>Ropa Blanca</t>
  </si>
  <si>
    <t>Equipos de Computación</t>
  </si>
  <si>
    <t>Rodados</t>
  </si>
  <si>
    <t>Muebles y útiles y Equipos</t>
  </si>
  <si>
    <t xml:space="preserve">Instalaciones </t>
  </si>
  <si>
    <t>Mejoras de Inmueb y Terrenos</t>
  </si>
  <si>
    <t>Inmuebles</t>
  </si>
  <si>
    <t xml:space="preserve">Terrenos </t>
  </si>
  <si>
    <t>Patentes</t>
  </si>
  <si>
    <t>Seguros</t>
  </si>
  <si>
    <t>Comunicaciones</t>
  </si>
  <si>
    <t>Equipos</t>
  </si>
  <si>
    <t>Lodge</t>
  </si>
  <si>
    <t>Mantenimiento/Reposiciones</t>
  </si>
  <si>
    <t>Pax</t>
  </si>
  <si>
    <t>Uniformes</t>
  </si>
  <si>
    <t>Gas</t>
  </si>
  <si>
    <t>Electricidad</t>
  </si>
  <si>
    <t>BN</t>
  </si>
  <si>
    <t>Combustible</t>
  </si>
  <si>
    <t>Cargas Sociales</t>
  </si>
  <si>
    <t>Servicio</t>
  </si>
  <si>
    <t>Sueldos</t>
  </si>
  <si>
    <t>Gastos Operativos</t>
  </si>
  <si>
    <t>(Comisiones Ventas Shop)</t>
  </si>
  <si>
    <t>(CMV) Shop</t>
  </si>
  <si>
    <t>Shop</t>
  </si>
  <si>
    <t>Otros Ingresos</t>
  </si>
  <si>
    <t>Observaciones</t>
  </si>
  <si>
    <t>Parametros</t>
  </si>
  <si>
    <t>En Dolares x temporada</t>
  </si>
  <si>
    <t>En Dolares x bednight</t>
  </si>
  <si>
    <t>Dias</t>
  </si>
  <si>
    <t>Fecha Cierre</t>
  </si>
  <si>
    <t>Fecha Inicio</t>
  </si>
  <si>
    <t>Inversiones</t>
  </si>
  <si>
    <t>Varios</t>
  </si>
  <si>
    <t>Costo de la caceria</t>
  </si>
  <si>
    <t>Vehículos</t>
  </si>
  <si>
    <t>Guías</t>
  </si>
  <si>
    <t>Canon</t>
  </si>
  <si>
    <t>Gun Rental</t>
  </si>
  <si>
    <t>Budget Jacana Lodge</t>
  </si>
  <si>
    <t>Real 23-24</t>
  </si>
  <si>
    <t>Extras</t>
  </si>
  <si>
    <t>Manager</t>
  </si>
  <si>
    <t>Comida</t>
  </si>
  <si>
    <t>campos</t>
  </si>
  <si>
    <t>Baiting</t>
  </si>
  <si>
    <t>Fecha Finalizacion</t>
  </si>
  <si>
    <t>Total días</t>
  </si>
  <si>
    <t>Licencias</t>
  </si>
  <si>
    <t>Alquiler vehículos</t>
  </si>
  <si>
    <t>Viaticos staff</t>
  </si>
  <si>
    <t>Real 24-25</t>
  </si>
  <si>
    <t>Temporada 2025-26</t>
  </si>
  <si>
    <t>Budget 25-26</t>
  </si>
  <si>
    <t>Shells</t>
  </si>
  <si>
    <t>Costo Shells</t>
  </si>
  <si>
    <t>Este año los caps de regalo de MKT quedan en Varios. Son usd 6 aprox por pax, que sumo al budget de Varios.</t>
  </si>
  <si>
    <t>TC</t>
  </si>
  <si>
    <t>Total tips estimados</t>
  </si>
  <si>
    <t>Guias</t>
  </si>
  <si>
    <t>Sueldo Nomina</t>
  </si>
  <si>
    <t>Costo Sueldo Nomina</t>
  </si>
  <si>
    <t>Sueldo extra</t>
  </si>
  <si>
    <t>Meses</t>
  </si>
  <si>
    <t>Total</t>
  </si>
  <si>
    <t>Total guías</t>
  </si>
  <si>
    <t>Bono</t>
  </si>
  <si>
    <t>Mucama 1</t>
  </si>
  <si>
    <t>Mucama 2</t>
  </si>
  <si>
    <t>Lavandera</t>
  </si>
  <si>
    <t>Cocinero</t>
  </si>
  <si>
    <t>Total costo servicio</t>
  </si>
  <si>
    <t>Celeste</t>
  </si>
  <si>
    <t>Ayudante de cocina</t>
  </si>
  <si>
    <t xml:space="preserve">Mantenimiento </t>
  </si>
  <si>
    <t>Estimado tips x BN House</t>
  </si>
  <si>
    <t>Recupero 75% tips servicio</t>
  </si>
  <si>
    <t>Julio Arguello</t>
  </si>
  <si>
    <t>Fernando Leiva</t>
  </si>
  <si>
    <t>Guia 3</t>
  </si>
  <si>
    <t>Field Assistant</t>
  </si>
  <si>
    <t>Cebador - Ezequiel Loyola</t>
  </si>
  <si>
    <t>Cebador 2 -  Luca Querejeta</t>
  </si>
  <si>
    <t>Head Guide - Diego Loyola Fijo anual</t>
  </si>
  <si>
    <t>Head Guide - Diego Loyola Temporada</t>
  </si>
  <si>
    <t>Calculo recupero Tips House</t>
  </si>
  <si>
    <t>Calculo recupero Tips Field</t>
  </si>
  <si>
    <t>Estimado tips x BN Field</t>
  </si>
  <si>
    <t>Recupero 100%</t>
  </si>
  <si>
    <t>Charlie Lanusse (Tips)</t>
  </si>
  <si>
    <t>Tips</t>
  </si>
  <si>
    <t>Total Manager</t>
  </si>
  <si>
    <t>Tips Celeste 20% de House Tips</t>
  </si>
  <si>
    <t>6 caja x BN a $15,50</t>
  </si>
  <si>
    <t>REVISAR PRECIO DE VENTA CON FDC</t>
  </si>
  <si>
    <t>6 caja x BN a $26,50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</si>
</sst>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dd/mm/yy;@"/>
    <numFmt numFmtId="167" formatCode="_-* #,##0.00\ _€_-;\-* #,##0.00\ _€_-;_-* &quot;-&quot;??\ _€_-;_-@_-"/>
  </numFmts>
  <fonts count="16">
    <font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40"/>
      <name val="Helvetica Neue Thin"/>
    </font>
    <font>
      <sz val="20"/>
      <name val="Helvetica Neue Thin"/>
    </font>
    <font>
      <i/>
      <sz val="13"/>
      <name val="Helvetica Neue Thin"/>
    </font>
    <font>
      <sz val="10"/>
      <name val="Times New Roman"/>
      <family val="1"/>
    </font>
    <font>
      <sz val="10"/>
      <name val="Arial"/>
      <family val="2"/>
    </font>
    <font>
      <b/>
      <sz val="14"/>
      <color theme="1"/>
      <name val="Helvetica"/>
      <family val="2"/>
    </font>
    <font>
      <sz val="10"/>
      <color theme="1"/>
      <name val="Helvetica"/>
      <family val="2"/>
    </font>
    <font>
      <sz val="14"/>
      <color theme="1"/>
      <name val="Helvetica Neue Condensed Bold"/>
    </font>
    <font>
      <u/>
      <sz val="10"/>
      <color indexed="12"/>
      <name val="Times New Roman"/>
      <family val="1"/>
    </font>
    <font>
      <b/>
      <u/>
      <sz val="12"/>
      <color theme="1"/>
      <name val="Helvetic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1" fontId="6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4">
    <xf numFmtId="0" fontId="0" fillId="0" borderId="0" xfId="0"/>
    <xf numFmtId="165" fontId="0" fillId="0" borderId="0" xfId="1" applyNumberFormat="1" applyFont="1" applyBorder="1"/>
    <xf numFmtId="165" fontId="9" fillId="0" borderId="0" xfId="1" applyNumberFormat="1" applyFont="1" applyBorder="1"/>
    <xf numFmtId="0" fontId="0" fillId="0" borderId="2" xfId="0" applyBorder="1"/>
    <xf numFmtId="165" fontId="0" fillId="0" borderId="2" xfId="1" applyNumberFormat="1" applyFont="1" applyBorder="1"/>
    <xf numFmtId="165" fontId="9" fillId="0" borderId="2" xfId="1" applyNumberFormat="1" applyFont="1" applyBorder="1"/>
    <xf numFmtId="166" fontId="0" fillId="0" borderId="2" xfId="0" applyNumberFormat="1" applyBorder="1"/>
    <xf numFmtId="165" fontId="0" fillId="0" borderId="2" xfId="1" applyNumberFormat="1" applyFont="1" applyFill="1" applyBorder="1"/>
    <xf numFmtId="165" fontId="9" fillId="0" borderId="0" xfId="1" applyNumberFormat="1" applyFont="1" applyFill="1" applyBorder="1"/>
    <xf numFmtId="0" fontId="5" fillId="0" borderId="0" xfId="0" applyFont="1" applyAlignment="1">
      <alignment horizontal="left"/>
    </xf>
    <xf numFmtId="165" fontId="0" fillId="0" borderId="2" xfId="0" applyNumberFormat="1" applyBorder="1"/>
    <xf numFmtId="165" fontId="9" fillId="0" borderId="2" xfId="1" applyNumberFormat="1" applyFont="1" applyFill="1" applyBorder="1"/>
    <xf numFmtId="165" fontId="0" fillId="0" borderId="0" xfId="1" applyNumberFormat="1" applyFont="1" applyFill="1" applyBorder="1"/>
    <xf numFmtId="165" fontId="1" fillId="0" borderId="0" xfId="1" applyNumberFormat="1" applyFont="1" applyFill="1" applyBorder="1"/>
    <xf numFmtId="165" fontId="8" fillId="5" borderId="0" xfId="1" applyNumberFormat="1" applyFont="1" applyFill="1" applyBorder="1"/>
    <xf numFmtId="165" fontId="1" fillId="0" borderId="2" xfId="1" applyNumberFormat="1" applyFont="1" applyFill="1" applyBorder="1"/>
    <xf numFmtId="14" fontId="0" fillId="0" borderId="2" xfId="0" applyNumberFormat="1" applyBorder="1"/>
    <xf numFmtId="165" fontId="1" fillId="0" borderId="2" xfId="1" applyNumberFormat="1" applyFont="1" applyBorder="1"/>
    <xf numFmtId="0" fontId="0" fillId="0" borderId="2" xfId="0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0" fillId="0" borderId="0" xfId="0" applyAlignment="1">
      <alignment horizontal="left" indent="2"/>
    </xf>
    <xf numFmtId="166" fontId="0" fillId="0" borderId="0" xfId="0" applyNumberFormat="1"/>
    <xf numFmtId="14" fontId="0" fillId="0" borderId="0" xfId="0" applyNumberFormat="1"/>
    <xf numFmtId="0" fontId="8" fillId="2" borderId="0" xfId="0" applyFont="1" applyFill="1"/>
    <xf numFmtId="165" fontId="8" fillId="2" borderId="0" xfId="1" applyNumberFormat="1" applyFont="1" applyFill="1" applyBorder="1"/>
    <xf numFmtId="165" fontId="0" fillId="0" borderId="0" xfId="0" applyNumberFormat="1"/>
    <xf numFmtId="0" fontId="8" fillId="3" borderId="0" xfId="0" applyFont="1" applyFill="1"/>
    <xf numFmtId="165" fontId="8" fillId="3" borderId="0" xfId="1" applyNumberFormat="1" applyFont="1" applyFill="1" applyBorder="1"/>
    <xf numFmtId="165" fontId="1" fillId="0" borderId="0" xfId="1" applyNumberFormat="1" applyFont="1" applyBorder="1"/>
    <xf numFmtId="0" fontId="9" fillId="0" borderId="0" xfId="0" applyFont="1" applyAlignment="1">
      <alignment horizontal="left" indent="2"/>
    </xf>
    <xf numFmtId="0" fontId="2" fillId="0" borderId="0" xfId="0" applyFont="1"/>
    <xf numFmtId="0" fontId="8" fillId="5" borderId="0" xfId="0" applyFont="1" applyFill="1"/>
    <xf numFmtId="165" fontId="0" fillId="5" borderId="0" xfId="1" applyNumberFormat="1" applyFont="1" applyFill="1" applyBorder="1"/>
    <xf numFmtId="0" fontId="0" fillId="5" borderId="0" xfId="0" applyFill="1"/>
    <xf numFmtId="0" fontId="8" fillId="6" borderId="0" xfId="0" applyFont="1" applyFill="1"/>
    <xf numFmtId="165" fontId="8" fillId="6" borderId="0" xfId="1" applyNumberFormat="1" applyFont="1" applyFill="1" applyBorder="1"/>
    <xf numFmtId="165" fontId="2" fillId="6" borderId="0" xfId="1" applyNumberFormat="1" applyFont="1" applyFill="1" applyBorder="1"/>
    <xf numFmtId="165" fontId="8" fillId="2" borderId="2" xfId="1" applyNumberFormat="1" applyFont="1" applyFill="1" applyBorder="1"/>
    <xf numFmtId="165" fontId="8" fillId="3" borderId="2" xfId="1" applyNumberFormat="1" applyFont="1" applyFill="1" applyBorder="1"/>
    <xf numFmtId="165" fontId="8" fillId="5" borderId="2" xfId="1" applyNumberFormat="1" applyFont="1" applyFill="1" applyBorder="1"/>
    <xf numFmtId="165" fontId="8" fillId="6" borderId="2" xfId="1" applyNumberFormat="1" applyFont="1" applyFill="1" applyBorder="1"/>
    <xf numFmtId="0" fontId="10" fillId="4" borderId="3" xfId="0" applyFont="1" applyFill="1" applyBorder="1"/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0" borderId="3" xfId="0" applyBorder="1"/>
    <xf numFmtId="0" fontId="8" fillId="0" borderId="1" xfId="0" applyFont="1" applyBorder="1"/>
    <xf numFmtId="0" fontId="0" fillId="0" borderId="4" xfId="0" applyBorder="1"/>
    <xf numFmtId="0" fontId="0" fillId="0" borderId="5" xfId="0" applyBorder="1"/>
    <xf numFmtId="165" fontId="2" fillId="0" borderId="2" xfId="1" applyNumberFormat="1" applyFont="1" applyFill="1" applyBorder="1"/>
    <xf numFmtId="165" fontId="2" fillId="0" borderId="0" xfId="1" applyNumberFormat="1" applyFont="1" applyFill="1" applyBorder="1"/>
    <xf numFmtId="165" fontId="0" fillId="0" borderId="2" xfId="1" applyNumberFormat="1" applyFont="1" applyBorder="1" applyAlignment="1">
      <alignment horizontal="right"/>
    </xf>
    <xf numFmtId="0" fontId="12" fillId="0" borderId="0" xfId="0" applyFont="1"/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9" applyFont="1"/>
    <xf numFmtId="0" fontId="0" fillId="7" borderId="0" xfId="0" applyFill="1"/>
    <xf numFmtId="44" fontId="0" fillId="7" borderId="0" xfId="9" applyFont="1" applyFill="1"/>
    <xf numFmtId="0" fontId="0" fillId="0" borderId="0" xfId="9" applyNumberFormat="1" applyFont="1"/>
    <xf numFmtId="0" fontId="0" fillId="7" borderId="0" xfId="0" applyFill="1" applyAlignment="1">
      <alignment horizontal="center" vertical="center"/>
    </xf>
    <xf numFmtId="0" fontId="0" fillId="0" borderId="0" xfId="0" applyAlignment="1">
      <alignment wrapText="1"/>
    </xf>
    <xf numFmtId="44" fontId="0" fillId="7" borderId="0" xfId="0" applyNumberForma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165" fontId="15" fillId="0" borderId="2" xfId="0" applyNumberFormat="1" applyFont="1" applyBorder="1"/>
    <xf numFmtId="165" fontId="15" fillId="0" borderId="0" xfId="0" applyNumberFormat="1" applyFont="1"/>
    <xf numFmtId="165" fontId="15" fillId="0" borderId="0" xfId="1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2" fillId="0" borderId="0" xfId="0" applyFont="1" applyAlignment="1">
      <alignment horizontal="center"/>
    </xf>
  </cellXfs>
  <cellStyles count="10">
    <cellStyle name="Hipervínculo 2" xfId="7" xr:uid="{6201B127-744A-A14A-B623-595DA8DB481F}"/>
    <cellStyle name="Millares" xfId="1" builtinId="3"/>
    <cellStyle name="Millares [0] 2" xfId="8" xr:uid="{9497FAD8-B412-7047-8E58-2BDD46C57446}"/>
    <cellStyle name="Millares 2" xfId="2" xr:uid="{34C84474-753D-6F4D-97CE-6B1210F12224}"/>
    <cellStyle name="Millares 2 2" xfId="6" xr:uid="{10C393E9-3686-A84B-9CDA-BA862BE07D92}"/>
    <cellStyle name="Millares 3" xfId="4" xr:uid="{E722E02A-77F8-6243-8DB9-A4F076939724}"/>
    <cellStyle name="Moneda" xfId="9" builtinId="4"/>
    <cellStyle name="Normal" xfId="0" builtinId="0"/>
    <cellStyle name="Normal 2 3" xfId="5" xr:uid="{4D4E92C9-84B5-7D4E-8A22-1707A22C6D50}"/>
    <cellStyle name="Porcentaje 2" xfId="3" xr:uid="{043A9586-55F0-C548-9BDF-AA8635380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139700</xdr:rowOff>
    </xdr:from>
    <xdr:to>
      <xdr:col>1</xdr:col>
      <xdr:colOff>1903963</xdr:colOff>
      <xdr:row>6</xdr:row>
      <xdr:rowOff>145180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CD799-3E04-1047-B641-F6C88309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9700"/>
          <a:ext cx="1751563" cy="178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9131-0755-7F47-BC30-98EE61E8815B}">
  <dimension ref="B4:O77"/>
  <sheetViews>
    <sheetView showGridLines="0" tabSelected="1" topLeftCell="A3" zoomScaleNormal="100" workbookViewId="0">
      <selection activeCell="M37" sqref="M37"/>
    </sheetView>
  </sheetViews>
  <sheetFormatPr baseColWidth="10" defaultRowHeight="16" outlineLevelRow="1"/>
  <cols>
    <col min="1" max="1" width="2.7109375" customWidth="1"/>
    <col min="2" max="2" width="29.5703125" customWidth="1"/>
    <col min="3" max="5" width="13.42578125" customWidth="1"/>
    <col min="6" max="6" width="13.5703125" bestFit="1" customWidth="1"/>
    <col min="7" max="7" width="13.5703125" customWidth="1"/>
    <col min="8" max="8" width="11.5703125" bestFit="1" customWidth="1"/>
    <col min="9" max="9" width="11.5703125" customWidth="1"/>
    <col min="10" max="10" width="12" bestFit="1" customWidth="1"/>
    <col min="11" max="11" width="10.85546875" customWidth="1"/>
  </cols>
  <sheetData>
    <row r="4" spans="2:15" ht="50">
      <c r="F4" s="19" t="s">
        <v>45</v>
      </c>
      <c r="G4" s="19"/>
      <c r="H4" s="19"/>
      <c r="I4" s="19"/>
      <c r="J4" s="19"/>
      <c r="K4" s="19"/>
      <c r="L4" s="19"/>
      <c r="M4" s="19"/>
    </row>
    <row r="5" spans="2:15" ht="25">
      <c r="F5" s="20" t="s">
        <v>58</v>
      </c>
      <c r="G5" s="20"/>
      <c r="H5" s="20"/>
      <c r="I5" s="20"/>
      <c r="J5" s="20"/>
      <c r="K5" s="20"/>
      <c r="L5" s="20"/>
      <c r="M5" s="20"/>
    </row>
    <row r="6" spans="2:15" ht="17">
      <c r="F6" s="21"/>
      <c r="G6" s="21"/>
      <c r="H6" s="21"/>
      <c r="I6" s="21"/>
      <c r="J6" s="21"/>
      <c r="K6" s="21"/>
      <c r="L6" s="21"/>
      <c r="M6" s="21"/>
    </row>
    <row r="7" spans="2:15" ht="17">
      <c r="F7" s="9"/>
      <c r="G7" s="9"/>
      <c r="H7" s="9"/>
      <c r="I7" s="9"/>
      <c r="J7" s="9"/>
      <c r="K7" s="9"/>
      <c r="L7" s="9"/>
      <c r="M7" s="9"/>
    </row>
    <row r="8" spans="2:15" ht="17">
      <c r="F8" s="9"/>
      <c r="G8" s="9"/>
      <c r="H8" s="9"/>
      <c r="I8" s="9"/>
      <c r="J8" s="9"/>
      <c r="K8" s="9"/>
      <c r="L8" s="9"/>
      <c r="M8" s="9"/>
    </row>
    <row r="10" spans="2:15">
      <c r="B10" s="51"/>
      <c r="C10" s="53"/>
      <c r="D10" s="54"/>
      <c r="E10" s="74" t="s">
        <v>33</v>
      </c>
      <c r="F10" s="75"/>
      <c r="G10" s="76"/>
      <c r="H10" s="74" t="s">
        <v>34</v>
      </c>
      <c r="I10" s="75"/>
      <c r="J10" s="76"/>
      <c r="K10" s="74" t="s">
        <v>31</v>
      </c>
      <c r="L10" s="75"/>
      <c r="M10" s="75"/>
      <c r="N10" s="75"/>
      <c r="O10" s="76"/>
    </row>
    <row r="11" spans="2:15" ht="18">
      <c r="B11" s="44"/>
      <c r="C11" s="45"/>
      <c r="D11" s="45"/>
      <c r="E11" s="47" t="s">
        <v>59</v>
      </c>
      <c r="F11" s="46" t="s">
        <v>57</v>
      </c>
      <c r="G11" s="46" t="s">
        <v>46</v>
      </c>
      <c r="H11" s="47" t="s">
        <v>59</v>
      </c>
      <c r="I11" s="46" t="s">
        <v>57</v>
      </c>
      <c r="J11" s="46" t="s">
        <v>46</v>
      </c>
      <c r="K11" s="77"/>
      <c r="L11" s="78"/>
      <c r="M11" s="78"/>
      <c r="N11" s="78"/>
      <c r="O11" s="78"/>
    </row>
    <row r="12" spans="2:15" ht="17" customHeight="1">
      <c r="B12" s="22" t="s">
        <v>32</v>
      </c>
      <c r="C12" s="22"/>
      <c r="D12" s="22"/>
      <c r="E12" s="52"/>
      <c r="H12" s="3"/>
      <c r="K12" s="3"/>
    </row>
    <row r="13" spans="2:15">
      <c r="B13" s="23" t="s">
        <v>21</v>
      </c>
      <c r="C13" s="23"/>
      <c r="D13" s="23"/>
      <c r="E13" s="4">
        <v>425</v>
      </c>
      <c r="F13" s="1">
        <v>437</v>
      </c>
      <c r="G13" s="1">
        <v>367</v>
      </c>
      <c r="H13" s="4"/>
      <c r="I13" s="1"/>
      <c r="K13" s="3"/>
    </row>
    <row r="14" spans="2:15">
      <c r="B14" s="23" t="s">
        <v>17</v>
      </c>
      <c r="C14" s="23"/>
      <c r="D14" s="23"/>
      <c r="E14" s="4">
        <v>106</v>
      </c>
      <c r="F14" s="1">
        <v>124</v>
      </c>
      <c r="G14" s="1">
        <v>92</v>
      </c>
      <c r="H14" s="4"/>
      <c r="I14" s="1"/>
      <c r="K14" s="3"/>
    </row>
    <row r="15" spans="2:15">
      <c r="B15" s="23" t="s">
        <v>37</v>
      </c>
      <c r="C15" s="23"/>
      <c r="D15" s="23"/>
      <c r="E15" s="6">
        <v>46127</v>
      </c>
      <c r="F15" s="24">
        <v>45762</v>
      </c>
      <c r="G15" s="24">
        <v>45397</v>
      </c>
      <c r="H15" s="6"/>
      <c r="I15" s="24"/>
      <c r="K15" s="3"/>
      <c r="M15" s="28"/>
    </row>
    <row r="16" spans="2:15" ht="16" hidden="1" customHeight="1">
      <c r="B16" s="23" t="s">
        <v>36</v>
      </c>
      <c r="C16" s="23"/>
      <c r="D16" s="23"/>
      <c r="E16" s="6"/>
      <c r="F16" s="24" t="e">
        <f>FC_CY</f>
        <v>#REF!</v>
      </c>
      <c r="G16" s="24" t="e">
        <f>FC_LY</f>
        <v>#REF!</v>
      </c>
      <c r="H16" s="6"/>
      <c r="I16" s="24">
        <v>44788</v>
      </c>
      <c r="K16" s="3"/>
    </row>
    <row r="17" spans="2:15" ht="16" hidden="1" customHeight="1">
      <c r="B17" s="23" t="s">
        <v>35</v>
      </c>
      <c r="C17" s="23"/>
      <c r="D17" s="23"/>
      <c r="E17" s="3"/>
      <c r="F17" t="e">
        <f t="shared" ref="F17" si="0">F16-F15</f>
        <v>#REF!</v>
      </c>
      <c r="G17" t="e">
        <f>G16-G15</f>
        <v>#REF!</v>
      </c>
      <c r="H17" s="3"/>
      <c r="I17">
        <v>122</v>
      </c>
      <c r="K17" s="3"/>
    </row>
    <row r="18" spans="2:15" ht="16" hidden="1" customHeight="1">
      <c r="E18" s="3"/>
      <c r="H18" s="3"/>
      <c r="K18" s="3"/>
    </row>
    <row r="19" spans="2:15">
      <c r="B19" s="23" t="s">
        <v>52</v>
      </c>
      <c r="E19" s="16">
        <v>46244</v>
      </c>
      <c r="F19" s="25">
        <v>45879</v>
      </c>
      <c r="G19" s="25">
        <v>45514</v>
      </c>
      <c r="H19" s="16"/>
      <c r="K19" s="3"/>
    </row>
    <row r="20" spans="2:15">
      <c r="B20" s="23" t="s">
        <v>53</v>
      </c>
      <c r="E20" s="3">
        <f>E19-E15</f>
        <v>117</v>
      </c>
      <c r="F20">
        <f>F19-F15</f>
        <v>117</v>
      </c>
      <c r="G20">
        <f>G19-G15</f>
        <v>117</v>
      </c>
      <c r="H20" s="3"/>
      <c r="K20" s="3"/>
    </row>
    <row r="21" spans="2:15" ht="18">
      <c r="B21" s="26" t="s">
        <v>30</v>
      </c>
      <c r="C21" s="26"/>
      <c r="D21" s="26"/>
      <c r="E21" s="40">
        <f>SUM(E22:E29)</f>
        <v>155142</v>
      </c>
      <c r="F21" s="27">
        <f>SUM(F22:F27)</f>
        <v>132389</v>
      </c>
      <c r="G21" s="27">
        <f>SUM(G22:G27)</f>
        <v>103183</v>
      </c>
      <c r="H21" s="40">
        <f t="shared" ref="H21:H57" si="1">E21/$E$13</f>
        <v>365.04</v>
      </c>
      <c r="I21" s="27">
        <f t="shared" ref="I21:I29" si="2">F21/$F$13</f>
        <v>302.9496567505721</v>
      </c>
      <c r="J21" s="27">
        <f t="shared" ref="J21:J29" si="3">G21/$G$13</f>
        <v>281.1525885558583</v>
      </c>
      <c r="K21" s="79"/>
      <c r="L21" s="80"/>
      <c r="M21" s="80"/>
      <c r="N21" s="80"/>
      <c r="O21" s="80"/>
    </row>
    <row r="22" spans="2:15">
      <c r="B22" s="23" t="s">
        <v>29</v>
      </c>
      <c r="C22" s="23"/>
      <c r="D22" s="23"/>
      <c r="E22" s="10">
        <f>14*E13</f>
        <v>5950</v>
      </c>
      <c r="F22" s="28">
        <v>6136</v>
      </c>
      <c r="G22" s="1">
        <v>4386</v>
      </c>
      <c r="H22" s="4">
        <f t="shared" si="1"/>
        <v>14</v>
      </c>
      <c r="I22" s="1">
        <f t="shared" si="2"/>
        <v>14.041189931350115</v>
      </c>
      <c r="J22" s="1">
        <f t="shared" si="3"/>
        <v>11.950953678474114</v>
      </c>
      <c r="K22" s="3"/>
    </row>
    <row r="23" spans="2:15">
      <c r="B23" s="23" t="s">
        <v>28</v>
      </c>
      <c r="C23" s="23"/>
      <c r="D23" s="23"/>
      <c r="E23" s="71">
        <f>E22*-0.6</f>
        <v>-3570</v>
      </c>
      <c r="F23" s="72">
        <v>-3471</v>
      </c>
      <c r="G23" s="72">
        <v>-2895</v>
      </c>
      <c r="H23" s="4">
        <f t="shared" si="1"/>
        <v>-8.4</v>
      </c>
      <c r="I23" s="1">
        <f t="shared" si="2"/>
        <v>-7.9427917620137301</v>
      </c>
      <c r="J23" s="1">
        <f t="shared" si="3"/>
        <v>-7.8882833787465936</v>
      </c>
      <c r="K23" s="3"/>
    </row>
    <row r="24" spans="2:15">
      <c r="B24" s="23" t="s">
        <v>27</v>
      </c>
      <c r="C24" s="23"/>
      <c r="D24" s="23"/>
      <c r="E24" s="71">
        <f>(E22+E23)*-0.1</f>
        <v>-238</v>
      </c>
      <c r="F24" s="72">
        <v>0</v>
      </c>
      <c r="G24" s="72">
        <v>0</v>
      </c>
      <c r="H24" s="4">
        <f t="shared" si="1"/>
        <v>-0.56000000000000005</v>
      </c>
      <c r="I24" s="1">
        <f t="shared" si="2"/>
        <v>0</v>
      </c>
      <c r="J24" s="1">
        <f t="shared" si="3"/>
        <v>0</v>
      </c>
      <c r="K24" s="3"/>
    </row>
    <row r="25" spans="2:15">
      <c r="B25" s="23" t="s">
        <v>47</v>
      </c>
      <c r="C25" s="23"/>
      <c r="D25" s="23"/>
      <c r="E25" s="10">
        <f>5*E13</f>
        <v>2125</v>
      </c>
      <c r="F25" s="28">
        <v>1977</v>
      </c>
      <c r="G25" s="1">
        <v>2257</v>
      </c>
      <c r="H25" s="4">
        <f t="shared" si="1"/>
        <v>5</v>
      </c>
      <c r="I25" s="1">
        <f t="shared" si="2"/>
        <v>4.5240274599542332</v>
      </c>
      <c r="J25" s="1">
        <f t="shared" si="3"/>
        <v>6.1498637602179835</v>
      </c>
      <c r="K25" s="3"/>
    </row>
    <row r="26" spans="2:15">
      <c r="B26" s="23" t="s">
        <v>96</v>
      </c>
      <c r="C26" s="23"/>
      <c r="D26" s="23"/>
      <c r="E26" s="10">
        <f>180*E13</f>
        <v>76500</v>
      </c>
      <c r="F26" s="28">
        <v>80277</v>
      </c>
      <c r="G26" s="1">
        <v>64560</v>
      </c>
      <c r="H26" s="4">
        <f t="shared" si="1"/>
        <v>180</v>
      </c>
      <c r="I26" s="1">
        <f t="shared" si="2"/>
        <v>183.70022883295195</v>
      </c>
      <c r="J26" s="1">
        <f t="shared" si="3"/>
        <v>175.91280653950955</v>
      </c>
      <c r="K26" s="3"/>
    </row>
    <row r="27" spans="2:15">
      <c r="B27" s="23" t="s">
        <v>44</v>
      </c>
      <c r="C27" s="23"/>
      <c r="D27" s="23"/>
      <c r="E27" s="10">
        <f>109*E13</f>
        <v>46325</v>
      </c>
      <c r="F27" s="28">
        <v>47470</v>
      </c>
      <c r="G27" s="1">
        <v>34875</v>
      </c>
      <c r="H27" s="4">
        <f t="shared" si="1"/>
        <v>109</v>
      </c>
      <c r="I27" s="1">
        <f t="shared" si="2"/>
        <v>108.62700228832952</v>
      </c>
      <c r="J27" s="1">
        <f t="shared" si="3"/>
        <v>95.027247956403272</v>
      </c>
      <c r="K27" s="3"/>
    </row>
    <row r="28" spans="2:15">
      <c r="B28" s="23" t="s">
        <v>60</v>
      </c>
      <c r="C28" s="23"/>
      <c r="D28" s="23"/>
      <c r="E28" s="10">
        <f>6*26.5*E13</f>
        <v>67575</v>
      </c>
      <c r="F28" s="28">
        <v>63674</v>
      </c>
      <c r="G28" s="1">
        <v>49245</v>
      </c>
      <c r="H28" s="4">
        <f t="shared" si="1"/>
        <v>159</v>
      </c>
      <c r="I28" s="1">
        <f t="shared" si="2"/>
        <v>145.70709382151028</v>
      </c>
      <c r="J28" s="1">
        <f t="shared" si="3"/>
        <v>134.18256130790192</v>
      </c>
      <c r="K28" s="3" t="s">
        <v>101</v>
      </c>
    </row>
    <row r="29" spans="2:15">
      <c r="B29" s="23" t="s">
        <v>61</v>
      </c>
      <c r="C29" s="23"/>
      <c r="D29" s="23"/>
      <c r="E29" s="71">
        <f>-6*E13*15.5</f>
        <v>-39525</v>
      </c>
      <c r="F29" s="72">
        <v>-37592</v>
      </c>
      <c r="G29" s="73">
        <v>-31038</v>
      </c>
      <c r="H29" s="4">
        <f t="shared" si="1"/>
        <v>-93</v>
      </c>
      <c r="I29" s="1">
        <f t="shared" si="2"/>
        <v>-86.022883295194504</v>
      </c>
      <c r="J29" s="1">
        <f t="shared" si="3"/>
        <v>-84.572207084468658</v>
      </c>
      <c r="K29" s="3" t="s">
        <v>99</v>
      </c>
      <c r="M29" s="70" t="s">
        <v>100</v>
      </c>
      <c r="N29" s="70"/>
      <c r="O29" s="70"/>
    </row>
    <row r="30" spans="2:15">
      <c r="E30" s="3"/>
      <c r="G30" s="1"/>
      <c r="H30" s="4">
        <f t="shared" si="1"/>
        <v>0</v>
      </c>
      <c r="I30" s="1"/>
      <c r="J30" s="1"/>
      <c r="K30" s="3"/>
    </row>
    <row r="31" spans="2:15" ht="18">
      <c r="B31" s="29" t="s">
        <v>26</v>
      </c>
      <c r="C31" s="29"/>
      <c r="D31" s="29"/>
      <c r="E31" s="41">
        <f>SUM(E32:E57)-E50-E42-E39-E33</f>
        <v>294112.24137931038</v>
      </c>
      <c r="F31" s="30">
        <f>SUM(F32:F57)-F50-F42-F39-F33</f>
        <v>305070</v>
      </c>
      <c r="G31" s="30">
        <f>SUM(G32:G57)-G50-G42-G39-G33</f>
        <v>251639.60945897386</v>
      </c>
      <c r="H31" s="41">
        <f>E31/$E$13</f>
        <v>692.02880324543617</v>
      </c>
      <c r="I31" s="30">
        <f>F31/$F$13</f>
        <v>698.10068649885579</v>
      </c>
      <c r="J31" s="30">
        <f t="shared" ref="J31:J57" si="4">G31/$G$13</f>
        <v>685.66651078739471</v>
      </c>
      <c r="K31" s="48"/>
      <c r="L31" s="81"/>
      <c r="M31" s="81"/>
      <c r="N31" s="81"/>
      <c r="O31" s="81"/>
    </row>
    <row r="32" spans="2:15">
      <c r="B32" t="s">
        <v>43</v>
      </c>
      <c r="E32" s="17">
        <v>29500</v>
      </c>
      <c r="F32" s="31">
        <v>29500</v>
      </c>
      <c r="G32" s="1">
        <v>29511</v>
      </c>
      <c r="H32" s="4">
        <f t="shared" si="1"/>
        <v>69.411764705882348</v>
      </c>
      <c r="I32" s="1">
        <f t="shared" ref="I32:I57" si="5">F32/$F$13</f>
        <v>67.505720823798626</v>
      </c>
      <c r="J32" s="1">
        <f t="shared" si="4"/>
        <v>80.411444141689373</v>
      </c>
      <c r="K32" s="3"/>
    </row>
    <row r="33" spans="2:11">
      <c r="B33" s="33" t="s">
        <v>25</v>
      </c>
      <c r="E33" s="55">
        <f>SUM(E34:E37)</f>
        <v>130287.24137931033</v>
      </c>
      <c r="F33" s="56">
        <f>SUM(F34:F37)</f>
        <v>134946</v>
      </c>
      <c r="G33" s="56">
        <f>SUM(G34:G37)</f>
        <v>109151</v>
      </c>
      <c r="H33" s="7">
        <f t="shared" si="1"/>
        <v>306.55821501014196</v>
      </c>
      <c r="I33" s="12">
        <f t="shared" si="5"/>
        <v>308.8009153318078</v>
      </c>
      <c r="J33" s="12">
        <f t="shared" si="4"/>
        <v>297.41416893732969</v>
      </c>
      <c r="K33" s="3"/>
    </row>
    <row r="34" spans="2:11" outlineLevel="1">
      <c r="B34" s="32" t="s">
        <v>48</v>
      </c>
      <c r="C34" s="32"/>
      <c r="D34" s="32"/>
      <c r="E34" s="11">
        <f>Sueldos!G26</f>
        <v>15263.793103448275</v>
      </c>
      <c r="F34" s="8">
        <v>15298</v>
      </c>
      <c r="G34" s="8">
        <v>13582</v>
      </c>
      <c r="H34" s="11">
        <f t="shared" si="1"/>
        <v>35.914807302231239</v>
      </c>
      <c r="I34" s="8">
        <f t="shared" si="5"/>
        <v>35.006864988558355</v>
      </c>
      <c r="J34" s="12">
        <f t="shared" si="4"/>
        <v>37.008174386920977</v>
      </c>
      <c r="K34" s="3"/>
    </row>
    <row r="35" spans="2:11" outlineLevel="1">
      <c r="B35" s="32" t="s">
        <v>42</v>
      </c>
      <c r="C35" s="32"/>
      <c r="D35" s="32"/>
      <c r="E35" s="11">
        <f>Sueldos!F19</f>
        <v>62121.724137931036</v>
      </c>
      <c r="F35" s="8">
        <v>59687</v>
      </c>
      <c r="G35" s="8">
        <v>47592</v>
      </c>
      <c r="H35" s="11">
        <f t="shared" si="1"/>
        <v>146.16876267748478</v>
      </c>
      <c r="I35" s="8">
        <f t="shared" si="5"/>
        <v>136.58352402745996</v>
      </c>
      <c r="J35" s="12">
        <f t="shared" si="4"/>
        <v>129.67847411444143</v>
      </c>
      <c r="K35" s="3"/>
    </row>
    <row r="36" spans="2:11" outlineLevel="1">
      <c r="B36" s="32" t="s">
        <v>24</v>
      </c>
      <c r="C36" s="32"/>
      <c r="D36" s="32"/>
      <c r="E36" s="11">
        <f>Sueldos!G35</f>
        <v>39901.724137931029</v>
      </c>
      <c r="F36" s="8">
        <v>47677</v>
      </c>
      <c r="G36" s="8">
        <v>40345</v>
      </c>
      <c r="H36" s="11">
        <f t="shared" si="1"/>
        <v>93.886409736308309</v>
      </c>
      <c r="I36" s="8">
        <f t="shared" si="5"/>
        <v>109.10068649885584</v>
      </c>
      <c r="J36" s="12">
        <f t="shared" si="4"/>
        <v>109.93188010899182</v>
      </c>
      <c r="K36" s="3"/>
    </row>
    <row r="37" spans="2:11" outlineLevel="1">
      <c r="B37" s="32" t="s">
        <v>23</v>
      </c>
      <c r="C37" s="32"/>
      <c r="D37" s="32"/>
      <c r="E37" s="11">
        <v>13000</v>
      </c>
      <c r="F37" s="8">
        <v>12284</v>
      </c>
      <c r="G37" s="8">
        <v>7632</v>
      </c>
      <c r="H37" s="11">
        <f t="shared" si="1"/>
        <v>30.588235294117649</v>
      </c>
      <c r="I37" s="8">
        <f t="shared" si="5"/>
        <v>28.10983981693364</v>
      </c>
      <c r="J37" s="12">
        <f t="shared" si="4"/>
        <v>20.795640326975477</v>
      </c>
      <c r="K37" s="3"/>
    </row>
    <row r="38" spans="2:11">
      <c r="B38" t="s">
        <v>49</v>
      </c>
      <c r="E38" s="55">
        <f>85*E13</f>
        <v>36125</v>
      </c>
      <c r="F38" s="56">
        <v>41244</v>
      </c>
      <c r="G38" s="56">
        <v>24603</v>
      </c>
      <c r="H38" s="55">
        <f t="shared" si="1"/>
        <v>85</v>
      </c>
      <c r="I38" s="56">
        <f t="shared" si="5"/>
        <v>94.379862700228827</v>
      </c>
      <c r="J38" s="56">
        <f t="shared" si="4"/>
        <v>67.038147138964575</v>
      </c>
      <c r="K38" s="3"/>
    </row>
    <row r="39" spans="2:11">
      <c r="B39" s="33" t="s">
        <v>40</v>
      </c>
      <c r="E39" s="7">
        <f>SUM(E40:E41)</f>
        <v>36600</v>
      </c>
      <c r="F39" s="12">
        <f>SUM(F40:F41)</f>
        <v>38211</v>
      </c>
      <c r="G39" s="13">
        <f>SUM(G40:G41)</f>
        <v>33256.64070730441</v>
      </c>
      <c r="H39" s="15">
        <f t="shared" si="1"/>
        <v>86.117647058823536</v>
      </c>
      <c r="I39" s="13">
        <f t="shared" si="5"/>
        <v>87.439359267734559</v>
      </c>
      <c r="J39" s="12">
        <f t="shared" si="4"/>
        <v>90.617549611183676</v>
      </c>
      <c r="K39" s="3"/>
    </row>
    <row r="40" spans="2:11">
      <c r="B40" s="32" t="s">
        <v>50</v>
      </c>
      <c r="C40" s="32"/>
      <c r="D40" s="32"/>
      <c r="E40" s="11">
        <f>72*E13</f>
        <v>30600</v>
      </c>
      <c r="F40" s="8">
        <v>31880</v>
      </c>
      <c r="G40" s="8">
        <v>27040</v>
      </c>
      <c r="H40" s="15">
        <f t="shared" si="1"/>
        <v>72</v>
      </c>
      <c r="I40" s="13">
        <f t="shared" si="5"/>
        <v>72.951945080091534</v>
      </c>
      <c r="J40" s="12">
        <f t="shared" si="4"/>
        <v>73.678474114441414</v>
      </c>
      <c r="K40" s="3"/>
    </row>
    <row r="41" spans="2:11">
      <c r="B41" s="32" t="s">
        <v>51</v>
      </c>
      <c r="C41" s="32"/>
      <c r="D41" s="32"/>
      <c r="E41" s="11">
        <v>6000</v>
      </c>
      <c r="F41" s="8">
        <v>6331</v>
      </c>
      <c r="G41" s="8">
        <v>6216.6407073044102</v>
      </c>
      <c r="H41" s="15">
        <f t="shared" si="1"/>
        <v>14.117647058823529</v>
      </c>
      <c r="I41" s="13">
        <f t="shared" si="5"/>
        <v>14.48741418764302</v>
      </c>
      <c r="J41" s="12">
        <f t="shared" si="4"/>
        <v>16.939075496742262</v>
      </c>
      <c r="K41" s="3"/>
    </row>
    <row r="42" spans="2:11">
      <c r="B42" s="33" t="s">
        <v>22</v>
      </c>
      <c r="E42" s="55">
        <v>10503.513377433894</v>
      </c>
      <c r="F42" s="56">
        <v>10503.513377433894</v>
      </c>
      <c r="G42" s="56">
        <v>10503.513377433894</v>
      </c>
      <c r="H42" s="55">
        <f t="shared" si="1"/>
        <v>24.714149123373868</v>
      </c>
      <c r="I42" s="56">
        <f t="shared" si="5"/>
        <v>24.03549971952836</v>
      </c>
      <c r="J42" s="56">
        <f t="shared" si="4"/>
        <v>28.619927458947938</v>
      </c>
      <c r="K42" s="3"/>
    </row>
    <row r="43" spans="2:11" outlineLevel="1">
      <c r="B43" s="32" t="s">
        <v>20</v>
      </c>
      <c r="C43" s="32"/>
      <c r="D43" s="32"/>
      <c r="E43" s="11">
        <v>3500</v>
      </c>
      <c r="F43" s="8">
        <v>3459</v>
      </c>
      <c r="G43" s="8">
        <v>2260</v>
      </c>
      <c r="H43" s="11">
        <f t="shared" si="1"/>
        <v>8.235294117647058</v>
      </c>
      <c r="I43" s="8">
        <f t="shared" si="5"/>
        <v>7.9153318077803201</v>
      </c>
      <c r="J43" s="12">
        <f t="shared" si="4"/>
        <v>6.1580381471389645</v>
      </c>
      <c r="K43" s="3"/>
    </row>
    <row r="44" spans="2:11" outlineLevel="1">
      <c r="B44" s="32" t="s">
        <v>41</v>
      </c>
      <c r="C44" s="32"/>
      <c r="D44" s="32"/>
      <c r="E44" s="11">
        <v>10500</v>
      </c>
      <c r="F44" s="8">
        <v>10898</v>
      </c>
      <c r="G44" s="8">
        <v>8050</v>
      </c>
      <c r="H44" s="11">
        <f t="shared" si="1"/>
        <v>24.705882352941178</v>
      </c>
      <c r="I44" s="8">
        <f t="shared" si="5"/>
        <v>24.93821510297483</v>
      </c>
      <c r="J44" s="12">
        <f t="shared" si="4"/>
        <v>21.934604904632153</v>
      </c>
      <c r="K44" s="3"/>
    </row>
    <row r="45" spans="2:11" outlineLevel="1">
      <c r="B45" s="32" t="s">
        <v>19</v>
      </c>
      <c r="C45" s="32"/>
      <c r="D45" s="32"/>
      <c r="E45" s="11">
        <v>3500</v>
      </c>
      <c r="F45" s="8">
        <v>3783</v>
      </c>
      <c r="G45" s="8">
        <v>2768</v>
      </c>
      <c r="H45" s="11">
        <f t="shared" si="1"/>
        <v>8.235294117647058</v>
      </c>
      <c r="I45" s="8">
        <f t="shared" si="5"/>
        <v>8.6567505720823803</v>
      </c>
      <c r="J45" s="12">
        <f t="shared" si="4"/>
        <v>7.5422343324250685</v>
      </c>
      <c r="K45" s="3"/>
    </row>
    <row r="46" spans="2:11">
      <c r="B46" t="s">
        <v>55</v>
      </c>
      <c r="E46" s="7">
        <v>11500</v>
      </c>
      <c r="F46" s="12">
        <v>11500</v>
      </c>
      <c r="G46" s="12">
        <v>11500</v>
      </c>
      <c r="H46" s="7">
        <f t="shared" si="1"/>
        <v>27.058823529411764</v>
      </c>
      <c r="I46" s="12">
        <f t="shared" si="5"/>
        <v>26.315789473684209</v>
      </c>
      <c r="J46" s="12">
        <f t="shared" si="4"/>
        <v>31.335149863760218</v>
      </c>
      <c r="K46" s="3"/>
    </row>
    <row r="47" spans="2:11">
      <c r="B47" t="s">
        <v>56</v>
      </c>
      <c r="E47" s="7">
        <v>2500</v>
      </c>
      <c r="F47" s="12">
        <v>2879</v>
      </c>
      <c r="G47" s="12">
        <v>1243</v>
      </c>
      <c r="H47" s="7">
        <f t="shared" si="1"/>
        <v>5.882352941176471</v>
      </c>
      <c r="I47" s="12">
        <f t="shared" si="5"/>
        <v>6.5881006864988558</v>
      </c>
      <c r="J47" s="12">
        <f t="shared" si="4"/>
        <v>3.3869209809264307</v>
      </c>
      <c r="K47" s="3"/>
    </row>
    <row r="48" spans="2:11">
      <c r="B48" t="s">
        <v>18</v>
      </c>
      <c r="E48" s="7">
        <v>3000</v>
      </c>
      <c r="F48" s="12">
        <v>2631</v>
      </c>
      <c r="G48" s="12">
        <v>3893.9687516694603</v>
      </c>
      <c r="H48" s="7">
        <f t="shared" si="1"/>
        <v>7.0588235294117645</v>
      </c>
      <c r="I48" s="12">
        <f t="shared" si="5"/>
        <v>6.0205949656750573</v>
      </c>
      <c r="J48" s="12">
        <f t="shared" si="4"/>
        <v>10.610269078118421</v>
      </c>
      <c r="K48" s="3"/>
    </row>
    <row r="49" spans="2:15">
      <c r="B49" t="s">
        <v>54</v>
      </c>
      <c r="E49" s="7">
        <v>4000</v>
      </c>
      <c r="F49" s="12">
        <v>4047</v>
      </c>
      <c r="G49" s="12">
        <v>1253</v>
      </c>
      <c r="H49" s="7">
        <f t="shared" si="1"/>
        <v>9.4117647058823533</v>
      </c>
      <c r="I49" s="12">
        <f t="shared" si="5"/>
        <v>9.2608695652173907</v>
      </c>
      <c r="J49" s="12">
        <f t="shared" si="4"/>
        <v>3.4141689373297002</v>
      </c>
      <c r="K49" s="3"/>
    </row>
    <row r="50" spans="2:15" ht="16" customHeight="1">
      <c r="B50" s="33" t="s">
        <v>16</v>
      </c>
      <c r="E50" s="55">
        <f>SUM(E51:E53)</f>
        <v>12500</v>
      </c>
      <c r="F50" s="56">
        <f>SUM(F51:F53)</f>
        <v>12140</v>
      </c>
      <c r="G50" s="56">
        <v>14509.435679418635</v>
      </c>
      <c r="H50" s="55">
        <f t="shared" si="1"/>
        <v>29.411764705882351</v>
      </c>
      <c r="I50" s="56">
        <f t="shared" si="5"/>
        <v>27.780320366132724</v>
      </c>
      <c r="J50" s="56">
        <f t="shared" si="4"/>
        <v>39.535247082884567</v>
      </c>
      <c r="K50" s="18"/>
    </row>
    <row r="51" spans="2:15" outlineLevel="1">
      <c r="B51" s="32" t="s">
        <v>15</v>
      </c>
      <c r="C51" s="32"/>
      <c r="D51" s="32"/>
      <c r="E51" s="5">
        <v>5500</v>
      </c>
      <c r="F51" s="2">
        <v>4448</v>
      </c>
      <c r="G51" s="2">
        <v>6881</v>
      </c>
      <c r="H51" s="11">
        <f t="shared" si="1"/>
        <v>12.941176470588236</v>
      </c>
      <c r="I51" s="8">
        <f t="shared" si="5"/>
        <v>10.178489702517162</v>
      </c>
      <c r="J51" s="1">
        <f t="shared" si="4"/>
        <v>18.749318801089917</v>
      </c>
      <c r="K51" s="18"/>
    </row>
    <row r="52" spans="2:15" outlineLevel="1">
      <c r="B52" s="32" t="s">
        <v>41</v>
      </c>
      <c r="C52" s="32"/>
      <c r="D52" s="32"/>
      <c r="E52" s="5">
        <v>5000</v>
      </c>
      <c r="F52" s="2">
        <v>5410</v>
      </c>
      <c r="G52" s="2">
        <v>4963</v>
      </c>
      <c r="H52" s="11">
        <f t="shared" si="1"/>
        <v>11.764705882352942</v>
      </c>
      <c r="I52" s="8">
        <f t="shared" si="5"/>
        <v>12.379862700228832</v>
      </c>
      <c r="J52" s="1">
        <f t="shared" si="4"/>
        <v>13.52316076294278</v>
      </c>
      <c r="K52" s="18"/>
    </row>
    <row r="53" spans="2:15" outlineLevel="1">
      <c r="B53" s="32" t="s">
        <v>14</v>
      </c>
      <c r="C53" s="32"/>
      <c r="D53" s="32"/>
      <c r="E53" s="5">
        <v>2000</v>
      </c>
      <c r="F53" s="2">
        <v>2282</v>
      </c>
      <c r="G53" s="2">
        <v>2523</v>
      </c>
      <c r="H53" s="5">
        <f t="shared" si="1"/>
        <v>4.7058823529411766</v>
      </c>
      <c r="I53" s="2">
        <f t="shared" si="5"/>
        <v>5.221967963386728</v>
      </c>
      <c r="J53" s="1">
        <f t="shared" si="4"/>
        <v>6.8746594005449593</v>
      </c>
      <c r="K53" s="18"/>
    </row>
    <row r="54" spans="2:15">
      <c r="B54" t="s">
        <v>13</v>
      </c>
      <c r="E54" s="57">
        <v>700</v>
      </c>
      <c r="F54" s="1">
        <v>760</v>
      </c>
      <c r="G54" s="1">
        <v>438</v>
      </c>
      <c r="H54" s="4">
        <f t="shared" si="1"/>
        <v>1.6470588235294117</v>
      </c>
      <c r="I54" s="1">
        <f t="shared" si="5"/>
        <v>1.7391304347826086</v>
      </c>
      <c r="J54" s="1">
        <f t="shared" si="4"/>
        <v>1.1934604904632153</v>
      </c>
      <c r="K54" s="3"/>
    </row>
    <row r="55" spans="2:15">
      <c r="B55" t="s">
        <v>12</v>
      </c>
      <c r="E55" s="4">
        <v>4000</v>
      </c>
      <c r="F55" s="1">
        <v>3823</v>
      </c>
      <c r="G55" s="1">
        <v>4706</v>
      </c>
      <c r="H55" s="4">
        <f t="shared" si="1"/>
        <v>9.4117647058823533</v>
      </c>
      <c r="I55" s="1">
        <f t="shared" si="5"/>
        <v>8.7482837528604112</v>
      </c>
      <c r="J55" s="1">
        <f t="shared" si="4"/>
        <v>12.822888283378747</v>
      </c>
      <c r="K55" s="3"/>
    </row>
    <row r="56" spans="2:15">
      <c r="B56" t="s">
        <v>11</v>
      </c>
      <c r="E56" s="4">
        <v>1200</v>
      </c>
      <c r="F56" s="1">
        <v>1191</v>
      </c>
      <c r="G56" s="1">
        <v>924</v>
      </c>
      <c r="H56" s="4">
        <f t="shared" si="1"/>
        <v>2.8235294117647061</v>
      </c>
      <c r="I56" s="1">
        <f t="shared" si="5"/>
        <v>2.7254004576659039</v>
      </c>
      <c r="J56" s="1">
        <f t="shared" si="4"/>
        <v>2.5177111716621252</v>
      </c>
      <c r="K56" s="3"/>
    </row>
    <row r="57" spans="2:15">
      <c r="B57" t="s">
        <v>39</v>
      </c>
      <c r="E57" s="4">
        <v>4700</v>
      </c>
      <c r="F57" s="1">
        <v>4058</v>
      </c>
      <c r="G57" s="1">
        <v>3715</v>
      </c>
      <c r="H57" s="4">
        <f t="shared" si="1"/>
        <v>11.058823529411764</v>
      </c>
      <c r="I57" s="1">
        <f t="shared" si="5"/>
        <v>9.2860411899313497</v>
      </c>
      <c r="J57" s="1">
        <f t="shared" si="4"/>
        <v>10.122615803814714</v>
      </c>
      <c r="K57" s="3" t="s">
        <v>62</v>
      </c>
    </row>
    <row r="58" spans="2:15">
      <c r="E58" s="3"/>
      <c r="G58" s="1"/>
      <c r="H58" s="4"/>
      <c r="I58" s="1"/>
      <c r="J58" s="1"/>
      <c r="K58" s="3"/>
    </row>
    <row r="59" spans="2:15">
      <c r="B59" s="33"/>
      <c r="C59" s="33"/>
      <c r="D59" s="33"/>
      <c r="E59" s="3"/>
      <c r="H59" s="3"/>
      <c r="J59" s="1"/>
      <c r="K59" s="3"/>
    </row>
    <row r="60" spans="2:15">
      <c r="E60" s="3"/>
      <c r="G60" s="1"/>
      <c r="H60" s="4"/>
      <c r="I60" s="1"/>
      <c r="J60" s="1"/>
      <c r="K60" s="3"/>
    </row>
    <row r="61" spans="2:15" ht="18" hidden="1" customHeight="1">
      <c r="B61" s="34" t="e">
        <f>#REF!</f>
        <v>#REF!</v>
      </c>
      <c r="C61" s="34"/>
      <c r="D61" s="34"/>
      <c r="E61" s="42"/>
      <c r="F61" s="14">
        <f>SUBTOTAL(9,F62:F63)</f>
        <v>0</v>
      </c>
      <c r="G61" s="14" t="e">
        <f ca="1">VLOOKUP($B61,INDIRECT(#REF!),#REF!,FALSE)</f>
        <v>#REF!</v>
      </c>
      <c r="H61" s="42"/>
      <c r="I61" s="14">
        <f t="shared" ref="I61:I76" si="6">F61/$F$13</f>
        <v>0</v>
      </c>
      <c r="J61" s="35" t="e">
        <f t="shared" ref="J61:J76" ca="1" si="7">G61/$G$13</f>
        <v>#REF!</v>
      </c>
      <c r="K61" s="49"/>
      <c r="L61" s="36"/>
      <c r="M61" s="36"/>
    </row>
    <row r="62" spans="2:15" ht="18" hidden="1" customHeight="1">
      <c r="B62" s="34" t="e">
        <f>#REF!</f>
        <v>#REF!</v>
      </c>
      <c r="C62" s="34"/>
      <c r="D62" s="34"/>
      <c r="E62" s="42"/>
      <c r="F62" s="14">
        <f>SUBTOTAL(9,F63:F64)</f>
        <v>0</v>
      </c>
      <c r="G62" s="14" t="e">
        <f ca="1">VLOOKUP($B62,INDIRECT(#REF!),#REF!,FALSE)</f>
        <v>#REF!</v>
      </c>
      <c r="H62" s="42"/>
      <c r="I62" s="14">
        <f t="shared" si="6"/>
        <v>0</v>
      </c>
      <c r="J62" s="35" t="e">
        <f t="shared" ca="1" si="7"/>
        <v>#REF!</v>
      </c>
      <c r="K62" s="49"/>
      <c r="L62" s="36"/>
      <c r="M62" s="36"/>
    </row>
    <row r="63" spans="2:15" ht="18">
      <c r="B63" s="37" t="s">
        <v>38</v>
      </c>
      <c r="C63" s="37"/>
      <c r="D63" s="37"/>
      <c r="E63" s="43">
        <f>SUBTOTAL(9,E64:E76)</f>
        <v>25000</v>
      </c>
      <c r="F63" s="38">
        <f>SUBTOTAL(9,F64:F76)</f>
        <v>42933</v>
      </c>
      <c r="G63" s="38">
        <f>SUBTOTAL(9,G64:G75)</f>
        <v>29436</v>
      </c>
      <c r="H63" s="43">
        <f>E63/$F$13</f>
        <v>57.208237986270021</v>
      </c>
      <c r="I63" s="38">
        <f t="shared" si="6"/>
        <v>98.244851258581235</v>
      </c>
      <c r="J63" s="39">
        <f t="shared" si="7"/>
        <v>80.207084468664846</v>
      </c>
      <c r="K63" s="50"/>
      <c r="L63" s="82"/>
      <c r="M63" s="82"/>
      <c r="N63" s="82"/>
      <c r="O63" s="82"/>
    </row>
    <row r="64" spans="2:15">
      <c r="B64" t="s">
        <v>0</v>
      </c>
      <c r="E64" s="4">
        <v>0</v>
      </c>
      <c r="F64" s="1">
        <v>0</v>
      </c>
      <c r="G64" s="1">
        <v>0</v>
      </c>
      <c r="H64" s="4"/>
      <c r="I64" s="1">
        <f t="shared" si="6"/>
        <v>0</v>
      </c>
      <c r="J64" s="1">
        <f t="shared" si="7"/>
        <v>0</v>
      </c>
      <c r="K64" s="3"/>
    </row>
    <row r="65" spans="2:11">
      <c r="B65" t="s">
        <v>10</v>
      </c>
      <c r="E65" s="4">
        <v>0</v>
      </c>
      <c r="F65" s="1">
        <v>0</v>
      </c>
      <c r="G65" s="1">
        <v>0</v>
      </c>
      <c r="H65" s="4"/>
      <c r="I65" s="1">
        <f t="shared" si="6"/>
        <v>0</v>
      </c>
      <c r="J65" s="1">
        <f t="shared" si="7"/>
        <v>0</v>
      </c>
      <c r="K65" s="3"/>
    </row>
    <row r="66" spans="2:11">
      <c r="B66" t="s">
        <v>9</v>
      </c>
      <c r="E66" s="4">
        <v>0</v>
      </c>
      <c r="F66" s="1">
        <v>0</v>
      </c>
      <c r="G66" s="1">
        <v>0</v>
      </c>
      <c r="H66" s="4"/>
      <c r="I66" s="1">
        <f t="shared" si="6"/>
        <v>0</v>
      </c>
      <c r="J66" s="1">
        <f t="shared" si="7"/>
        <v>0</v>
      </c>
      <c r="K66" s="3"/>
    </row>
    <row r="67" spans="2:11">
      <c r="B67" t="s">
        <v>8</v>
      </c>
      <c r="E67" s="4">
        <v>0</v>
      </c>
      <c r="F67" s="1">
        <v>1510</v>
      </c>
      <c r="G67" s="1">
        <v>38</v>
      </c>
      <c r="H67" s="4"/>
      <c r="I67" s="1">
        <f t="shared" si="6"/>
        <v>3.4553775743707096</v>
      </c>
      <c r="J67" s="1">
        <f t="shared" si="7"/>
        <v>0.10354223433242507</v>
      </c>
      <c r="K67" s="3"/>
    </row>
    <row r="68" spans="2:11">
      <c r="B68" t="s">
        <v>7</v>
      </c>
      <c r="E68" s="4">
        <v>0</v>
      </c>
      <c r="F68" s="1">
        <v>1644</v>
      </c>
      <c r="G68" s="1">
        <v>0</v>
      </c>
      <c r="H68" s="4"/>
      <c r="I68" s="1">
        <f t="shared" si="6"/>
        <v>3.7620137299771166</v>
      </c>
      <c r="J68" s="1">
        <f t="shared" si="7"/>
        <v>0</v>
      </c>
      <c r="K68" s="3"/>
    </row>
    <row r="69" spans="2:11">
      <c r="B69" t="s">
        <v>6</v>
      </c>
      <c r="E69" s="4">
        <v>20000</v>
      </c>
      <c r="F69" s="1">
        <v>22171</v>
      </c>
      <c r="G69" s="1">
        <v>15807</v>
      </c>
      <c r="H69" s="4"/>
      <c r="I69" s="1">
        <f t="shared" si="6"/>
        <v>50.734553775743706</v>
      </c>
      <c r="J69" s="1">
        <f t="shared" si="7"/>
        <v>43.070844686648499</v>
      </c>
      <c r="K69" s="3"/>
    </row>
    <row r="70" spans="2:11">
      <c r="B70" t="s">
        <v>5</v>
      </c>
      <c r="E70" s="4">
        <v>0</v>
      </c>
      <c r="F70" s="1">
        <v>1457</v>
      </c>
      <c r="G70" s="1">
        <f>933+45</f>
        <v>978</v>
      </c>
      <c r="H70" s="4"/>
      <c r="I70" s="1">
        <f t="shared" si="6"/>
        <v>3.334096109839817</v>
      </c>
      <c r="J70" s="1">
        <f t="shared" si="7"/>
        <v>2.6648501362397821</v>
      </c>
      <c r="K70" s="3"/>
    </row>
    <row r="71" spans="2:11">
      <c r="B71" t="s">
        <v>4</v>
      </c>
      <c r="E71" s="4">
        <v>0</v>
      </c>
      <c r="F71" s="1">
        <v>0</v>
      </c>
      <c r="G71" s="1">
        <v>0</v>
      </c>
      <c r="H71" s="4"/>
      <c r="I71" s="1">
        <f t="shared" si="6"/>
        <v>0</v>
      </c>
      <c r="J71" s="1">
        <f t="shared" si="7"/>
        <v>0</v>
      </c>
      <c r="K71" s="3"/>
    </row>
    <row r="72" spans="2:11">
      <c r="B72" t="s">
        <v>3</v>
      </c>
      <c r="E72" s="4">
        <v>0</v>
      </c>
      <c r="F72" s="1">
        <v>1376</v>
      </c>
      <c r="G72" s="1">
        <v>621</v>
      </c>
      <c r="H72" s="4"/>
      <c r="I72" s="1">
        <f t="shared" si="6"/>
        <v>3.1487414187643021</v>
      </c>
      <c r="J72" s="1">
        <f t="shared" si="7"/>
        <v>1.6920980926430518</v>
      </c>
      <c r="K72" s="3"/>
    </row>
    <row r="73" spans="2:11">
      <c r="B73" t="s">
        <v>2</v>
      </c>
      <c r="E73" s="4">
        <v>0</v>
      </c>
      <c r="F73" s="1">
        <v>559</v>
      </c>
      <c r="G73" s="1">
        <v>0</v>
      </c>
      <c r="H73" s="4"/>
      <c r="I73" s="1">
        <f t="shared" si="6"/>
        <v>1.2791762013729977</v>
      </c>
      <c r="J73" s="1">
        <f t="shared" si="7"/>
        <v>0</v>
      </c>
      <c r="K73" s="3"/>
    </row>
    <row r="74" spans="2:11">
      <c r="B74" t="s">
        <v>1</v>
      </c>
      <c r="E74" s="4">
        <v>0</v>
      </c>
      <c r="F74" s="1">
        <v>14216</v>
      </c>
      <c r="G74" s="1">
        <v>11992</v>
      </c>
      <c r="H74" s="4"/>
      <c r="I74" s="1">
        <f t="shared" si="6"/>
        <v>32.530892448512589</v>
      </c>
      <c r="J74" s="1">
        <f t="shared" si="7"/>
        <v>32.675749318801088</v>
      </c>
      <c r="K74" s="3"/>
    </row>
    <row r="75" spans="2:11">
      <c r="B75" t="s">
        <v>0</v>
      </c>
      <c r="E75" s="4">
        <v>0</v>
      </c>
      <c r="F75" s="1">
        <v>0</v>
      </c>
      <c r="G75" s="1">
        <v>0</v>
      </c>
      <c r="H75" s="4"/>
      <c r="I75" s="1">
        <f t="shared" si="6"/>
        <v>0</v>
      </c>
      <c r="J75" s="1">
        <f t="shared" si="7"/>
        <v>0</v>
      </c>
      <c r="K75" s="3"/>
    </row>
    <row r="76" spans="2:11">
      <c r="B76" t="s">
        <v>39</v>
      </c>
      <c r="E76" s="4">
        <v>5000</v>
      </c>
      <c r="F76" s="1">
        <v>0</v>
      </c>
      <c r="G76" s="1">
        <v>0</v>
      </c>
      <c r="H76" s="4"/>
      <c r="I76" s="1">
        <f t="shared" si="6"/>
        <v>0</v>
      </c>
      <c r="J76" s="1">
        <f t="shared" si="7"/>
        <v>0</v>
      </c>
      <c r="K76" s="3"/>
    </row>
    <row r="77" spans="2:11">
      <c r="E77" s="3"/>
      <c r="G77" s="1"/>
      <c r="H77" s="4"/>
      <c r="I77" s="1"/>
      <c r="K77" s="3"/>
    </row>
  </sheetData>
  <mergeCells count="7">
    <mergeCell ref="L31:O31"/>
    <mergeCell ref="L63:O63"/>
    <mergeCell ref="E10:G10"/>
    <mergeCell ref="H10:J10"/>
    <mergeCell ref="K11:O11"/>
    <mergeCell ref="K10:O10"/>
    <mergeCell ref="K21:O21"/>
  </mergeCells>
  <pageMargins left="0.7" right="0.7" top="0.75" bottom="0.75" header="0.3" footer="0.3"/>
  <ignoredErrors>
    <ignoredError sqref="F33:G33 F39:G39 G63 E50:F50 F21:G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58F1-BC8D-2B4A-ADBB-DC543E5E5AB2}">
  <dimension ref="A1:M35"/>
  <sheetViews>
    <sheetView zoomScale="60" zoomScaleNormal="60" workbookViewId="0">
      <selection activeCell="D46" sqref="D46"/>
    </sheetView>
  </sheetViews>
  <sheetFormatPr baseColWidth="10" defaultRowHeight="16"/>
  <cols>
    <col min="1" max="1" width="32.28515625" bestFit="1" customWidth="1"/>
    <col min="2" max="2" width="11.42578125" bestFit="1" customWidth="1"/>
    <col min="4" max="4" width="22.85546875" customWidth="1"/>
    <col min="5" max="5" width="10.7109375" customWidth="1"/>
    <col min="6" max="7" width="12" bestFit="1" customWidth="1"/>
  </cols>
  <sheetData>
    <row r="1" spans="1:13">
      <c r="B1" t="s">
        <v>63</v>
      </c>
      <c r="C1">
        <v>1450</v>
      </c>
    </row>
    <row r="3" spans="1:13">
      <c r="A3" s="58" t="s">
        <v>91</v>
      </c>
      <c r="D3" s="83" t="s">
        <v>92</v>
      </c>
      <c r="E3" s="83"/>
      <c r="I3" s="68"/>
      <c r="J3" s="68"/>
      <c r="K3" s="69"/>
      <c r="L3" s="69"/>
      <c r="M3" s="69"/>
    </row>
    <row r="4" spans="1:13">
      <c r="A4" t="s">
        <v>21</v>
      </c>
      <c r="B4">
        <f>'Budget 2025-26'!E13</f>
        <v>425</v>
      </c>
      <c r="D4" t="s">
        <v>21</v>
      </c>
      <c r="E4">
        <f>'Budget 2025-26'!H13</f>
        <v>0</v>
      </c>
      <c r="I4" s="68"/>
      <c r="J4" s="68"/>
      <c r="K4" s="69"/>
      <c r="L4" s="69"/>
      <c r="M4" s="68"/>
    </row>
    <row r="5" spans="1:13">
      <c r="A5" t="s">
        <v>81</v>
      </c>
      <c r="B5">
        <v>90</v>
      </c>
      <c r="D5" t="s">
        <v>93</v>
      </c>
      <c r="E5">
        <v>90</v>
      </c>
      <c r="I5" s="68"/>
      <c r="J5" s="68"/>
      <c r="K5" s="69"/>
      <c r="L5" s="68"/>
      <c r="M5" s="68"/>
    </row>
    <row r="6" spans="1:13">
      <c r="A6" t="s">
        <v>64</v>
      </c>
      <c r="B6">
        <f>B5*B4</f>
        <v>38250</v>
      </c>
      <c r="D6" t="s">
        <v>64</v>
      </c>
      <c r="E6">
        <f>E5*B4</f>
        <v>38250</v>
      </c>
      <c r="I6" s="68"/>
      <c r="J6" s="68"/>
      <c r="K6" s="69"/>
      <c r="L6" s="69"/>
      <c r="M6" s="69"/>
    </row>
    <row r="7" spans="1:13">
      <c r="A7" t="s">
        <v>82</v>
      </c>
      <c r="B7">
        <f>B6*0.75</f>
        <v>28687.5</v>
      </c>
      <c r="D7" t="s">
        <v>94</v>
      </c>
      <c r="E7">
        <f>E6</f>
        <v>38250</v>
      </c>
      <c r="I7" s="68"/>
      <c r="J7" s="68"/>
      <c r="K7" s="69"/>
      <c r="L7" s="69"/>
      <c r="M7" s="69"/>
    </row>
    <row r="8" spans="1:13">
      <c r="I8" s="68"/>
      <c r="J8" s="68"/>
      <c r="K8" s="69"/>
      <c r="L8" s="69"/>
      <c r="M8" s="69"/>
    </row>
    <row r="9" spans="1:13" ht="51">
      <c r="A9" s="59" t="s">
        <v>65</v>
      </c>
      <c r="B9" s="59" t="s">
        <v>66</v>
      </c>
      <c r="C9" s="59" t="s">
        <v>67</v>
      </c>
      <c r="D9" s="59" t="s">
        <v>68</v>
      </c>
      <c r="E9" s="59" t="s">
        <v>69</v>
      </c>
      <c r="F9" s="59" t="s">
        <v>70</v>
      </c>
      <c r="G9" s="60"/>
      <c r="I9" s="68"/>
      <c r="J9" s="68"/>
      <c r="K9" s="69"/>
      <c r="L9" s="69"/>
      <c r="M9" s="69"/>
    </row>
    <row r="10" spans="1:13">
      <c r="A10" t="s">
        <v>89</v>
      </c>
      <c r="B10" s="61">
        <f>600000/$C$1</f>
        <v>413.79310344827587</v>
      </c>
      <c r="C10" s="61">
        <f t="shared" ref="C10:C11" si="0">B10*0.25</f>
        <v>103.44827586206897</v>
      </c>
      <c r="D10" s="61">
        <v>0</v>
      </c>
      <c r="E10">
        <v>8</v>
      </c>
      <c r="F10" s="61">
        <f>(B10+C10+D10)*E10</f>
        <v>4137.9310344827591</v>
      </c>
    </row>
    <row r="11" spans="1:13">
      <c r="A11" t="s">
        <v>90</v>
      </c>
      <c r="B11" s="61">
        <f t="shared" ref="B11:B17" si="1">1100000/$C$1</f>
        <v>758.62068965517244</v>
      </c>
      <c r="C11" s="61">
        <f t="shared" si="0"/>
        <v>189.65517241379311</v>
      </c>
      <c r="D11" s="61">
        <v>1500</v>
      </c>
      <c r="E11">
        <v>4</v>
      </c>
      <c r="F11" s="61">
        <f>(B11+C11+D11)*E11</f>
        <v>9793.1034482758623</v>
      </c>
    </row>
    <row r="12" spans="1:13">
      <c r="A12" t="s">
        <v>84</v>
      </c>
      <c r="B12" s="61">
        <f t="shared" si="1"/>
        <v>758.62068965517244</v>
      </c>
      <c r="C12" s="61">
        <f>B12*0.25</f>
        <v>189.65517241379311</v>
      </c>
      <c r="D12" s="61">
        <v>1100</v>
      </c>
      <c r="E12">
        <v>3.7</v>
      </c>
      <c r="F12" s="61">
        <f>(B12+C12+D12)*E12</f>
        <v>7578.620689655173</v>
      </c>
    </row>
    <row r="13" spans="1:13">
      <c r="A13" t="s">
        <v>83</v>
      </c>
      <c r="B13" s="61">
        <f t="shared" si="1"/>
        <v>758.62068965517244</v>
      </c>
      <c r="C13" s="61">
        <f t="shared" ref="C13:C17" si="2">B13*0.25</f>
        <v>189.65517241379311</v>
      </c>
      <c r="D13" s="61">
        <v>1100</v>
      </c>
      <c r="E13">
        <v>3.7</v>
      </c>
      <c r="F13" s="61">
        <f>(B13+C13+D13)*E13</f>
        <v>7578.620689655173</v>
      </c>
    </row>
    <row r="14" spans="1:13">
      <c r="A14" t="s">
        <v>85</v>
      </c>
      <c r="B14" s="61">
        <f t="shared" si="1"/>
        <v>758.62068965517244</v>
      </c>
      <c r="C14" s="61">
        <f t="shared" si="2"/>
        <v>189.65517241379311</v>
      </c>
      <c r="D14" s="61">
        <v>1100</v>
      </c>
      <c r="E14">
        <v>3.7</v>
      </c>
      <c r="F14" s="61">
        <f t="shared" ref="F14:F17" si="3">(B14+C14+D14)*E14</f>
        <v>7578.620689655173</v>
      </c>
    </row>
    <row r="15" spans="1:13">
      <c r="A15" t="s">
        <v>86</v>
      </c>
      <c r="B15" s="61">
        <f t="shared" si="1"/>
        <v>758.62068965517244</v>
      </c>
      <c r="C15" s="61">
        <f t="shared" si="2"/>
        <v>189.65517241379311</v>
      </c>
      <c r="D15" s="61">
        <v>800</v>
      </c>
      <c r="E15">
        <v>3.7</v>
      </c>
      <c r="F15" s="61">
        <f t="shared" si="3"/>
        <v>6468.620689655173</v>
      </c>
    </row>
    <row r="16" spans="1:13">
      <c r="A16" t="s">
        <v>87</v>
      </c>
      <c r="B16" s="61">
        <f t="shared" si="1"/>
        <v>758.62068965517244</v>
      </c>
      <c r="C16" s="61">
        <f t="shared" si="2"/>
        <v>189.65517241379311</v>
      </c>
      <c r="D16" s="61">
        <v>800</v>
      </c>
      <c r="E16">
        <v>4</v>
      </c>
      <c r="F16" s="61">
        <f t="shared" si="3"/>
        <v>6993.1034482758623</v>
      </c>
    </row>
    <row r="17" spans="1:9">
      <c r="A17" t="s">
        <v>88</v>
      </c>
      <c r="B17" s="61">
        <f t="shared" si="1"/>
        <v>758.62068965517244</v>
      </c>
      <c r="C17" s="61">
        <f t="shared" si="2"/>
        <v>189.65517241379311</v>
      </c>
      <c r="D17" s="61">
        <v>800</v>
      </c>
      <c r="E17">
        <v>4</v>
      </c>
      <c r="F17" s="61">
        <f t="shared" si="3"/>
        <v>6993.1034482758623</v>
      </c>
    </row>
    <row r="18" spans="1:9">
      <c r="A18" t="s">
        <v>95</v>
      </c>
      <c r="B18" s="61"/>
      <c r="C18" s="61"/>
      <c r="D18" s="61"/>
      <c r="F18" s="61">
        <v>5000</v>
      </c>
    </row>
    <row r="19" spans="1:9">
      <c r="A19" s="62" t="s">
        <v>71</v>
      </c>
      <c r="B19" s="62"/>
      <c r="C19" s="62"/>
      <c r="D19" s="62"/>
      <c r="E19" s="62"/>
      <c r="F19" s="63">
        <f>SUM(F10:F18)</f>
        <v>62121.724137931036</v>
      </c>
    </row>
    <row r="23" spans="1:9" ht="51">
      <c r="A23" s="59" t="s">
        <v>48</v>
      </c>
      <c r="B23" s="59" t="s">
        <v>66</v>
      </c>
      <c r="C23" s="59" t="s">
        <v>67</v>
      </c>
      <c r="D23" s="59" t="s">
        <v>68</v>
      </c>
      <c r="E23" s="59" t="s">
        <v>69</v>
      </c>
      <c r="F23" s="59" t="s">
        <v>72</v>
      </c>
      <c r="G23" s="59" t="s">
        <v>70</v>
      </c>
    </row>
    <row r="24" spans="1:9">
      <c r="A24" t="s">
        <v>78</v>
      </c>
      <c r="B24" s="61">
        <f>1100000/C1</f>
        <v>758.62068965517244</v>
      </c>
      <c r="C24" s="61">
        <f>B24*0.25</f>
        <v>189.65517241379311</v>
      </c>
      <c r="D24" s="61">
        <f>1700-B24</f>
        <v>941.37931034482756</v>
      </c>
      <c r="E24" s="64">
        <v>3.5</v>
      </c>
      <c r="F24" s="61">
        <v>1000</v>
      </c>
      <c r="G24" s="61">
        <f>(B24+C24+D24)*E24+F24</f>
        <v>7613.7931034482754</v>
      </c>
      <c r="H24" s="61"/>
    </row>
    <row r="25" spans="1:9">
      <c r="A25" t="s">
        <v>98</v>
      </c>
      <c r="B25" s="61"/>
      <c r="C25" s="61"/>
      <c r="D25" s="61"/>
      <c r="E25" s="61"/>
      <c r="F25" s="61"/>
      <c r="G25" s="61">
        <f>0.2*B6</f>
        <v>7650</v>
      </c>
      <c r="H25" s="61"/>
    </row>
    <row r="26" spans="1:9">
      <c r="A26" s="62" t="s">
        <v>97</v>
      </c>
      <c r="B26" s="63"/>
      <c r="C26" s="63"/>
      <c r="D26" s="63"/>
      <c r="E26" s="63"/>
      <c r="F26" s="63"/>
      <c r="G26" s="63">
        <f>SUM(G24:G25)</f>
        <v>15263.793103448275</v>
      </c>
      <c r="H26" s="61"/>
    </row>
    <row r="27" spans="1:9">
      <c r="B27" s="61"/>
      <c r="C27" s="61"/>
      <c r="D27" s="61"/>
      <c r="E27" s="61"/>
      <c r="F27" s="61"/>
      <c r="G27" s="61"/>
      <c r="H27" s="61"/>
    </row>
    <row r="28" spans="1:9" ht="51">
      <c r="A28" s="65" t="s">
        <v>24</v>
      </c>
      <c r="B28" s="59" t="s">
        <v>66</v>
      </c>
      <c r="C28" s="59" t="s">
        <v>67</v>
      </c>
      <c r="D28" s="59" t="s">
        <v>68</v>
      </c>
      <c r="E28" s="59" t="s">
        <v>69</v>
      </c>
      <c r="F28" s="59" t="s">
        <v>72</v>
      </c>
      <c r="G28" s="59" t="s">
        <v>70</v>
      </c>
      <c r="H28" s="61"/>
      <c r="I28" s="61"/>
    </row>
    <row r="29" spans="1:9">
      <c r="A29" t="s">
        <v>73</v>
      </c>
      <c r="B29" s="61">
        <f>1100000/$C$1</f>
        <v>758.62068965517244</v>
      </c>
      <c r="C29" s="61">
        <f t="shared" ref="C29:C34" si="4">B29*0.25</f>
        <v>189.65517241379311</v>
      </c>
      <c r="D29" s="61">
        <v>500</v>
      </c>
      <c r="E29" s="64">
        <v>4</v>
      </c>
      <c r="F29" s="64">
        <v>300</v>
      </c>
      <c r="G29" s="61">
        <f t="shared" ref="G29:G34" si="5">(B29+C29+D29)*E29+F29</f>
        <v>6093.1034482758623</v>
      </c>
      <c r="H29" s="61"/>
      <c r="I29" s="61"/>
    </row>
    <row r="30" spans="1:9">
      <c r="A30" t="s">
        <v>74</v>
      </c>
      <c r="B30" s="61">
        <f t="shared" ref="B30:B34" si="6">1100000/$C$1</f>
        <v>758.62068965517244</v>
      </c>
      <c r="C30" s="61">
        <f t="shared" si="4"/>
        <v>189.65517241379311</v>
      </c>
      <c r="D30" s="61">
        <v>400</v>
      </c>
      <c r="E30" s="64">
        <v>4</v>
      </c>
      <c r="F30" s="64">
        <v>300</v>
      </c>
      <c r="G30" s="61">
        <f t="shared" si="5"/>
        <v>5693.1034482758623</v>
      </c>
      <c r="H30" s="61"/>
      <c r="I30" s="61"/>
    </row>
    <row r="31" spans="1:9" ht="17">
      <c r="A31" s="66" t="s">
        <v>75</v>
      </c>
      <c r="B31" s="61">
        <f t="shared" si="6"/>
        <v>758.62068965517244</v>
      </c>
      <c r="C31" s="61">
        <f t="shared" si="4"/>
        <v>189.65517241379311</v>
      </c>
      <c r="D31" s="61">
        <v>400</v>
      </c>
      <c r="E31" s="64">
        <v>3.5</v>
      </c>
      <c r="F31" s="64">
        <v>300</v>
      </c>
      <c r="G31" s="61">
        <f t="shared" si="5"/>
        <v>5018.9655172413795</v>
      </c>
      <c r="H31" s="61"/>
      <c r="I31" s="61"/>
    </row>
    <row r="32" spans="1:9">
      <c r="A32" t="s">
        <v>76</v>
      </c>
      <c r="B32" s="61">
        <f t="shared" si="6"/>
        <v>758.62068965517244</v>
      </c>
      <c r="C32" s="61">
        <f t="shared" si="4"/>
        <v>189.65517241379311</v>
      </c>
      <c r="D32" s="61">
        <f>2400-B32</f>
        <v>1641.3793103448274</v>
      </c>
      <c r="E32" s="64">
        <v>3.5</v>
      </c>
      <c r="F32" s="64">
        <v>500</v>
      </c>
      <c r="G32" s="61">
        <f t="shared" ref="G32" si="7">(B32+C32+D32)*E32+F32</f>
        <v>9563.7931034482754</v>
      </c>
      <c r="H32" s="61"/>
      <c r="I32" s="61"/>
    </row>
    <row r="33" spans="1:9">
      <c r="A33" t="s">
        <v>79</v>
      </c>
      <c r="B33" s="61">
        <f t="shared" si="6"/>
        <v>758.62068965517244</v>
      </c>
      <c r="C33" s="61">
        <f t="shared" si="4"/>
        <v>189.65517241379311</v>
      </c>
      <c r="D33" s="61">
        <f>2000-B33</f>
        <v>1241.3793103448274</v>
      </c>
      <c r="E33" s="64">
        <v>3.5</v>
      </c>
      <c r="F33" s="64">
        <v>500</v>
      </c>
      <c r="G33" s="61">
        <f t="shared" si="5"/>
        <v>8163.7931034482754</v>
      </c>
      <c r="H33" s="61"/>
      <c r="I33" s="61"/>
    </row>
    <row r="34" spans="1:9">
      <c r="A34" t="s">
        <v>80</v>
      </c>
      <c r="B34" s="61">
        <f t="shared" si="6"/>
        <v>758.62068965517244</v>
      </c>
      <c r="C34" s="61">
        <f t="shared" si="4"/>
        <v>189.65517241379311</v>
      </c>
      <c r="D34" s="61">
        <v>500</v>
      </c>
      <c r="E34" s="64">
        <v>3.5</v>
      </c>
      <c r="F34" s="64">
        <v>300</v>
      </c>
      <c r="G34" s="61">
        <f t="shared" si="5"/>
        <v>5368.9655172413795</v>
      </c>
      <c r="H34" s="61"/>
      <c r="I34" s="61"/>
    </row>
    <row r="35" spans="1:9">
      <c r="A35" s="62" t="s">
        <v>77</v>
      </c>
      <c r="B35" s="62"/>
      <c r="C35" s="62"/>
      <c r="D35" s="62"/>
      <c r="E35" s="62"/>
      <c r="F35" s="62"/>
      <c r="G35" s="67">
        <f>SUM(G29:G34)</f>
        <v>39901.724137931029</v>
      </c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Budget 2025-26</vt:lpstr>
      <vt:lpstr>Sueldos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Braun</dc:creator>
  <cp:lastModifiedBy>Marina Soledad García</cp:lastModifiedBy>
  <dcterms:created xsi:type="dcterms:W3CDTF">2023-08-07T13:20:10Z</dcterms:created>
  <dcterms:modified xsi:type="dcterms:W3CDTF">2026-04-14T17:58:20Z</dcterms:modified>
</cp:coreProperties>
</file>
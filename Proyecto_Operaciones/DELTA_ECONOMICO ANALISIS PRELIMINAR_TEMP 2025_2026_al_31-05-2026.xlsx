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naGarcia/Library/Containers/com.apple.mail/Data/Library/Mail Downloads/0C494EB4-B70E-4077-B3AB-90E526E73606/"/>
    </mc:Choice>
  </mc:AlternateContent>
  <xr:revisionPtr revIDLastSave="0" documentId="8_{4F058068-337E-2948-A9A7-78F2C08F501A}" xr6:coauthVersionLast="47" xr6:coauthVersionMax="47" xr10:uidLastSave="{00000000-0000-0000-0000-000000000000}"/>
  <bookViews>
    <workbookView xWindow="0" yWindow="0" windowWidth="28800" windowHeight="18000" firstSheet="5" activeTab="9" xr2:uid="{00000000-000D-0000-FFFF-FFFF00000000}"/>
  </bookViews>
  <sheets>
    <sheet name="Mov_Analizados_Sept25 - Nov 25" sheetId="18" r:id="rId1"/>
    <sheet name="Mov_Analizados_Dic25" sheetId="65" r:id="rId2"/>
    <sheet name="Mov_Analizados_Ene26" sheetId="68" r:id="rId3"/>
    <sheet name="Mov_Analizados_Feb26" sheetId="69" r:id="rId4"/>
    <sheet name="Mov_Analizados_Mar26" sheetId="70" r:id="rId5"/>
    <sheet name="Mov_Analizados_Abr26" sheetId="71" r:id="rId6"/>
    <sheet name="Mov_Analizados_May26" sheetId="72" r:id="rId7"/>
    <sheet name="Resumen_Base" sheetId="5" r:id="rId8"/>
    <sheet name="Plan Cuentas Link Armado" sheetId="64" r:id="rId9"/>
    <sheet name="Budget Comparativo" sheetId="61" r:id="rId10"/>
    <sheet name="DELTA LODGE" sheetId="67" r:id="rId11"/>
    <sheet name="Stock - Deudas" sheetId="62" r:id="rId12"/>
    <sheet name="Comparativo_Extras DEL" sheetId="58" r:id="rId13"/>
  </sheets>
  <definedNames>
    <definedName name="_____Rt12" localSheetId="1">#REF!</definedName>
    <definedName name="_____Rt12" localSheetId="2">#REF!</definedName>
    <definedName name="_____Rt12" localSheetId="3">#REF!</definedName>
    <definedName name="_____Rt12" localSheetId="4">#REF!</definedName>
    <definedName name="_____Rt12" localSheetId="6">#REF!</definedName>
    <definedName name="_____Rt12">#REF!</definedName>
    <definedName name="____Rt12" localSheetId="1">#REF!</definedName>
    <definedName name="____Rt12" localSheetId="2">#REF!</definedName>
    <definedName name="____Rt12" localSheetId="3">#REF!</definedName>
    <definedName name="____Rt12" localSheetId="4">#REF!</definedName>
    <definedName name="____Rt12" localSheetId="6">#REF!</definedName>
    <definedName name="____Rt12">#REF!</definedName>
    <definedName name="___Rt12" localSheetId="1">#REF!</definedName>
    <definedName name="___Rt12" localSheetId="2">#REF!</definedName>
    <definedName name="___Rt12" localSheetId="3">#REF!</definedName>
    <definedName name="___Rt12" localSheetId="4">#REF!</definedName>
    <definedName name="___Rt12" localSheetId="6">#REF!</definedName>
    <definedName name="___Rt12">#REF!</definedName>
    <definedName name="__Rt12" localSheetId="1">#REF!</definedName>
    <definedName name="__Rt12" localSheetId="2">#REF!</definedName>
    <definedName name="__Rt12" localSheetId="3">#REF!</definedName>
    <definedName name="__Rt12" localSheetId="4">#REF!</definedName>
    <definedName name="__Rt12" localSheetId="6">#REF!</definedName>
    <definedName name="__Rt12">#REF!</definedName>
    <definedName name="__xlfn_SUMIFS">NA()</definedName>
    <definedName name="_xlnm._FilterDatabase" localSheetId="9" hidden="1">'Budget Comparativo'!$A$7:$I$61</definedName>
    <definedName name="_xlnm._FilterDatabase" localSheetId="5" hidden="1">Mov_Analizados_Abr26!$A$10:$IV$129</definedName>
    <definedName name="_xlnm._FilterDatabase" localSheetId="1" hidden="1">Mov_Analizados_Dic25!$A$10:$AA$362</definedName>
    <definedName name="_xlnm._FilterDatabase" localSheetId="2" hidden="1">Mov_Analizados_Ene26!$A$10:$AA$625</definedName>
    <definedName name="_xlnm._FilterDatabase" localSheetId="3" hidden="1">Mov_Analizados_Feb26!$A$10:$AA$612</definedName>
    <definedName name="_xlnm._FilterDatabase" localSheetId="4" hidden="1">Mov_Analizados_Mar26!$A$10:$AA$318</definedName>
    <definedName name="_xlnm._FilterDatabase" localSheetId="6" hidden="1">Mov_Analizados_May26!$A$10:$IV$65</definedName>
    <definedName name="_xlnm._FilterDatabase" localSheetId="0" hidden="1">'Mov_Analizados_Sept25 - Nov 25'!$A$10:$AA$1078</definedName>
    <definedName name="_xlnm._FilterDatabase" localSheetId="7" hidden="1">Resumen_Base!$A$5:$AD$69</definedName>
    <definedName name="_Regression_X" localSheetId="9" hidden="1">#REF!</definedName>
    <definedName name="_Regression_X" localSheetId="1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localSheetId="6" hidden="1">#REF!</definedName>
    <definedName name="_Regression_X" hidden="1">#REF!</definedName>
    <definedName name="_Rt12" localSheetId="1">#REF!</definedName>
    <definedName name="_Rt12" localSheetId="2">#REF!</definedName>
    <definedName name="_Rt12" localSheetId="3">#REF!</definedName>
    <definedName name="_Rt12" localSheetId="4">#REF!</definedName>
    <definedName name="_Rt12" localSheetId="6">#REF!</definedName>
    <definedName name="_Rt12">#REF!</definedName>
    <definedName name="AJUSTES" localSheetId="9">#REF!</definedName>
    <definedName name="AJUSTES" localSheetId="1">#REF!</definedName>
    <definedName name="AJUSTES" localSheetId="2">#REF!</definedName>
    <definedName name="AJUSTES" localSheetId="3">#REF!</definedName>
    <definedName name="AJUSTES" localSheetId="4">#REF!</definedName>
    <definedName name="AJUSTES" localSheetId="6">#REF!</definedName>
    <definedName name="AJUSTES">#REF!</definedName>
    <definedName name="_xlnm.Print_Area" localSheetId="9">'Budget Comparativo'!$B$2:$N$58</definedName>
    <definedName name="_xlnm.Print_Area" localSheetId="12">'Comparativo_Extras DEL'!$A$1:$K$11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4">#REF!</definedName>
    <definedName name="Assumptions" localSheetId="6">#REF!</definedName>
    <definedName name="Assumptions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6">#REF!</definedName>
    <definedName name="_xlnm.Database">#REF!</definedName>
    <definedName name="BuiltIn_Print_Area" localSheetId="1">#REF!</definedName>
    <definedName name="BuiltIn_Print_Area" localSheetId="2">#REF!</definedName>
    <definedName name="BuiltIn_Print_Area" localSheetId="3">#REF!</definedName>
    <definedName name="BuiltIn_Print_Area" localSheetId="4">#REF!</definedName>
    <definedName name="BuiltIn_Print_Area" localSheetId="6">#REF!</definedName>
    <definedName name="BuiltIn_Print_Area">#REF!</definedName>
    <definedName name="BuiltIn_Print_Area___0" localSheetId="1">#REF!</definedName>
    <definedName name="BuiltIn_Print_Area___0" localSheetId="2">#REF!</definedName>
    <definedName name="BuiltIn_Print_Area___0" localSheetId="3">#REF!</definedName>
    <definedName name="BuiltIn_Print_Area___0" localSheetId="4">#REF!</definedName>
    <definedName name="BuiltIn_Print_Area___0" localSheetId="6">#REF!</definedName>
    <definedName name="BuiltIn_Print_Area___0">#REF!</definedName>
    <definedName name="BuiltIn_Print_Titles" localSheetId="1">#REF!</definedName>
    <definedName name="BuiltIn_Print_Titles" localSheetId="2">#REF!</definedName>
    <definedName name="BuiltIn_Print_Titles" localSheetId="3">#REF!</definedName>
    <definedName name="BuiltIn_Print_Titles" localSheetId="4">#REF!</definedName>
    <definedName name="BuiltIn_Print_Titles" localSheetId="6">#REF!</definedName>
    <definedName name="BuiltIn_Print_Titles">#REF!</definedName>
    <definedName name="BuiltIn_Print_Titles___0" localSheetId="1">#REF!</definedName>
    <definedName name="BuiltIn_Print_Titles___0" localSheetId="2">#REF!</definedName>
    <definedName name="BuiltIn_Print_Titles___0" localSheetId="3">#REF!</definedName>
    <definedName name="BuiltIn_Print_Titles___0" localSheetId="4">#REF!</definedName>
    <definedName name="BuiltIn_Print_Titles___0" localSheetId="6">#REF!</definedName>
    <definedName name="BuiltIn_Print_Titles___0">#REF!</definedName>
    <definedName name="CASH_FLOW">#N/A</definedName>
    <definedName name="CodigoLodge" localSheetId="1">#REF!</definedName>
    <definedName name="CodigoLodge" localSheetId="2">#REF!</definedName>
    <definedName name="CodigoLodge" localSheetId="3">#REF!</definedName>
    <definedName name="CodigoLodge" localSheetId="4">#REF!</definedName>
    <definedName name="CodigoLodge" localSheetId="6">#REF!</definedName>
    <definedName name="CodigoLodge">#REF!</definedName>
    <definedName name="Costo" localSheetId="1">#REF!</definedName>
    <definedName name="Costo" localSheetId="2">#REF!</definedName>
    <definedName name="Costo" localSheetId="3">#REF!</definedName>
    <definedName name="Costo" localSheetId="4">#REF!</definedName>
    <definedName name="Costo" localSheetId="6">#REF!</definedName>
    <definedName name="Costo">#REF!</definedName>
    <definedName name="coti" localSheetId="2">#REF!</definedName>
    <definedName name="coti" localSheetId="3">#REF!</definedName>
    <definedName name="coti" localSheetId="4">#REF!</definedName>
    <definedName name="coti" localSheetId="6">#REF!</definedName>
    <definedName name="coti">#REF!</definedName>
    <definedName name="cotizaciones" localSheetId="2">#REF!</definedName>
    <definedName name="cotizaciones" localSheetId="3">#REF!</definedName>
    <definedName name="cotizaciones" localSheetId="4">#REF!</definedName>
    <definedName name="cotizaciones" localSheetId="6">#REF!</definedName>
    <definedName name="cotizaciones">#REF!</definedName>
    <definedName name="Depreciation_Investment" localSheetId="1">#REF!</definedName>
    <definedName name="Depreciation_Investment" localSheetId="2">#REF!</definedName>
    <definedName name="Depreciation_Investment" localSheetId="3">#REF!</definedName>
    <definedName name="Depreciation_Investment" localSheetId="4">#REF!</definedName>
    <definedName name="Depreciation_Investment" localSheetId="6">#REF!</definedName>
    <definedName name="Depreciation_Investment">#REF!</definedName>
    <definedName name="EVOLUCION___0">#N/A</definedName>
    <definedName name="Futa" hidden="1">{"Informe de Gastos",#N/A,FALSE,"Informe Gastos"}</definedName>
    <definedName name="IBrutos" localSheetId="9">#REF!</definedName>
    <definedName name="IBrutos" localSheetId="1">#REF!</definedName>
    <definedName name="IBrutos" localSheetId="2">#REF!</definedName>
    <definedName name="IBrutos" localSheetId="3">#REF!</definedName>
    <definedName name="IBrutos" localSheetId="4">#REF!</definedName>
    <definedName name="IBrutos" localSheetId="6">#REF!</definedName>
    <definedName name="IBrutos">#REF!</definedName>
    <definedName name="INCOME_STATEMENT" localSheetId="1">#REF!</definedName>
    <definedName name="INCOME_STATEMENT" localSheetId="2">#REF!</definedName>
    <definedName name="INCOME_STATEMENT" localSheetId="3">#REF!</definedName>
    <definedName name="INCOME_STATEMENT" localSheetId="4">#REF!</definedName>
    <definedName name="INCOME_STATEMENT" localSheetId="6">#REF!</definedName>
    <definedName name="INCOME_STATEMENT">#REF!</definedName>
    <definedName name="Intang" localSheetId="1">#REF!</definedName>
    <definedName name="Intang" localSheetId="2">#REF!</definedName>
    <definedName name="Intang" localSheetId="3">#REF!</definedName>
    <definedName name="Intang" localSheetId="4">#REF!</definedName>
    <definedName name="Intang" localSheetId="6">#REF!</definedName>
    <definedName name="Intang">#REF!</definedName>
    <definedName name="Macro1">#N/A</definedName>
    <definedName name="Monext" localSheetId="1">#REF!</definedName>
    <definedName name="Monext" localSheetId="2">#REF!</definedName>
    <definedName name="Monext" localSheetId="3">#REF!</definedName>
    <definedName name="Monext" localSheetId="4">#REF!</definedName>
    <definedName name="Monext" localSheetId="6">#REF!</definedName>
    <definedName name="Monext">#REF!</definedName>
    <definedName name="º" hidden="1">{#N/A,#N/A,FALSE,"11) Det. Balance"}</definedName>
    <definedName name="PERSONNEL" localSheetId="1">#REF!</definedName>
    <definedName name="PERSONNEL" localSheetId="2">#REF!</definedName>
    <definedName name="PERSONNEL" localSheetId="3">#REF!</definedName>
    <definedName name="PERSONNEL" localSheetId="4">#REF!</definedName>
    <definedName name="PERSONNEL" localSheetId="6">#REF!</definedName>
    <definedName name="PERSONNEL">#REF!</definedName>
    <definedName name="Prorrata" localSheetId="1">#REF!</definedName>
    <definedName name="Prorrata" localSheetId="2">#REF!</definedName>
    <definedName name="Prorrata" localSheetId="3">#REF!</definedName>
    <definedName name="Prorrata" localSheetId="4">#REF!</definedName>
    <definedName name="Prorrata" localSheetId="6">#REF!</definedName>
    <definedName name="Prorrata">#REF!</definedName>
    <definedName name="res" localSheetId="9" hidden="1">{"Informe de Gastos",#N/A,FALSE,"Informe Gastos"}</definedName>
    <definedName name="res" hidden="1">{"Informe de Gastos",#N/A,FALSE,"Informe Gastos"}</definedName>
    <definedName name="Revenues_Expenses" localSheetId="1">#REF!</definedName>
    <definedName name="Revenues_Expenses" localSheetId="2">#REF!</definedName>
    <definedName name="Revenues_Expenses" localSheetId="3">#REF!</definedName>
    <definedName name="Revenues_Expenses" localSheetId="4">#REF!</definedName>
    <definedName name="Revenues_Expenses" localSheetId="6">#REF!</definedName>
    <definedName name="Revenues_Expenses">#REF!</definedName>
    <definedName name="Sociedades" localSheetId="1">#REF!</definedName>
    <definedName name="Sociedades" localSheetId="2">#REF!</definedName>
    <definedName name="Sociedades" localSheetId="3">#REF!</definedName>
    <definedName name="Sociedades" localSheetId="4">#REF!</definedName>
    <definedName name="Sociedades" localSheetId="6">#REF!</definedName>
    <definedName name="Sociedades">#REF!</definedName>
    <definedName name="T_Actividad" localSheetId="2">#REF!</definedName>
    <definedName name="T_Actividad" localSheetId="3">#REF!</definedName>
    <definedName name="T_Actividad" localSheetId="4">#REF!</definedName>
    <definedName name="T_Actividad" localSheetId="6">#REF!</definedName>
    <definedName name="T_Actividad">#REF!</definedName>
    <definedName name="T_ACUMULADO_APP_ALL_PAID" localSheetId="2">#REF!</definedName>
    <definedName name="T_ACUMULADO_APP_ALL_PAID" localSheetId="3">#REF!</definedName>
    <definedName name="T_ACUMULADO_APP_ALL_PAID" localSheetId="4">#REF!</definedName>
    <definedName name="T_ACUMULADO_APP_ALL_PAID" localSheetId="6">#REF!</definedName>
    <definedName name="T_ACUMULADO_APP_ALL_PAID">#REF!</definedName>
    <definedName name="T_ACUMULADO_APP_BN" localSheetId="2">#REF!</definedName>
    <definedName name="T_ACUMULADO_APP_BN" localSheetId="3">#REF!</definedName>
    <definedName name="T_ACUMULADO_APP_BN" localSheetId="4">#REF!</definedName>
    <definedName name="T_ACUMULADO_APP_BN" localSheetId="6">#REF!</definedName>
    <definedName name="T_ACUMULADO_APP_BN">#REF!</definedName>
    <definedName name="T_ACUMULADO_APP_BSAS_OFFICE" localSheetId="2">#REF!</definedName>
    <definedName name="T_ACUMULADO_APP_BSAS_OFFICE" localSheetId="3">#REF!</definedName>
    <definedName name="T_ACUMULADO_APP_BSAS_OFFICE" localSheetId="4">#REF!</definedName>
    <definedName name="T_ACUMULADO_APP_BSAS_OFFICE" localSheetId="6">#REF!</definedName>
    <definedName name="T_ACUMULADO_APP_BSAS_OFFICE">#REF!</definedName>
    <definedName name="T_ACUMULADO_APP_CASH" localSheetId="2">#REF!</definedName>
    <definedName name="T_ACUMULADO_APP_CASH" localSheetId="3">#REF!</definedName>
    <definedName name="T_ACUMULADO_APP_CASH" localSheetId="4">#REF!</definedName>
    <definedName name="T_ACUMULADO_APP_CASH" localSheetId="6">#REF!</definedName>
    <definedName name="T_ACUMULADO_APP_CASH">#REF!</definedName>
    <definedName name="T_ACUMULADO_APP_CASH2" localSheetId="2">#REF!</definedName>
    <definedName name="T_ACUMULADO_APP_CASH2" localSheetId="3">#REF!</definedName>
    <definedName name="T_ACUMULADO_APP_CASH2" localSheetId="4">#REF!</definedName>
    <definedName name="T_ACUMULADO_APP_CASH2" localSheetId="6">#REF!</definedName>
    <definedName name="T_ACUMULADO_APP_CASH2">#REF!</definedName>
    <definedName name="T_ACUMULADO_APP_CASHES" localSheetId="2">#REF!</definedName>
    <definedName name="T_ACUMULADO_APP_CASHES" localSheetId="3">#REF!</definedName>
    <definedName name="T_ACUMULADO_APP_CASHES" localSheetId="4">#REF!</definedName>
    <definedName name="T_ACUMULADO_APP_CASHES" localSheetId="6">#REF!</definedName>
    <definedName name="T_ACUMULADO_APP_CASHES">#REF!</definedName>
    <definedName name="T_ACUMULADO_APP_CHECK" localSheetId="2">#REF!</definedName>
    <definedName name="T_ACUMULADO_APP_CHECK" localSheetId="3">#REF!</definedName>
    <definedName name="T_ACUMULADO_APP_CHECK" localSheetId="4">#REF!</definedName>
    <definedName name="T_ACUMULADO_APP_CHECK" localSheetId="6">#REF!</definedName>
    <definedName name="T_ACUMULADO_APP_CHECK">#REF!</definedName>
    <definedName name="T_ACUMULADO_APP_COMISION_TARJETA_35" localSheetId="2">#REF!</definedName>
    <definedName name="T_ACUMULADO_APP_COMISION_TARJETA_35" localSheetId="3">#REF!</definedName>
    <definedName name="T_ACUMULADO_APP_COMISION_TARJETA_35" localSheetId="4">#REF!</definedName>
    <definedName name="T_ACUMULADO_APP_COMISION_TARJETA_35" localSheetId="6">#REF!</definedName>
    <definedName name="T_ACUMULADO_APP_COMISION_TARJETA_35">#REF!</definedName>
    <definedName name="T_ACUMULADO_APP_CREDIT_CARD" localSheetId="2">#REF!</definedName>
    <definedName name="T_ACUMULADO_APP_CREDIT_CARD" localSheetId="3">#REF!</definedName>
    <definedName name="T_ACUMULADO_APP_CREDIT_CARD" localSheetId="4">#REF!</definedName>
    <definedName name="T_ACUMULADO_APP_CREDIT_CARD" localSheetId="6">#REF!</definedName>
    <definedName name="T_ACUMULADO_APP_CREDIT_CARD">#REF!</definedName>
    <definedName name="T_ACUMULADO_APP_CREDIT_CARD_TAX" localSheetId="2">#REF!</definedName>
    <definedName name="T_ACUMULADO_APP_CREDIT_CARD_TAX" localSheetId="3">#REF!</definedName>
    <definedName name="T_ACUMULADO_APP_CREDIT_CARD_TAX" localSheetId="4">#REF!</definedName>
    <definedName name="T_ACUMULADO_APP_CREDIT_CARD_TAX" localSheetId="6">#REF!</definedName>
    <definedName name="T_ACUMULADO_APP_CREDIT_CARD_TAX">#REF!</definedName>
    <definedName name="T_ACUMULADO_APP_ESTANCIAS" localSheetId="2">#REF!</definedName>
    <definedName name="T_ACUMULADO_APP_ESTANCIAS" localSheetId="3">#REF!</definedName>
    <definedName name="T_ACUMULADO_APP_ESTANCIAS" localSheetId="4">#REF!</definedName>
    <definedName name="T_ACUMULADO_APP_ESTANCIAS" localSheetId="6">#REF!</definedName>
    <definedName name="T_ACUMULADO_APP_ESTANCIAS">#REF!</definedName>
    <definedName name="T_ACUMULADO_APP_EXTRAS" localSheetId="2">#REF!</definedName>
    <definedName name="T_ACUMULADO_APP_EXTRAS" localSheetId="3">#REF!</definedName>
    <definedName name="T_ACUMULADO_APP_EXTRAS" localSheetId="4">#REF!</definedName>
    <definedName name="T_ACUMULADO_APP_EXTRAS" localSheetId="6">#REF!</definedName>
    <definedName name="T_ACUMULADO_APP_EXTRAS">#REF!</definedName>
    <definedName name="T_ACUMULADO_APP_FULL_BY_GROP_CODE" localSheetId="2">#REF!</definedName>
    <definedName name="T_ACUMULADO_APP_FULL_BY_GROP_CODE" localSheetId="3">#REF!</definedName>
    <definedName name="T_ACUMULADO_APP_FULL_BY_GROP_CODE" localSheetId="4">#REF!</definedName>
    <definedName name="T_ACUMULADO_APP_FULL_BY_GROP_CODE" localSheetId="6">#REF!</definedName>
    <definedName name="T_ACUMULADO_APP_FULL_BY_GROP_CODE">#REF!</definedName>
    <definedName name="T_ACUMULADO_APP_FULL_BY_LODGE" localSheetId="2">#REF!</definedName>
    <definedName name="T_ACUMULADO_APP_FULL_BY_LODGE" localSheetId="3">#REF!</definedName>
    <definedName name="T_ACUMULADO_APP_FULL_BY_LODGE" localSheetId="4">#REF!</definedName>
    <definedName name="T_ACUMULADO_APP_FULL_BY_LODGE" localSheetId="6">#REF!</definedName>
    <definedName name="T_ACUMULADO_APP_FULL_BY_LODGE">#REF!</definedName>
    <definedName name="T_ACUMULADO_APP_INDIVIDUAL" localSheetId="2">#REF!</definedName>
    <definedName name="T_ACUMULADO_APP_INDIVIDUAL" localSheetId="3">#REF!</definedName>
    <definedName name="T_ACUMULADO_APP_INDIVIDUAL" localSheetId="4">#REF!</definedName>
    <definedName name="T_ACUMULADO_APP_INDIVIDUAL" localSheetId="6">#REF!</definedName>
    <definedName name="T_ACUMULADO_APP_INDIVIDUAL">#REF!</definedName>
    <definedName name="T_ACUMULADO_APP_ORDER_TO_ALLPAID" localSheetId="2">#REF!</definedName>
    <definedName name="T_ACUMULADO_APP_ORDER_TO_ALLPAID" localSheetId="3">#REF!</definedName>
    <definedName name="T_ACUMULADO_APP_ORDER_TO_ALLPAID" localSheetId="4">#REF!</definedName>
    <definedName name="T_ACUMULADO_APP_ORDER_TO_ALLPAID" localSheetId="6">#REF!</definedName>
    <definedName name="T_ACUMULADO_APP_ORDER_TO_ALLPAID">#REF!</definedName>
    <definedName name="T_ACUMULADO_APP_Q" localSheetId="2">#REF!</definedName>
    <definedName name="T_ACUMULADO_APP_Q" localSheetId="3">#REF!</definedName>
    <definedName name="T_ACUMULADO_APP_Q" localSheetId="4">#REF!</definedName>
    <definedName name="T_ACUMULADO_APP_Q" localSheetId="6">#REF!</definedName>
    <definedName name="T_ACUMULADO_APP_Q">#REF!</definedName>
    <definedName name="T_ACUMULADO_APP_SHEL_BOXES" localSheetId="2">#REF!</definedName>
    <definedName name="T_ACUMULADO_APP_SHEL_BOXES" localSheetId="3">#REF!</definedName>
    <definedName name="T_ACUMULADO_APP_SHEL_BOXES" localSheetId="4">#REF!</definedName>
    <definedName name="T_ACUMULADO_APP_SHEL_BOXES" localSheetId="6">#REF!</definedName>
    <definedName name="T_ACUMULADO_APP_SHEL_BOXES">#REF!</definedName>
    <definedName name="T_ACUMULADO_APP_SHOP" localSheetId="2">#REF!</definedName>
    <definedName name="T_ACUMULADO_APP_SHOP" localSheetId="3">#REF!</definedName>
    <definedName name="T_ACUMULADO_APP_SHOP" localSheetId="4">#REF!</definedName>
    <definedName name="T_ACUMULADO_APP_SHOP" localSheetId="6">#REF!</definedName>
    <definedName name="T_ACUMULADO_APP_SHOP">#REF!</definedName>
    <definedName name="T_ACUMULADO_APP_TC" localSheetId="2">#REF!</definedName>
    <definedName name="T_ACUMULADO_APP_TC" localSheetId="3">#REF!</definedName>
    <definedName name="T_ACUMULADO_APP_TC" localSheetId="4">#REF!</definedName>
    <definedName name="T_ACUMULADO_APP_TC" localSheetId="6">#REF!</definedName>
    <definedName name="T_ACUMULADO_APP_TC">#REF!</definedName>
    <definedName name="T_ACUMULADO_APP_TC_CASH" localSheetId="2">#REF!</definedName>
    <definedName name="T_ACUMULADO_APP_TC_CASH" localSheetId="3">#REF!</definedName>
    <definedName name="T_ACUMULADO_APP_TC_CASH" localSheetId="4">#REF!</definedName>
    <definedName name="T_ACUMULADO_APP_TC_CASH" localSheetId="6">#REF!</definedName>
    <definedName name="T_ACUMULADO_APP_TC_CASH">#REF!</definedName>
    <definedName name="T_ACUMULADO_APP_TIPS" localSheetId="2">#REF!</definedName>
    <definedName name="T_ACUMULADO_APP_TIPS" localSheetId="3">#REF!</definedName>
    <definedName name="T_ACUMULADO_APP_TIPS" localSheetId="4">#REF!</definedName>
    <definedName name="T_ACUMULADO_APP_TIPS" localSheetId="6">#REF!</definedName>
    <definedName name="T_ACUMULADO_APP_TIPS">#REF!</definedName>
    <definedName name="T_ACUMULADO_APP_TOTAL" localSheetId="2">#REF!</definedName>
    <definedName name="T_ACUMULADO_APP_TOTAL" localSheetId="3">#REF!</definedName>
    <definedName name="T_ACUMULADO_APP_TOTAL" localSheetId="4">#REF!</definedName>
    <definedName name="T_ACUMULADO_APP_TOTAL" localSheetId="6">#REF!</definedName>
    <definedName name="T_ACUMULADO_APP_TOTAL">#REF!</definedName>
    <definedName name="T_ACUMULADO_APP_TOTAL_PAID" localSheetId="2">#REF!</definedName>
    <definedName name="T_ACUMULADO_APP_TOTAL_PAID" localSheetId="3">#REF!</definedName>
    <definedName name="T_ACUMULADO_APP_TOTAL_PAID" localSheetId="4">#REF!</definedName>
    <definedName name="T_ACUMULADO_APP_TOTAL_PAID" localSheetId="6">#REF!</definedName>
    <definedName name="T_ACUMULADO_APP_TOTAL_PAID">#REF!</definedName>
    <definedName name="T_ACUMULADO_APP_TOTAL_VAT" localSheetId="2">#REF!</definedName>
    <definedName name="T_ACUMULADO_APP_TOTAL_VAT" localSheetId="3">#REF!</definedName>
    <definedName name="T_ACUMULADO_APP_TOTAL_VAT" localSheetId="4">#REF!</definedName>
    <definedName name="T_ACUMULADO_APP_TOTAL_VAT" localSheetId="6">#REF!</definedName>
    <definedName name="T_ACUMULADO_APP_TOTAL_VAT">#REF!</definedName>
    <definedName name="T_ACUMULADO_APP_TRANSFER" localSheetId="2">#REF!</definedName>
    <definedName name="T_ACUMULADO_APP_TRANSFER" localSheetId="3">#REF!</definedName>
    <definedName name="T_ACUMULADO_APP_TRANSFER" localSheetId="4">#REF!</definedName>
    <definedName name="T_ACUMULADO_APP_TRANSFER" localSheetId="6">#REF!</definedName>
    <definedName name="T_ACUMULADO_APP_TRANSFER">#REF!</definedName>
    <definedName name="T_ACUMULADO_APP_UNITS_SHELLS" localSheetId="2">#REF!</definedName>
    <definedName name="T_ACUMULADO_APP_UNITS_SHELLS" localSheetId="3">#REF!</definedName>
    <definedName name="T_ACUMULADO_APP_UNITS_SHELLS" localSheetId="4">#REF!</definedName>
    <definedName name="T_ACUMULADO_APP_UNITS_SHELLS" localSheetId="6">#REF!</definedName>
    <definedName name="T_ACUMULADO_APP_UNITS_SHELLS">#REF!</definedName>
    <definedName name="T_ACUMULADO_ESTANCIAS_BAR" localSheetId="2">'DELTA LODGE'!#REF!</definedName>
    <definedName name="T_ACUMULADO_ESTANCIAS_BAR" localSheetId="3">'DELTA LODGE'!#REF!</definedName>
    <definedName name="T_ACUMULADO_ESTANCIAS_BAR" localSheetId="4">'DELTA LODGE'!#REF!</definedName>
    <definedName name="T_ACUMULADO_ESTANCIAS_BAR" localSheetId="6">'DELTA LODGE'!#REF!</definedName>
    <definedName name="T_ACUMULADO_ESTANCIAS_BAR">'DELTA LODGE'!#REF!</definedName>
    <definedName name="T_ACUMULADO_ESTANCIAS_BED_NIGHTS" localSheetId="2">'DELTA LODGE'!#REF!</definedName>
    <definedName name="T_ACUMULADO_ESTANCIAS_BED_NIGHTS" localSheetId="3">'DELTA LODGE'!#REF!</definedName>
    <definedName name="T_ACUMULADO_ESTANCIAS_BED_NIGHTS" localSheetId="4">'DELTA LODGE'!#REF!</definedName>
    <definedName name="T_ACUMULADO_ESTANCIAS_BED_NIGHTS" localSheetId="6">'DELTA LODGE'!#REF!</definedName>
    <definedName name="T_ACUMULADO_ESTANCIAS_BED_NIGHTS">'DELTA LODGE'!#REF!</definedName>
    <definedName name="T_ACUMULADO_ESTANCIAS_BN_LODGE">'DELTA LODGE'!$J$10:$J$81</definedName>
    <definedName name="T_ACUMULADO_ESTANCIAS_BN_VENTAS">'DELTA LODGE'!$K$10:$K$81</definedName>
    <definedName name="T_ACUMULADO_ESTANCIAS_DATOS">'DELTA LODGE'!$A$9:$V$81</definedName>
    <definedName name="T_ACUMULADO_ESTANCIAS_DONACION_CORDOBA_HOPE_PROJECT" localSheetId="2">'DELTA LODGE'!#REF!</definedName>
    <definedName name="T_ACUMULADO_ESTANCIAS_DONACION_CORDOBA_HOPE_PROJECT" localSheetId="3">'DELTA LODGE'!#REF!</definedName>
    <definedName name="T_ACUMULADO_ESTANCIAS_DONACION_CORDOBA_HOPE_PROJECT" localSheetId="4">'DELTA LODGE'!#REF!</definedName>
    <definedName name="T_ACUMULADO_ESTANCIAS_DONACION_CORDOBA_HOPE_PROJECT" localSheetId="6">'DELTA LODGE'!#REF!</definedName>
    <definedName name="T_ACUMULADO_ESTANCIAS_DONACION_CORDOBA_HOPE_PROJECT">'DELTA LODGE'!#REF!</definedName>
    <definedName name="T_ACUMULADO_ESTANCIAS_DONACION_ELITE_CLUB" localSheetId="2">'DELTA LODGE'!#REF!</definedName>
    <definedName name="T_ACUMULADO_ESTANCIAS_DONACION_ELITE_CLUB" localSheetId="3">'DELTA LODGE'!#REF!</definedName>
    <definedName name="T_ACUMULADO_ESTANCIAS_DONACION_ELITE_CLUB" localSheetId="4">'DELTA LODGE'!#REF!</definedName>
    <definedName name="T_ACUMULADO_ESTANCIAS_DONACION_ELITE_CLUB" localSheetId="6">'DELTA LODGE'!#REF!</definedName>
    <definedName name="T_ACUMULADO_ESTANCIAS_DONACION_ELITE_CLUB">'DELTA LODGE'!#REF!</definedName>
    <definedName name="T_ACUMULADO_ESTANCIAS_FECHA_APP">'DELTA LODGE'!$B$7</definedName>
    <definedName name="T_ACUMULADO_ESTANCIAS_FIELD_STAFF_TIPS" localSheetId="2">'DELTA LODGE'!#REF!</definedName>
    <definedName name="T_ACUMULADO_ESTANCIAS_FIELD_STAFF_TIPS" localSheetId="3">'DELTA LODGE'!#REF!</definedName>
    <definedName name="T_ACUMULADO_ESTANCIAS_FIELD_STAFF_TIPS" localSheetId="4">'DELTA LODGE'!#REF!</definedName>
    <definedName name="T_ACUMULADO_ESTANCIAS_FIELD_STAFF_TIPS" localSheetId="6">'DELTA LODGE'!#REF!</definedName>
    <definedName name="T_ACUMULADO_ESTANCIAS_FIELD_STAFF_TIPS">'DELTA LODGE'!#REF!</definedName>
    <definedName name="T_ACUMULADO_ESTANCIAS_LODGE_SELECCIONADO">'DELTA LODGE'!$A$4</definedName>
    <definedName name="T_ACUMULADO_ESTANCIAS_LODGE_VENTAS_SELECCIONADO">'DELTA LODGE'!$A$3</definedName>
    <definedName name="T_ACUMULADO_ESTANCIAS_PAX_LODGE">'DELTA LODGE'!$G$10:$G$81</definedName>
    <definedName name="T_ACUMULADO_ESTANCIAS_PAX_VENTAS">'DELTA LODGE'!$H$10:$H$81</definedName>
    <definedName name="T_ACUMULADO_ESTANCIAS_TEMPORADA">'DELTA LODGE'!$B$4</definedName>
    <definedName name="T_EXTRAS_APP_GROUP_Y_NEW_CATEGORY_TO_SHELL_BOXES_PP" localSheetId="2">#REF!</definedName>
    <definedName name="T_EXTRAS_APP_GROUP_Y_NEW_CATEGORY_TO_SHELL_BOXES_PP" localSheetId="3">#REF!</definedName>
    <definedName name="T_EXTRAS_APP_GROUP_Y_NEW_CATEGORY_TO_SHELL_BOXES_PP" localSheetId="4">#REF!</definedName>
    <definedName name="T_EXTRAS_APP_GROUP_Y_NEW_CATEGORY_TO_SHELL_BOXES_PP" localSheetId="6">#REF!</definedName>
    <definedName name="T_EXTRAS_APP_GROUP_Y_NEW_CATEGORY_TO_SHELL_BOXES_PP">#REF!</definedName>
    <definedName name="T_EXTRAS_APP_IDEM_SALES" localSheetId="2">#REF!</definedName>
    <definedName name="T_EXTRAS_APP_IDEM_SALES" localSheetId="3">#REF!</definedName>
    <definedName name="T_EXTRAS_APP_IDEM_SALES" localSheetId="4">#REF!</definedName>
    <definedName name="T_EXTRAS_APP_IDEM_SALES" localSheetId="6">#REF!</definedName>
    <definedName name="T_EXTRAS_APP_IDEM_SALES">#REF!</definedName>
    <definedName name="T_EXTRAS_APP_LODGE_AND_NEW_CATEGORY_TO_END" localSheetId="2">#REF!</definedName>
    <definedName name="T_EXTRAS_APP_LODGE_AND_NEW_CATEGORY_TO_END" localSheetId="3">#REF!</definedName>
    <definedName name="T_EXTRAS_APP_LODGE_AND_NEW_CATEGORY_TO_END" localSheetId="4">#REF!</definedName>
    <definedName name="T_EXTRAS_APP_LODGE_AND_NEW_CATEGORY_TO_END" localSheetId="6">#REF!</definedName>
    <definedName name="T_EXTRAS_APP_LODGE_AND_NEW_CATEGORY_TO_END">#REF!</definedName>
    <definedName name="T_EXTRAS_APP_SHELL_BOXES_PP" localSheetId="2">#REF!</definedName>
    <definedName name="T_EXTRAS_APP_SHELL_BOXES_PP" localSheetId="3">#REF!</definedName>
    <definedName name="T_EXTRAS_APP_SHELL_BOXES_PP" localSheetId="4">#REF!</definedName>
    <definedName name="T_EXTRAS_APP_SHELL_BOXES_PP" localSheetId="6">#REF!</definedName>
    <definedName name="T_EXTRAS_APP_SHELL_BOXES_PP">#REF!</definedName>
    <definedName name="T_EXTRAS_APP_SHELL_BOXES_Q" localSheetId="2">#REF!</definedName>
    <definedName name="T_EXTRAS_APP_SHELL_BOXES_Q" localSheetId="3">#REF!</definedName>
    <definedName name="T_EXTRAS_APP_SHELL_BOXES_Q" localSheetId="4">#REF!</definedName>
    <definedName name="T_EXTRAS_APP_SHELL_BOXES_Q" localSheetId="6">#REF!</definedName>
    <definedName name="T_EXTRAS_APP_SHELL_BOXES_Q">#REF!</definedName>
    <definedName name="T_LODGE" localSheetId="2">#REF!</definedName>
    <definedName name="T_LODGE" localSheetId="3">#REF!</definedName>
    <definedName name="T_LODGE" localSheetId="4">#REF!</definedName>
    <definedName name="T_LODGE" localSheetId="6">#REF!</definedName>
    <definedName name="T_LODGE">#REF!</definedName>
    <definedName name="T_SINO" localSheetId="2">#REF!</definedName>
    <definedName name="T_SINO" localSheetId="3">#REF!</definedName>
    <definedName name="T_SINO" localSheetId="4">#REF!</definedName>
    <definedName name="T_SINO" localSheetId="6">#REF!</definedName>
    <definedName name="T_SINO">#REF!</definedName>
    <definedName name="T_STATUS_VENTAS" localSheetId="2">#REF!</definedName>
    <definedName name="T_STATUS_VENTAS" localSheetId="3">#REF!</definedName>
    <definedName name="T_STATUS_VENTAS" localSheetId="4">#REF!</definedName>
    <definedName name="T_STATUS_VENTAS" localSheetId="6">#REF!</definedName>
    <definedName name="T_STATUS_VENTAS">#REF!</definedName>
    <definedName name="T_TABLAS_ACUMULADOS_X_LODGE" localSheetId="2">#REF!</definedName>
    <definedName name="T_TABLAS_ACUMULADOS_X_LODGE" localSheetId="3">#REF!</definedName>
    <definedName name="T_TABLAS_ACUMULADOS_X_LODGE" localSheetId="4">#REF!</definedName>
    <definedName name="T_TABLAS_ACUMULADOS_X_LODGE" localSheetId="6">#REF!</definedName>
    <definedName name="T_TABLAS_ACUMULADOS_X_LODGE">#REF!</definedName>
    <definedName name="T_TABLAS_ACUMULADOS_X_LODGE_NOMBRE_VENTAS" localSheetId="2">#REF!</definedName>
    <definedName name="T_TABLAS_ACUMULADOS_X_LODGE_NOMBRE_VENTAS" localSheetId="3">#REF!</definedName>
    <definedName name="T_TABLAS_ACUMULADOS_X_LODGE_NOMBRE_VENTAS" localSheetId="4">#REF!</definedName>
    <definedName name="T_TABLAS_ACUMULADOS_X_LODGE_NOMBRE_VENTAS" localSheetId="6">#REF!</definedName>
    <definedName name="T_TABLAS_ACUMULADOS_X_LODGE_NOMBRE_VENTAS">#REF!</definedName>
    <definedName name="T_TABLAS_CONVERSION_NOMBRE_LOGDE_APP_VENTAS" localSheetId="2">#REF!</definedName>
    <definedName name="T_TABLAS_CONVERSION_NOMBRE_LOGDE_APP_VENTAS" localSheetId="3">#REF!</definedName>
    <definedName name="T_TABLAS_CONVERSION_NOMBRE_LOGDE_APP_VENTAS" localSheetId="4">#REF!</definedName>
    <definedName name="T_TABLAS_CONVERSION_NOMBRE_LOGDE_APP_VENTAS" localSheetId="6">#REF!</definedName>
    <definedName name="T_TABLAS_CONVERSION_NOMBRE_LOGDE_APP_VENTAS">#REF!</definedName>
    <definedName name="T_TABLAS_TEMPORADAS" localSheetId="2">#REF!</definedName>
    <definedName name="T_TABLAS_TEMPORADAS" localSheetId="3">#REF!</definedName>
    <definedName name="T_TABLAS_TEMPORADAS" localSheetId="4">#REF!</definedName>
    <definedName name="T_TABLAS_TEMPORADAS" localSheetId="6">#REF!</definedName>
    <definedName name="T_TABLAS_TEMPORADAS">#REF!</definedName>
    <definedName name="T_VENTAS" localSheetId="2">#REF!</definedName>
    <definedName name="T_VENTAS" localSheetId="3">#REF!</definedName>
    <definedName name="T_VENTAS" localSheetId="4">#REF!</definedName>
    <definedName name="T_VENTAS" localSheetId="6">#REF!</definedName>
    <definedName name="T_VENTAS">#REF!</definedName>
    <definedName name="T_VENTAS_24_25_BN" localSheetId="2">#REF!</definedName>
    <definedName name="T_VENTAS_24_25_BN" localSheetId="3">#REF!</definedName>
    <definedName name="T_VENTAS_24_25_BN" localSheetId="4">#REF!</definedName>
    <definedName name="T_VENTAS_24_25_BN" localSheetId="6">#REF!</definedName>
    <definedName name="T_VENTAS_24_25_BN">#REF!</definedName>
    <definedName name="T_VENTAS_24_25_BN_CERRADAS" localSheetId="2">#REF!</definedName>
    <definedName name="T_VENTAS_24_25_BN_CERRADAS" localSheetId="3">#REF!</definedName>
    <definedName name="T_VENTAS_24_25_BN_CERRADAS" localSheetId="4">#REF!</definedName>
    <definedName name="T_VENTAS_24_25_BN_CERRADAS" localSheetId="6">#REF!</definedName>
    <definedName name="T_VENTAS_24_25_BN_CERRADAS">#REF!</definedName>
    <definedName name="T_VENTAS_24_25_BY_LODGE_TO_BN" localSheetId="2">#REF!</definedName>
    <definedName name="T_VENTAS_24_25_BY_LODGE_TO_BN" localSheetId="3">#REF!</definedName>
    <definedName name="T_VENTAS_24_25_BY_LODGE_TO_BN" localSheetId="4">#REF!</definedName>
    <definedName name="T_VENTAS_24_25_BY_LODGE_TO_BN" localSheetId="6">#REF!</definedName>
    <definedName name="T_VENTAS_24_25_BY_LODGE_TO_BN">#REF!</definedName>
    <definedName name="T_VENTAS_24_25_FULL_BY_GROUP_CODE" localSheetId="2">#REF!</definedName>
    <definedName name="T_VENTAS_24_25_FULL_BY_GROUP_CODE" localSheetId="3">#REF!</definedName>
    <definedName name="T_VENTAS_24_25_FULL_BY_GROUP_CODE" localSheetId="4">#REF!</definedName>
    <definedName name="T_VENTAS_24_25_FULL_BY_GROUP_CODE" localSheetId="6">#REF!</definedName>
    <definedName name="T_VENTAS_24_25_FULL_BY_GROUP_CODE">#REF!</definedName>
    <definedName name="T_VENTAS_24_25_FULL_BY_LODGE" localSheetId="2">#REF!</definedName>
    <definedName name="T_VENTAS_24_25_FULL_BY_LODGE" localSheetId="3">#REF!</definedName>
    <definedName name="T_VENTAS_24_25_FULL_BY_LODGE" localSheetId="4">#REF!</definedName>
    <definedName name="T_VENTAS_24_25_FULL_BY_LODGE" localSheetId="6">#REF!</definedName>
    <definedName name="T_VENTAS_24_25_FULL_BY_LODGE">#REF!</definedName>
    <definedName name="T_VENTAS_24_25_PAX" localSheetId="2">#REF!</definedName>
    <definedName name="T_VENTAS_24_25_PAX" localSheetId="3">#REF!</definedName>
    <definedName name="T_VENTAS_24_25_PAX" localSheetId="4">#REF!</definedName>
    <definedName name="T_VENTAS_24_25_PAX" localSheetId="6">#REF!</definedName>
    <definedName name="T_VENTAS_24_25_PAX">#REF!</definedName>
    <definedName name="T_VENTAS_24_25_PAX_CERRADAS" localSheetId="2">#REF!</definedName>
    <definedName name="T_VENTAS_24_25_PAX_CERRADAS" localSheetId="3">#REF!</definedName>
    <definedName name="T_VENTAS_24_25_PAX_CERRADAS" localSheetId="4">#REF!</definedName>
    <definedName name="T_VENTAS_24_25_PAX_CERRADAS" localSheetId="6">#REF!</definedName>
    <definedName name="T_VENTAS_24_25_PAX_CERRADAS">#REF!</definedName>
    <definedName name="T_VENTAS_25_26_BN" localSheetId="2">#REF!</definedName>
    <definedName name="T_VENTAS_25_26_BN" localSheetId="3">#REF!</definedName>
    <definedName name="T_VENTAS_25_26_BN" localSheetId="4">#REF!</definedName>
    <definedName name="T_VENTAS_25_26_BN" localSheetId="6">#REF!</definedName>
    <definedName name="T_VENTAS_25_26_BN">#REF!</definedName>
    <definedName name="T_VENTAS_25_26_BN_CERRADAS" localSheetId="2">#REF!</definedName>
    <definedName name="T_VENTAS_25_26_BN_CERRADAS" localSheetId="3">#REF!</definedName>
    <definedName name="T_VENTAS_25_26_BN_CERRADAS" localSheetId="4">#REF!</definedName>
    <definedName name="T_VENTAS_25_26_BN_CERRADAS" localSheetId="6">#REF!</definedName>
    <definedName name="T_VENTAS_25_26_BN_CERRADAS">#REF!</definedName>
    <definedName name="T_VENTAS_25_26_BY_LODGE_TO_BN" localSheetId="2">#REF!</definedName>
    <definedName name="T_VENTAS_25_26_BY_LODGE_TO_BN" localSheetId="3">#REF!</definedName>
    <definedName name="T_VENTAS_25_26_BY_LODGE_TO_BN" localSheetId="4">#REF!</definedName>
    <definedName name="T_VENTAS_25_26_BY_LODGE_TO_BN" localSheetId="6">#REF!</definedName>
    <definedName name="T_VENTAS_25_26_BY_LODGE_TO_BN">#REF!</definedName>
    <definedName name="T_VENTAS_25_26_FULL_BY_GROUP_CODE" localSheetId="2">#REF!</definedName>
    <definedName name="T_VENTAS_25_26_FULL_BY_GROUP_CODE" localSheetId="3">#REF!</definedName>
    <definedName name="T_VENTAS_25_26_FULL_BY_GROUP_CODE" localSheetId="4">#REF!</definedName>
    <definedName name="T_VENTAS_25_26_FULL_BY_GROUP_CODE" localSheetId="6">#REF!</definedName>
    <definedName name="T_VENTAS_25_26_FULL_BY_GROUP_CODE">#REF!</definedName>
    <definedName name="T_VENTAS_25_26_FULL_BY_LODGE" localSheetId="2">#REF!</definedName>
    <definedName name="T_VENTAS_25_26_FULL_BY_LODGE" localSheetId="3">#REF!</definedName>
    <definedName name="T_VENTAS_25_26_FULL_BY_LODGE" localSheetId="4">#REF!</definedName>
    <definedName name="T_VENTAS_25_26_FULL_BY_LODGE" localSheetId="6">#REF!</definedName>
    <definedName name="T_VENTAS_25_26_FULL_BY_LODGE">#REF!</definedName>
    <definedName name="T_VENTAS_25_26_PAX" localSheetId="2">#REF!</definedName>
    <definedName name="T_VENTAS_25_26_PAX" localSheetId="3">#REF!</definedName>
    <definedName name="T_VENTAS_25_26_PAX" localSheetId="4">#REF!</definedName>
    <definedName name="T_VENTAS_25_26_PAX" localSheetId="6">#REF!</definedName>
    <definedName name="T_VENTAS_25_26_PAX">#REF!</definedName>
    <definedName name="T_VENTAS_25_26_PAX_CERRADAS" localSheetId="2">#REF!</definedName>
    <definedName name="T_VENTAS_25_26_PAX_CERRADAS" localSheetId="3">#REF!</definedName>
    <definedName name="T_VENTAS_25_26_PAX_CERRADAS" localSheetId="4">#REF!</definedName>
    <definedName name="T_VENTAS_25_26_PAX_CERRADAS" localSheetId="6">#REF!</definedName>
    <definedName name="T_VENTAS_25_26_PAX_CERRADAS">#REF!</definedName>
    <definedName name="TablaLodges" localSheetId="1">#REF!</definedName>
    <definedName name="TablaLodges" localSheetId="2">#REF!</definedName>
    <definedName name="TablaLodges" localSheetId="3">#REF!</definedName>
    <definedName name="TablaLodges" localSheetId="4">#REF!</definedName>
    <definedName name="TablaLodges" localSheetId="6">#REF!</definedName>
    <definedName name="TablaLodges">#REF!</definedName>
    <definedName name="TablaSociedades" localSheetId="1">#REF!</definedName>
    <definedName name="TablaSociedades" localSheetId="2">#REF!</definedName>
    <definedName name="TablaSociedades" localSheetId="3">#REF!</definedName>
    <definedName name="TablaSociedades" localSheetId="4">#REF!</definedName>
    <definedName name="TablaSociedades" localSheetId="6">#REF!</definedName>
    <definedName name="TablaSociedades">#REF!</definedName>
    <definedName name="_xlnm.Print_Titles" localSheetId="9">'Budget Comparativo'!$B:$C,'Budget Comparativo'!$2:$7</definedName>
    <definedName name="Total_Sales__quantity" localSheetId="1">#REF!</definedName>
    <definedName name="Total_Sales__quantity" localSheetId="2">#REF!</definedName>
    <definedName name="Total_Sales__quantity" localSheetId="3">#REF!</definedName>
    <definedName name="Total_Sales__quantity" localSheetId="4">#REF!</definedName>
    <definedName name="Total_Sales__quantity" localSheetId="6">#REF!</definedName>
    <definedName name="Total_Sales__quantity">#REF!</definedName>
    <definedName name="Uniona" localSheetId="9">#REF!</definedName>
    <definedName name="Uniona" localSheetId="1">#REF!</definedName>
    <definedName name="Uniona" localSheetId="2">#REF!</definedName>
    <definedName name="Uniona" localSheetId="3">#REF!</definedName>
    <definedName name="Uniona" localSheetId="4">#REF!</definedName>
    <definedName name="Uniona" localSheetId="6">#REF!</definedName>
    <definedName name="Uniona">#REF!</definedName>
    <definedName name="usd" localSheetId="2">#REF!</definedName>
    <definedName name="usd" localSheetId="3">#REF!</definedName>
    <definedName name="usd" localSheetId="4">#REF!</definedName>
    <definedName name="usd" localSheetId="6">#REF!</definedName>
    <definedName name="usd">#REF!</definedName>
    <definedName name="VarLodges" localSheetId="1">#REF!</definedName>
    <definedName name="VarLodges" localSheetId="2">#REF!</definedName>
    <definedName name="VarLodges" localSheetId="3">#REF!</definedName>
    <definedName name="VarLodges" localSheetId="4">#REF!</definedName>
    <definedName name="VarLodges" localSheetId="6">#REF!</definedName>
    <definedName name="VarLodges">#REF!</definedName>
    <definedName name="wrn.balance._.detallado." hidden="1">{#N/A,#N/A,FALSE,"11) Det. Balance"}</definedName>
    <definedName name="wrn.Informe._.de._.Caja._.semanal." localSheetId="9" hidden="1">{"Informe de Caja",#N/A,FALSE,"Caja"}</definedName>
    <definedName name="wrn.Informe._.de._.Caja._.semanal." hidden="1">{"Informe de Caja",#N/A,FALSE,"Caja"}</definedName>
    <definedName name="wrn.Informe._.Presupuesto._.vs._.Real." localSheetId="9" hidden="1">{"Informe Presupuesto",#N/A,FALSE,"Presupuesto"}</definedName>
    <definedName name="wrn.Informe._.Presupuesto._.vs._.Real." hidden="1">{"Informe Presupuesto",#N/A,FALSE,"Presupuesto"}</definedName>
    <definedName name="wrn.Resumen._.de._.Gastos._.por._.semana." localSheetId="9" hidden="1">{"Informe de Gastos",#N/A,FALSE,"Informe Gastos"}</definedName>
    <definedName name="wrn.Resumen._.de._.Gastos._.por._.semana." hidden="1">{"Informe de Gastos",#N/A,FALSE,"Informe Gastos"}</definedName>
    <definedName name="wrn.Resumen._.de._.Ingresos._.por._.Semana." localSheetId="9" hidden="1">{"Resumen de Ingresos",#N/A,FALSE,"Informe Ingresos"}</definedName>
    <definedName name="wrn.Resumen._.de._.Ingresos._.por._.Semana." hidden="1">{"Resumen de Ingresos",#N/A,FALSE,"Informe Ingresos"}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9" i="72" l="1"/>
  <c r="H68" i="72"/>
  <c r="I69" i="72" l="1"/>
  <c r="I68" i="72"/>
  <c r="H65" i="72"/>
  <c r="H64" i="72"/>
  <c r="H63" i="72"/>
  <c r="H62" i="72"/>
  <c r="H61" i="72"/>
  <c r="H60" i="72"/>
  <c r="H59" i="72"/>
  <c r="H58" i="72"/>
  <c r="H57" i="72"/>
  <c r="H56" i="72"/>
  <c r="H55" i="72"/>
  <c r="H54" i="72"/>
  <c r="H53" i="72"/>
  <c r="H52" i="72"/>
  <c r="H51" i="72"/>
  <c r="H50" i="72"/>
  <c r="H49" i="72"/>
  <c r="H48" i="72"/>
  <c r="H47" i="72"/>
  <c r="H46" i="72"/>
  <c r="H45" i="72"/>
  <c r="H44" i="72"/>
  <c r="H43" i="72"/>
  <c r="H42" i="72"/>
  <c r="H41" i="72"/>
  <c r="H40" i="72"/>
  <c r="H39" i="72"/>
  <c r="H38" i="72"/>
  <c r="H37" i="72"/>
  <c r="H36" i="72"/>
  <c r="H35" i="72"/>
  <c r="H34" i="72"/>
  <c r="H33" i="72"/>
  <c r="H32" i="72"/>
  <c r="H31" i="72"/>
  <c r="H30" i="72"/>
  <c r="H29" i="72"/>
  <c r="H28" i="72"/>
  <c r="H27" i="72"/>
  <c r="H26" i="72"/>
  <c r="H25" i="72"/>
  <c r="H24" i="72"/>
  <c r="H23" i="72"/>
  <c r="H22" i="72"/>
  <c r="H21" i="72"/>
  <c r="H20" i="72"/>
  <c r="H19" i="72"/>
  <c r="H18" i="72"/>
  <c r="H17" i="72"/>
  <c r="AA28" i="5" s="1"/>
  <c r="H16" i="72"/>
  <c r="H15" i="72"/>
  <c r="H14" i="72"/>
  <c r="H13" i="72"/>
  <c r="H12" i="72"/>
  <c r="AA24" i="5" s="1"/>
  <c r="H11" i="72"/>
  <c r="AA42" i="5"/>
  <c r="AA34" i="5"/>
  <c r="AA27" i="5"/>
  <c r="AA22" i="5"/>
  <c r="AA20" i="5"/>
  <c r="AA19" i="5"/>
  <c r="AA18" i="5"/>
  <c r="AA16" i="5"/>
  <c r="AA14" i="5"/>
  <c r="AA12" i="5"/>
  <c r="AA11" i="5"/>
  <c r="AA10" i="5"/>
  <c r="AA9" i="5"/>
  <c r="AA8" i="5"/>
  <c r="Z65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J9" i="72"/>
  <c r="I9" i="72"/>
  <c r="H9" i="72"/>
  <c r="E9" i="72"/>
  <c r="B9" i="72"/>
  <c r="J7" i="72"/>
  <c r="I7" i="72"/>
  <c r="H129" i="71"/>
  <c r="H128" i="71"/>
  <c r="H127" i="71"/>
  <c r="H126" i="71"/>
  <c r="H125" i="71"/>
  <c r="H124" i="71"/>
  <c r="H123" i="71"/>
  <c r="H122" i="71"/>
  <c r="H121" i="71"/>
  <c r="H120" i="71"/>
  <c r="H119" i="71"/>
  <c r="H118" i="71"/>
  <c r="H117" i="71"/>
  <c r="H116" i="71"/>
  <c r="H115" i="71"/>
  <c r="H114" i="71"/>
  <c r="H113" i="71"/>
  <c r="H112" i="71"/>
  <c r="H111" i="71"/>
  <c r="H110" i="71"/>
  <c r="H109" i="71"/>
  <c r="H108" i="71"/>
  <c r="H107" i="71"/>
  <c r="H106" i="71"/>
  <c r="H105" i="71"/>
  <c r="H104" i="71"/>
  <c r="H103" i="71"/>
  <c r="H102" i="71"/>
  <c r="H101" i="71"/>
  <c r="H100" i="71"/>
  <c r="H99" i="71"/>
  <c r="H98" i="71"/>
  <c r="H97" i="71"/>
  <c r="H96" i="71"/>
  <c r="H95" i="71"/>
  <c r="H94" i="71"/>
  <c r="H93" i="71"/>
  <c r="H92" i="71"/>
  <c r="H91" i="71"/>
  <c r="H90" i="71"/>
  <c r="H89" i="71"/>
  <c r="H88" i="71"/>
  <c r="H87" i="71"/>
  <c r="H86" i="71"/>
  <c r="H85" i="71"/>
  <c r="H84" i="71"/>
  <c r="H83" i="71"/>
  <c r="H82" i="71"/>
  <c r="H81" i="71"/>
  <c r="H80" i="71"/>
  <c r="H79" i="71"/>
  <c r="H78" i="71"/>
  <c r="H77" i="71"/>
  <c r="H76" i="71"/>
  <c r="H75" i="71"/>
  <c r="H74" i="71"/>
  <c r="H73" i="71"/>
  <c r="H72" i="71"/>
  <c r="H71" i="71"/>
  <c r="H70" i="71"/>
  <c r="H69" i="71"/>
  <c r="H68" i="71"/>
  <c r="H67" i="71"/>
  <c r="H66" i="71"/>
  <c r="H65" i="71"/>
  <c r="H64" i="71"/>
  <c r="H63" i="71"/>
  <c r="H62" i="71"/>
  <c r="H61" i="71"/>
  <c r="H60" i="71"/>
  <c r="H59" i="71"/>
  <c r="H58" i="71"/>
  <c r="H57" i="71"/>
  <c r="H56" i="71"/>
  <c r="H55" i="71"/>
  <c r="H54" i="71"/>
  <c r="H53" i="71"/>
  <c r="H52" i="71"/>
  <c r="H51" i="71"/>
  <c r="H50" i="71"/>
  <c r="H49" i="71"/>
  <c r="H48" i="7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H18" i="71"/>
  <c r="H17" i="71"/>
  <c r="H16" i="71"/>
  <c r="H15" i="71"/>
  <c r="H14" i="71"/>
  <c r="H13" i="71"/>
  <c r="H12" i="71"/>
  <c r="H11" i="71"/>
  <c r="I7" i="71"/>
  <c r="J9" i="71"/>
  <c r="I9" i="71"/>
  <c r="H9" i="71"/>
  <c r="E9" i="71"/>
  <c r="B9" i="71"/>
  <c r="J7" i="71"/>
  <c r="H135" i="70"/>
  <c r="H134" i="70"/>
  <c r="H133" i="70"/>
  <c r="H132" i="70"/>
  <c r="H131" i="70"/>
  <c r="H130" i="70"/>
  <c r="H129" i="70"/>
  <c r="H128" i="70"/>
  <c r="H127" i="70"/>
  <c r="H126" i="70"/>
  <c r="H125" i="70"/>
  <c r="H124" i="70"/>
  <c r="H123" i="70"/>
  <c r="H122" i="70"/>
  <c r="H121" i="70"/>
  <c r="H120" i="70"/>
  <c r="H119" i="70"/>
  <c r="H118" i="70"/>
  <c r="H117" i="70"/>
  <c r="H116" i="70"/>
  <c r="H115" i="70"/>
  <c r="H114" i="70"/>
  <c r="H113" i="70"/>
  <c r="H112" i="70"/>
  <c r="H111" i="70"/>
  <c r="H110" i="70"/>
  <c r="H109" i="70"/>
  <c r="H108" i="70"/>
  <c r="H107" i="70"/>
  <c r="H106" i="70"/>
  <c r="H105" i="70"/>
  <c r="H104" i="70"/>
  <c r="H103" i="70"/>
  <c r="H102" i="70"/>
  <c r="H101" i="70"/>
  <c r="H100" i="70"/>
  <c r="H99" i="70"/>
  <c r="H98" i="70"/>
  <c r="H97" i="70"/>
  <c r="H96" i="70"/>
  <c r="H95" i="70"/>
  <c r="H94" i="70"/>
  <c r="H93" i="70"/>
  <c r="H92" i="70"/>
  <c r="H91" i="70"/>
  <c r="H90" i="70"/>
  <c r="H89" i="70"/>
  <c r="H88" i="70"/>
  <c r="H87" i="70"/>
  <c r="H86" i="70"/>
  <c r="H85" i="70"/>
  <c r="H84" i="70"/>
  <c r="H83" i="70"/>
  <c r="H82" i="70"/>
  <c r="H81" i="70"/>
  <c r="H80" i="70"/>
  <c r="H79" i="70"/>
  <c r="H78" i="70"/>
  <c r="H77" i="70"/>
  <c r="H76" i="70"/>
  <c r="H75" i="70"/>
  <c r="H74" i="70"/>
  <c r="H73" i="70"/>
  <c r="H72" i="70"/>
  <c r="H71" i="70"/>
  <c r="H70" i="70"/>
  <c r="H69" i="70"/>
  <c r="H68" i="70"/>
  <c r="H67" i="70"/>
  <c r="H66" i="70"/>
  <c r="H65" i="70"/>
  <c r="H64" i="70"/>
  <c r="H63" i="70"/>
  <c r="H62" i="70"/>
  <c r="H61" i="70"/>
  <c r="H60" i="70"/>
  <c r="H59" i="70"/>
  <c r="H58" i="70"/>
  <c r="H57" i="70"/>
  <c r="H56" i="70"/>
  <c r="H55" i="70"/>
  <c r="H54" i="70"/>
  <c r="H53" i="70"/>
  <c r="H52" i="70"/>
  <c r="H51" i="70"/>
  <c r="H50" i="70"/>
  <c r="H49" i="70"/>
  <c r="H48" i="70"/>
  <c r="H47" i="70"/>
  <c r="H46" i="70"/>
  <c r="H45" i="70"/>
  <c r="H44" i="70"/>
  <c r="H43" i="70"/>
  <c r="H42" i="70"/>
  <c r="H41" i="70"/>
  <c r="H40" i="70"/>
  <c r="H39" i="70"/>
  <c r="H38" i="70"/>
  <c r="H37" i="70"/>
  <c r="H36" i="70"/>
  <c r="H35" i="70"/>
  <c r="H34" i="70"/>
  <c r="H33" i="70"/>
  <c r="H32" i="70"/>
  <c r="H31" i="70"/>
  <c r="H30" i="70"/>
  <c r="H29" i="70"/>
  <c r="H28" i="70"/>
  <c r="H27" i="70"/>
  <c r="H26" i="70"/>
  <c r="H25" i="70"/>
  <c r="H24" i="70"/>
  <c r="H23" i="70"/>
  <c r="H22" i="70"/>
  <c r="H21" i="70"/>
  <c r="H20" i="70"/>
  <c r="H19" i="70"/>
  <c r="H18" i="70"/>
  <c r="H17" i="70"/>
  <c r="H16" i="70"/>
  <c r="H15" i="70"/>
  <c r="H14" i="70"/>
  <c r="H13" i="70"/>
  <c r="I7" i="70"/>
  <c r="J9" i="70"/>
  <c r="I9" i="70"/>
  <c r="H9" i="70"/>
  <c r="E9" i="70"/>
  <c r="B9" i="70"/>
  <c r="J7" i="70"/>
  <c r="H256" i="69"/>
  <c r="H255" i="69"/>
  <c r="H254" i="69"/>
  <c r="I158" i="69"/>
  <c r="I157" i="69"/>
  <c r="H158" i="69"/>
  <c r="J43" i="69"/>
  <c r="I43" i="69" s="1"/>
  <c r="I263" i="69"/>
  <c r="AA26" i="5" l="1"/>
  <c r="AA17" i="5"/>
  <c r="AA36" i="5"/>
  <c r="AA44" i="5"/>
  <c r="AA56" i="5"/>
  <c r="AA35" i="5"/>
  <c r="AA46" i="5"/>
  <c r="AA48" i="5"/>
  <c r="AA32" i="5"/>
  <c r="AA25" i="5"/>
  <c r="AA33" i="5"/>
  <c r="AA43" i="5"/>
  <c r="Z64" i="5"/>
  <c r="AA13" i="5"/>
  <c r="AA21" i="5"/>
  <c r="AA29" i="5"/>
  <c r="AA37" i="5"/>
  <c r="AA51" i="5"/>
  <c r="AA30" i="5"/>
  <c r="AA39" i="5"/>
  <c r="AA53" i="5"/>
  <c r="Z66" i="5"/>
  <c r="Z5" i="5" s="1"/>
  <c r="Z2" i="5" s="1"/>
  <c r="Z1" i="5" s="1"/>
  <c r="AA15" i="5"/>
  <c r="AA23" i="5"/>
  <c r="AA31" i="5"/>
  <c r="AA40" i="5"/>
  <c r="AA50" i="5"/>
  <c r="AA55" i="5"/>
  <c r="AA58" i="5"/>
  <c r="AA45" i="5"/>
  <c r="AA59" i="5"/>
  <c r="AA61" i="5"/>
  <c r="AA52" i="5"/>
  <c r="AA62" i="5"/>
  <c r="AA63" i="5"/>
  <c r="AA54" i="5"/>
  <c r="AA64" i="5"/>
  <c r="AA66" i="5"/>
  <c r="AA38" i="5"/>
  <c r="AA47" i="5"/>
  <c r="X63" i="5"/>
  <c r="X38" i="5"/>
  <c r="AA65" i="5"/>
  <c r="AA60" i="5"/>
  <c r="AA41" i="5"/>
  <c r="AA49" i="5"/>
  <c r="AA57" i="5"/>
  <c r="G7" i="72"/>
  <c r="U66" i="5"/>
  <c r="W8" i="5"/>
  <c r="W12" i="5"/>
  <c r="W16" i="5"/>
  <c r="W20" i="5"/>
  <c r="W24" i="5"/>
  <c r="W28" i="5"/>
  <c r="W32" i="5"/>
  <c r="W36" i="5"/>
  <c r="W40" i="5"/>
  <c r="W44" i="5"/>
  <c r="W48" i="5"/>
  <c r="W52" i="5"/>
  <c r="W56" i="5"/>
  <c r="W60" i="5"/>
  <c r="W64" i="5"/>
  <c r="X8" i="5"/>
  <c r="X12" i="5"/>
  <c r="X16" i="5"/>
  <c r="X20" i="5"/>
  <c r="X24" i="5"/>
  <c r="X28" i="5"/>
  <c r="X32" i="5"/>
  <c r="X36" i="5"/>
  <c r="X40" i="5"/>
  <c r="X44" i="5"/>
  <c r="X48" i="5"/>
  <c r="X52" i="5"/>
  <c r="X56" i="5"/>
  <c r="X60" i="5"/>
  <c r="X64" i="5"/>
  <c r="W9" i="5"/>
  <c r="W13" i="5"/>
  <c r="W17" i="5"/>
  <c r="W21" i="5"/>
  <c r="W25" i="5"/>
  <c r="W29" i="5"/>
  <c r="W33" i="5"/>
  <c r="W37" i="5"/>
  <c r="W41" i="5"/>
  <c r="W45" i="5"/>
  <c r="W49" i="5"/>
  <c r="W53" i="5"/>
  <c r="W57" i="5"/>
  <c r="W61" i="5"/>
  <c r="W65" i="5"/>
  <c r="X9" i="5"/>
  <c r="X13" i="5"/>
  <c r="X17" i="5"/>
  <c r="X21" i="5"/>
  <c r="X25" i="5"/>
  <c r="X29" i="5"/>
  <c r="X33" i="5"/>
  <c r="X37" i="5"/>
  <c r="X41" i="5"/>
  <c r="X45" i="5"/>
  <c r="X49" i="5"/>
  <c r="X53" i="5"/>
  <c r="X57" i="5"/>
  <c r="X61" i="5"/>
  <c r="X65" i="5"/>
  <c r="W10" i="5"/>
  <c r="W14" i="5"/>
  <c r="W18" i="5"/>
  <c r="W22" i="5"/>
  <c r="W26" i="5"/>
  <c r="W30" i="5"/>
  <c r="W34" i="5"/>
  <c r="W38" i="5"/>
  <c r="W42" i="5"/>
  <c r="W46" i="5"/>
  <c r="W50" i="5"/>
  <c r="W54" i="5"/>
  <c r="W58" i="5"/>
  <c r="W62" i="5"/>
  <c r="W66" i="5"/>
  <c r="X10" i="5"/>
  <c r="X14" i="5"/>
  <c r="X18" i="5"/>
  <c r="X22" i="5"/>
  <c r="X26" i="5"/>
  <c r="X30" i="5"/>
  <c r="X34" i="5"/>
  <c r="X42" i="5"/>
  <c r="X46" i="5"/>
  <c r="X50" i="5"/>
  <c r="X54" i="5"/>
  <c r="X58" i="5"/>
  <c r="X62" i="5"/>
  <c r="X66" i="5"/>
  <c r="W11" i="5"/>
  <c r="W15" i="5"/>
  <c r="W19" i="5"/>
  <c r="W23" i="5"/>
  <c r="W27" i="5"/>
  <c r="W31" i="5"/>
  <c r="W35" i="5"/>
  <c r="W39" i="5"/>
  <c r="W43" i="5"/>
  <c r="W47" i="5"/>
  <c r="W51" i="5"/>
  <c r="W55" i="5"/>
  <c r="W59" i="5"/>
  <c r="W63" i="5"/>
  <c r="X11" i="5"/>
  <c r="X15" i="5"/>
  <c r="X19" i="5"/>
  <c r="X23" i="5"/>
  <c r="X27" i="5"/>
  <c r="X31" i="5"/>
  <c r="X35" i="5"/>
  <c r="X39" i="5"/>
  <c r="X43" i="5"/>
  <c r="X47" i="5"/>
  <c r="X51" i="5"/>
  <c r="X55" i="5"/>
  <c r="X59" i="5"/>
  <c r="G7" i="71"/>
  <c r="T22" i="5"/>
  <c r="U12" i="5"/>
  <c r="U20" i="5"/>
  <c r="U28" i="5"/>
  <c r="U36" i="5"/>
  <c r="U44" i="5"/>
  <c r="U52" i="5"/>
  <c r="U60" i="5"/>
  <c r="U13" i="5"/>
  <c r="U21" i="5"/>
  <c r="U29" i="5"/>
  <c r="U37" i="5"/>
  <c r="U45" i="5"/>
  <c r="U53" i="5"/>
  <c r="U61" i="5"/>
  <c r="U14" i="5"/>
  <c r="U22" i="5"/>
  <c r="U30" i="5"/>
  <c r="U38" i="5"/>
  <c r="U46" i="5"/>
  <c r="U54" i="5"/>
  <c r="U62" i="5"/>
  <c r="U15" i="5"/>
  <c r="U23" i="5"/>
  <c r="U31" i="5"/>
  <c r="U39" i="5"/>
  <c r="U47" i="5"/>
  <c r="U55" i="5"/>
  <c r="U63" i="5"/>
  <c r="U8" i="5"/>
  <c r="U16" i="5"/>
  <c r="U24" i="5"/>
  <c r="U32" i="5"/>
  <c r="U40" i="5"/>
  <c r="U48" i="5"/>
  <c r="U56" i="5"/>
  <c r="U64" i="5"/>
  <c r="U9" i="5"/>
  <c r="U17" i="5"/>
  <c r="U25" i="5"/>
  <c r="U33" i="5"/>
  <c r="U41" i="5"/>
  <c r="U49" i="5"/>
  <c r="U57" i="5"/>
  <c r="U65" i="5"/>
  <c r="U10" i="5"/>
  <c r="U18" i="5"/>
  <c r="U26" i="5"/>
  <c r="U34" i="5"/>
  <c r="U42" i="5"/>
  <c r="U50" i="5"/>
  <c r="U58" i="5"/>
  <c r="T42" i="5"/>
  <c r="U11" i="5"/>
  <c r="U19" i="5"/>
  <c r="U27" i="5"/>
  <c r="U35" i="5"/>
  <c r="U43" i="5"/>
  <c r="U51" i="5"/>
  <c r="U59" i="5"/>
  <c r="T16" i="5"/>
  <c r="T38" i="5"/>
  <c r="T66" i="5"/>
  <c r="T14" i="5"/>
  <c r="T34" i="5"/>
  <c r="T62" i="5"/>
  <c r="T11" i="5"/>
  <c r="T32" i="5"/>
  <c r="T58" i="5"/>
  <c r="T30" i="5"/>
  <c r="T54" i="5"/>
  <c r="T10" i="5"/>
  <c r="T8" i="5"/>
  <c r="T26" i="5"/>
  <c r="T50" i="5"/>
  <c r="T24" i="5"/>
  <c r="T46" i="5"/>
  <c r="T59" i="5"/>
  <c r="T18" i="5"/>
  <c r="T40" i="5"/>
  <c r="T9" i="5"/>
  <c r="T17" i="5"/>
  <c r="T25" i="5"/>
  <c r="T33" i="5"/>
  <c r="T41" i="5"/>
  <c r="T49" i="5"/>
  <c r="T57" i="5"/>
  <c r="T65" i="5"/>
  <c r="T48" i="5"/>
  <c r="T56" i="5"/>
  <c r="T64" i="5"/>
  <c r="T15" i="5"/>
  <c r="T23" i="5"/>
  <c r="T31" i="5"/>
  <c r="T39" i="5"/>
  <c r="T47" i="5"/>
  <c r="T55" i="5"/>
  <c r="T63" i="5"/>
  <c r="T13" i="5"/>
  <c r="T21" i="5"/>
  <c r="T29" i="5"/>
  <c r="T37" i="5"/>
  <c r="T45" i="5"/>
  <c r="T53" i="5"/>
  <c r="T61" i="5"/>
  <c r="T12" i="5"/>
  <c r="T20" i="5"/>
  <c r="T28" i="5"/>
  <c r="T36" i="5"/>
  <c r="T44" i="5"/>
  <c r="T52" i="5"/>
  <c r="T60" i="5"/>
  <c r="T19" i="5"/>
  <c r="T27" i="5"/>
  <c r="T35" i="5"/>
  <c r="T43" i="5"/>
  <c r="T51" i="5"/>
  <c r="G7" i="70"/>
  <c r="H251" i="69"/>
  <c r="H250" i="69"/>
  <c r="H249" i="69"/>
  <c r="H248" i="69"/>
  <c r="H247" i="69"/>
  <c r="H246" i="69"/>
  <c r="H245" i="69"/>
  <c r="H244" i="69"/>
  <c r="H243" i="69"/>
  <c r="H242" i="69"/>
  <c r="H241" i="69"/>
  <c r="H240" i="69"/>
  <c r="H239" i="69"/>
  <c r="H238" i="69"/>
  <c r="H237" i="69"/>
  <c r="H236" i="69"/>
  <c r="H235" i="69"/>
  <c r="H234" i="69"/>
  <c r="H233" i="69"/>
  <c r="H232" i="69"/>
  <c r="H231" i="69"/>
  <c r="H230" i="69"/>
  <c r="H229" i="69"/>
  <c r="H228" i="69"/>
  <c r="H227" i="69"/>
  <c r="H226" i="69"/>
  <c r="H225" i="69"/>
  <c r="H224" i="69"/>
  <c r="H223" i="69"/>
  <c r="H222" i="69"/>
  <c r="H221" i="69"/>
  <c r="H220" i="69"/>
  <c r="H219" i="69"/>
  <c r="H218" i="69"/>
  <c r="H217" i="69"/>
  <c r="H216" i="69"/>
  <c r="H215" i="69"/>
  <c r="H214" i="69"/>
  <c r="H213" i="69"/>
  <c r="H212" i="69"/>
  <c r="H211" i="69"/>
  <c r="H210" i="69"/>
  <c r="H209" i="69"/>
  <c r="H208" i="69"/>
  <c r="H207" i="69"/>
  <c r="H206" i="69"/>
  <c r="H205" i="69"/>
  <c r="H204" i="69"/>
  <c r="H203" i="69"/>
  <c r="H202" i="69"/>
  <c r="H201" i="69"/>
  <c r="H200" i="69"/>
  <c r="H199" i="69"/>
  <c r="H198" i="69"/>
  <c r="H197" i="69"/>
  <c r="H196" i="69"/>
  <c r="H195" i="69"/>
  <c r="H194" i="69"/>
  <c r="H193" i="69"/>
  <c r="H192" i="69"/>
  <c r="H191" i="69"/>
  <c r="H190" i="69"/>
  <c r="H189" i="69"/>
  <c r="H188" i="69"/>
  <c r="H187" i="69"/>
  <c r="H186" i="69"/>
  <c r="H185" i="69"/>
  <c r="H184" i="69"/>
  <c r="H183" i="69"/>
  <c r="H182" i="69"/>
  <c r="H181" i="69"/>
  <c r="H180" i="69"/>
  <c r="H179" i="69"/>
  <c r="H178" i="69"/>
  <c r="H177" i="69"/>
  <c r="H176" i="69"/>
  <c r="H175" i="69"/>
  <c r="H174" i="69"/>
  <c r="H173" i="69"/>
  <c r="H172" i="69"/>
  <c r="H171" i="69"/>
  <c r="H170" i="69"/>
  <c r="H169" i="69"/>
  <c r="H168" i="69"/>
  <c r="H167" i="69"/>
  <c r="H166" i="69"/>
  <c r="H165" i="69"/>
  <c r="H164" i="69"/>
  <c r="H163" i="69"/>
  <c r="H162" i="69"/>
  <c r="H161" i="69"/>
  <c r="H160" i="69"/>
  <c r="H157" i="69"/>
  <c r="H156" i="69"/>
  <c r="H155" i="69"/>
  <c r="H154" i="69"/>
  <c r="H153" i="69"/>
  <c r="H152" i="69"/>
  <c r="H151" i="69"/>
  <c r="H150" i="69"/>
  <c r="H149" i="69"/>
  <c r="H148" i="69"/>
  <c r="H147" i="69"/>
  <c r="H146" i="69"/>
  <c r="H145" i="69"/>
  <c r="H144" i="69"/>
  <c r="H143" i="69"/>
  <c r="H142" i="69"/>
  <c r="H141" i="69"/>
  <c r="H140" i="69"/>
  <c r="H139" i="69"/>
  <c r="H138" i="69"/>
  <c r="H137" i="69"/>
  <c r="H136" i="69"/>
  <c r="H135" i="69"/>
  <c r="H134" i="69"/>
  <c r="H133" i="69"/>
  <c r="H132" i="69"/>
  <c r="H131" i="69"/>
  <c r="H130" i="69"/>
  <c r="H129" i="69"/>
  <c r="H128" i="69"/>
  <c r="H127" i="69"/>
  <c r="H126" i="69"/>
  <c r="H125" i="69"/>
  <c r="H124" i="69"/>
  <c r="H123" i="69"/>
  <c r="H122" i="69"/>
  <c r="H121" i="69"/>
  <c r="H120" i="69"/>
  <c r="H119" i="69"/>
  <c r="H118" i="69"/>
  <c r="H117" i="69"/>
  <c r="H116" i="69"/>
  <c r="H115" i="69"/>
  <c r="H114" i="69"/>
  <c r="H113" i="69"/>
  <c r="H112" i="69"/>
  <c r="H111" i="69"/>
  <c r="H110" i="69"/>
  <c r="H109" i="69"/>
  <c r="H108" i="69"/>
  <c r="H107" i="69"/>
  <c r="H106" i="69"/>
  <c r="H105" i="69"/>
  <c r="H104" i="69"/>
  <c r="H103" i="69"/>
  <c r="H102" i="69"/>
  <c r="H101" i="69"/>
  <c r="H100" i="69"/>
  <c r="H99" i="69"/>
  <c r="H98" i="69"/>
  <c r="H97" i="69"/>
  <c r="H96" i="69"/>
  <c r="H95" i="69"/>
  <c r="H94" i="69"/>
  <c r="H93" i="69"/>
  <c r="H92" i="69"/>
  <c r="H91" i="69"/>
  <c r="H90" i="69"/>
  <c r="H89" i="69"/>
  <c r="H88" i="69"/>
  <c r="H87" i="69"/>
  <c r="H86" i="69"/>
  <c r="H85" i="69"/>
  <c r="H84" i="69"/>
  <c r="H83" i="69"/>
  <c r="H82" i="69"/>
  <c r="H81" i="69"/>
  <c r="H80" i="69"/>
  <c r="H79" i="69"/>
  <c r="H78" i="69"/>
  <c r="H77" i="69"/>
  <c r="H76" i="69"/>
  <c r="H75" i="69"/>
  <c r="H74" i="69"/>
  <c r="H73" i="69"/>
  <c r="H72" i="69"/>
  <c r="H71" i="69"/>
  <c r="H70" i="69"/>
  <c r="H69" i="69"/>
  <c r="H68" i="69"/>
  <c r="H67" i="69"/>
  <c r="H66" i="69"/>
  <c r="H65" i="69"/>
  <c r="H64" i="69"/>
  <c r="H63" i="69"/>
  <c r="H62" i="69"/>
  <c r="H61" i="69"/>
  <c r="H60" i="69"/>
  <c r="H59" i="69"/>
  <c r="H58" i="69"/>
  <c r="H57" i="69"/>
  <c r="H56" i="69"/>
  <c r="H55" i="69"/>
  <c r="H54" i="69"/>
  <c r="H53" i="69"/>
  <c r="H52" i="69"/>
  <c r="H51" i="69"/>
  <c r="H50" i="69"/>
  <c r="H49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H17" i="69"/>
  <c r="H16" i="69"/>
  <c r="H15" i="69"/>
  <c r="H14" i="69"/>
  <c r="H13" i="69"/>
  <c r="H12" i="69"/>
  <c r="AA5" i="5" l="1"/>
  <c r="AA2" i="5" s="1"/>
  <c r="AA1" i="5" s="1"/>
  <c r="X5" i="5"/>
  <c r="X2" i="5" s="1"/>
  <c r="X1" i="5" s="1"/>
  <c r="W5" i="5"/>
  <c r="W2" i="5" s="1"/>
  <c r="W1" i="5" s="1"/>
  <c r="U5" i="5"/>
  <c r="U2" i="5" s="1"/>
  <c r="U1" i="5" s="1"/>
  <c r="R8" i="5"/>
  <c r="T5" i="5"/>
  <c r="T2" i="5" s="1"/>
  <c r="T1" i="5" s="1"/>
  <c r="R59" i="5"/>
  <c r="Q13" i="5"/>
  <c r="Q21" i="5"/>
  <c r="Q29" i="5"/>
  <c r="Q37" i="5"/>
  <c r="Q45" i="5"/>
  <c r="Q53" i="5"/>
  <c r="Q61" i="5"/>
  <c r="R10" i="5"/>
  <c r="R18" i="5"/>
  <c r="R26" i="5"/>
  <c r="R34" i="5"/>
  <c r="R42" i="5"/>
  <c r="R50" i="5"/>
  <c r="R58" i="5"/>
  <c r="R66" i="5"/>
  <c r="Q12" i="5"/>
  <c r="Q20" i="5"/>
  <c r="Q28" i="5"/>
  <c r="Q36" i="5"/>
  <c r="Q44" i="5"/>
  <c r="Q52" i="5"/>
  <c r="Q60" i="5"/>
  <c r="R9" i="5"/>
  <c r="R17" i="5"/>
  <c r="R25" i="5"/>
  <c r="R33" i="5"/>
  <c r="R41" i="5"/>
  <c r="R49" i="5"/>
  <c r="R57" i="5"/>
  <c r="R65" i="5"/>
  <c r="Q11" i="5"/>
  <c r="Q19" i="5"/>
  <c r="Q27" i="5"/>
  <c r="Q35" i="5"/>
  <c r="Q43" i="5"/>
  <c r="Q51" i="5"/>
  <c r="Q59" i="5"/>
  <c r="R16" i="5"/>
  <c r="R24" i="5"/>
  <c r="R32" i="5"/>
  <c r="R40" i="5"/>
  <c r="R48" i="5"/>
  <c r="R56" i="5"/>
  <c r="R64" i="5"/>
  <c r="Q10" i="5"/>
  <c r="Q18" i="5"/>
  <c r="Q26" i="5"/>
  <c r="Q34" i="5"/>
  <c r="Q42" i="5"/>
  <c r="Q50" i="5"/>
  <c r="Q58" i="5"/>
  <c r="Q66" i="5"/>
  <c r="R15" i="5"/>
  <c r="R23" i="5"/>
  <c r="R31" i="5"/>
  <c r="R39" i="5"/>
  <c r="R47" i="5"/>
  <c r="R55" i="5"/>
  <c r="R63" i="5"/>
  <c r="Q9" i="5"/>
  <c r="Q17" i="5"/>
  <c r="Q25" i="5"/>
  <c r="Q33" i="5"/>
  <c r="Q41" i="5"/>
  <c r="Q49" i="5"/>
  <c r="Q57" i="5"/>
  <c r="Q65" i="5"/>
  <c r="R14" i="5"/>
  <c r="R22" i="5"/>
  <c r="R30" i="5"/>
  <c r="R38" i="5"/>
  <c r="R46" i="5"/>
  <c r="R54" i="5"/>
  <c r="R62" i="5"/>
  <c r="Q8" i="5"/>
  <c r="Q16" i="5"/>
  <c r="Q24" i="5"/>
  <c r="Q32" i="5"/>
  <c r="Q40" i="5"/>
  <c r="Q48" i="5"/>
  <c r="Q56" i="5"/>
  <c r="Q64" i="5"/>
  <c r="R13" i="5"/>
  <c r="R21" i="5"/>
  <c r="R29" i="5"/>
  <c r="R37" i="5"/>
  <c r="R45" i="5"/>
  <c r="R53" i="5"/>
  <c r="R61" i="5"/>
  <c r="Q15" i="5"/>
  <c r="Q23" i="5"/>
  <c r="Q31" i="5"/>
  <c r="Q39" i="5"/>
  <c r="Q47" i="5"/>
  <c r="Q55" i="5"/>
  <c r="Q63" i="5"/>
  <c r="R12" i="5"/>
  <c r="R20" i="5"/>
  <c r="R28" i="5"/>
  <c r="R36" i="5"/>
  <c r="R44" i="5"/>
  <c r="R52" i="5"/>
  <c r="R60" i="5"/>
  <c r="Q14" i="5"/>
  <c r="Q22" i="5"/>
  <c r="Q30" i="5"/>
  <c r="Q38" i="5"/>
  <c r="Q46" i="5"/>
  <c r="Q54" i="5"/>
  <c r="Q62" i="5"/>
  <c r="R11" i="5"/>
  <c r="R19" i="5"/>
  <c r="R27" i="5"/>
  <c r="R35" i="5"/>
  <c r="R43" i="5"/>
  <c r="R51" i="5"/>
  <c r="J9" i="69"/>
  <c r="I9" i="69"/>
  <c r="H9" i="69"/>
  <c r="E9" i="69"/>
  <c r="B9" i="69"/>
  <c r="J7" i="69"/>
  <c r="I7" i="69"/>
  <c r="Q5" i="5" l="1"/>
  <c r="Q2" i="5" s="1"/>
  <c r="Q1" i="5" s="1"/>
  <c r="R5" i="5"/>
  <c r="R2" i="5" s="1"/>
  <c r="R1" i="5" s="1"/>
  <c r="G7" i="69"/>
  <c r="H237" i="68"/>
  <c r="H233" i="68"/>
  <c r="H235" i="68"/>
  <c r="H231" i="68"/>
  <c r="H236" i="68"/>
  <c r="H232" i="68"/>
  <c r="H234" i="68"/>
  <c r="H230" i="68"/>
  <c r="H229" i="68"/>
  <c r="J9" i="68"/>
  <c r="H201" i="68"/>
  <c r="H200" i="68"/>
  <c r="H199" i="68"/>
  <c r="H198" i="68"/>
  <c r="H197" i="68"/>
  <c r="H196" i="68"/>
  <c r="H195" i="68"/>
  <c r="H194" i="68"/>
  <c r="H193" i="68"/>
  <c r="H192" i="68"/>
  <c r="H191" i="68"/>
  <c r="H190" i="68"/>
  <c r="H189" i="68"/>
  <c r="H188" i="68"/>
  <c r="H187" i="68"/>
  <c r="H186" i="68"/>
  <c r="H185" i="68"/>
  <c r="H184" i="68"/>
  <c r="H183" i="68"/>
  <c r="H182" i="68"/>
  <c r="H181" i="68"/>
  <c r="H180" i="68"/>
  <c r="H179" i="68"/>
  <c r="H178" i="68"/>
  <c r="H177" i="68"/>
  <c r="H176" i="68"/>
  <c r="H175" i="68"/>
  <c r="H174" i="68"/>
  <c r="H173" i="68"/>
  <c r="H172" i="68"/>
  <c r="H171" i="68"/>
  <c r="H170" i="68"/>
  <c r="H169" i="68"/>
  <c r="H53" i="68"/>
  <c r="H52" i="68"/>
  <c r="H51" i="68"/>
  <c r="H56" i="68"/>
  <c r="H55" i="68"/>
  <c r="H54" i="68"/>
  <c r="H19" i="68"/>
  <c r="H18" i="68"/>
  <c r="H39" i="68"/>
  <c r="H38" i="68"/>
  <c r="H37" i="68"/>
  <c r="H36" i="68"/>
  <c r="H35" i="68"/>
  <c r="H34" i="68"/>
  <c r="H33" i="68"/>
  <c r="H32" i="68"/>
  <c r="H31" i="68"/>
  <c r="H30" i="68"/>
  <c r="H29" i="68"/>
  <c r="H28" i="68"/>
  <c r="H27" i="68"/>
  <c r="H26" i="68"/>
  <c r="H76" i="68"/>
  <c r="H75" i="68"/>
  <c r="H74" i="68"/>
  <c r="H25" i="68"/>
  <c r="H221" i="68"/>
  <c r="H220" i="68"/>
  <c r="H219" i="68"/>
  <c r="H218" i="68"/>
  <c r="H217" i="68"/>
  <c r="H216" i="68"/>
  <c r="H215" i="68"/>
  <c r="H214" i="68"/>
  <c r="H213" i="68"/>
  <c r="H212" i="68"/>
  <c r="H211" i="68"/>
  <c r="H210" i="68"/>
  <c r="H50" i="68"/>
  <c r="H49" i="68"/>
  <c r="H48" i="68"/>
  <c r="H47" i="68"/>
  <c r="H46" i="68"/>
  <c r="H162" i="68"/>
  <c r="H161" i="68"/>
  <c r="H160" i="68"/>
  <c r="H159" i="68"/>
  <c r="H158" i="68"/>
  <c r="H157" i="68"/>
  <c r="H156" i="68"/>
  <c r="H155" i="68"/>
  <c r="H154" i="68"/>
  <c r="H153" i="68"/>
  <c r="H152" i="68"/>
  <c r="H151" i="68"/>
  <c r="H150" i="68"/>
  <c r="H149" i="68"/>
  <c r="H148" i="68"/>
  <c r="H147" i="68"/>
  <c r="H146" i="68"/>
  <c r="H145" i="68"/>
  <c r="H144" i="68"/>
  <c r="H143" i="68"/>
  <c r="H142" i="68"/>
  <c r="H141" i="68"/>
  <c r="H140" i="68"/>
  <c r="H139" i="68"/>
  <c r="H138" i="68"/>
  <c r="H137" i="68"/>
  <c r="H136" i="68"/>
  <c r="H135" i="68"/>
  <c r="H134" i="68"/>
  <c r="H133" i="68"/>
  <c r="H132" i="68"/>
  <c r="H222" i="68"/>
  <c r="H131" i="68"/>
  <c r="H130" i="68"/>
  <c r="H129" i="68"/>
  <c r="H128" i="68"/>
  <c r="H168" i="68"/>
  <c r="H167" i="68"/>
  <c r="H166" i="68"/>
  <c r="H165" i="68"/>
  <c r="H164" i="68"/>
  <c r="H163" i="68"/>
  <c r="H45" i="68"/>
  <c r="H44" i="68"/>
  <c r="H43" i="68"/>
  <c r="H42" i="68"/>
  <c r="H41" i="68"/>
  <c r="H40" i="68"/>
  <c r="H125" i="68"/>
  <c r="H124" i="68"/>
  <c r="H123" i="68"/>
  <c r="H122" i="68"/>
  <c r="H24" i="68"/>
  <c r="H121" i="68"/>
  <c r="H120" i="68"/>
  <c r="H119" i="68"/>
  <c r="H23" i="68"/>
  <c r="H118" i="68"/>
  <c r="H117" i="68"/>
  <c r="H116" i="68"/>
  <c r="H115" i="68"/>
  <c r="H114" i="68"/>
  <c r="H113" i="68"/>
  <c r="H112" i="68"/>
  <c r="H111" i="68"/>
  <c r="H110" i="68"/>
  <c r="H109" i="68"/>
  <c r="H108" i="68"/>
  <c r="H107" i="68"/>
  <c r="H106" i="68"/>
  <c r="H105" i="68"/>
  <c r="H104" i="68"/>
  <c r="H22" i="68"/>
  <c r="H103" i="68"/>
  <c r="H102" i="68"/>
  <c r="H101" i="68"/>
  <c r="H100" i="68"/>
  <c r="H227" i="68"/>
  <c r="H99" i="68"/>
  <c r="H226" i="68"/>
  <c r="H98" i="68"/>
  <c r="H97" i="68"/>
  <c r="H96" i="68"/>
  <c r="H95" i="68"/>
  <c r="H94" i="68"/>
  <c r="H93" i="68"/>
  <c r="H92" i="68"/>
  <c r="H91" i="68"/>
  <c r="H90" i="68"/>
  <c r="H208" i="68"/>
  <c r="H207" i="68"/>
  <c r="H89" i="68"/>
  <c r="H88" i="68"/>
  <c r="H206" i="68"/>
  <c r="H225" i="68"/>
  <c r="H87" i="68"/>
  <c r="H205" i="68"/>
  <c r="H86" i="68"/>
  <c r="H85" i="68"/>
  <c r="H84" i="68"/>
  <c r="H83" i="68"/>
  <c r="H224" i="68"/>
  <c r="H82" i="68"/>
  <c r="H127" i="68"/>
  <c r="H204" i="68"/>
  <c r="H203" i="68"/>
  <c r="H126" i="68"/>
  <c r="H81" i="68"/>
  <c r="H80" i="68"/>
  <c r="H79" i="68"/>
  <c r="H223" i="68"/>
  <c r="H202" i="68"/>
  <c r="H78" i="68"/>
  <c r="H77" i="68"/>
  <c r="H17" i="68"/>
  <c r="H15" i="68"/>
  <c r="H14" i="68"/>
  <c r="H13" i="68"/>
  <c r="H12" i="68"/>
  <c r="H16" i="68"/>
  <c r="H73" i="68"/>
  <c r="H72" i="68"/>
  <c r="H71" i="68"/>
  <c r="H70" i="68"/>
  <c r="H69" i="68"/>
  <c r="H68" i="68"/>
  <c r="H67" i="68"/>
  <c r="H66" i="68"/>
  <c r="H65" i="68"/>
  <c r="H64" i="68"/>
  <c r="H63" i="68"/>
  <c r="H62" i="68"/>
  <c r="H61" i="68"/>
  <c r="H60" i="68"/>
  <c r="H59" i="68"/>
  <c r="H58" i="68"/>
  <c r="H57" i="68"/>
  <c r="H209" i="68"/>
  <c r="H21" i="68"/>
  <c r="H20" i="68"/>
  <c r="J7" i="68"/>
  <c r="I7" i="68"/>
  <c r="I9" i="68"/>
  <c r="H9" i="68"/>
  <c r="E9" i="68"/>
  <c r="B9" i="68"/>
  <c r="O63" i="5" l="1"/>
  <c r="O62" i="5"/>
  <c r="N41" i="5"/>
  <c r="O38" i="5"/>
  <c r="N8" i="5"/>
  <c r="N16" i="5"/>
  <c r="N24" i="5"/>
  <c r="N32" i="5"/>
  <c r="N40" i="5"/>
  <c r="N48" i="5"/>
  <c r="N56" i="5"/>
  <c r="N64" i="5"/>
  <c r="O13" i="5"/>
  <c r="O21" i="5"/>
  <c r="O29" i="5"/>
  <c r="O37" i="5"/>
  <c r="O45" i="5"/>
  <c r="O53" i="5"/>
  <c r="O61" i="5"/>
  <c r="N33" i="5"/>
  <c r="N15" i="5"/>
  <c r="N23" i="5"/>
  <c r="N31" i="5"/>
  <c r="N39" i="5"/>
  <c r="N47" i="5"/>
  <c r="N55" i="5"/>
  <c r="N63" i="5"/>
  <c r="O12" i="5"/>
  <c r="O20" i="5"/>
  <c r="O28" i="5"/>
  <c r="O36" i="5"/>
  <c r="O44" i="5"/>
  <c r="O52" i="5"/>
  <c r="O60" i="5"/>
  <c r="N25" i="5"/>
  <c r="O30" i="5"/>
  <c r="N14" i="5"/>
  <c r="N22" i="5"/>
  <c r="N30" i="5"/>
  <c r="N38" i="5"/>
  <c r="N46" i="5"/>
  <c r="N54" i="5"/>
  <c r="N62" i="5"/>
  <c r="O11" i="5"/>
  <c r="O19" i="5"/>
  <c r="O27" i="5"/>
  <c r="O35" i="5"/>
  <c r="O43" i="5"/>
  <c r="O51" i="5"/>
  <c r="O59" i="5"/>
  <c r="N49" i="5"/>
  <c r="O54" i="5"/>
  <c r="N13" i="5"/>
  <c r="N21" i="5"/>
  <c r="N29" i="5"/>
  <c r="N37" i="5"/>
  <c r="N45" i="5"/>
  <c r="N53" i="5"/>
  <c r="N61" i="5"/>
  <c r="O10" i="5"/>
  <c r="O18" i="5"/>
  <c r="O26" i="5"/>
  <c r="O34" i="5"/>
  <c r="O42" i="5"/>
  <c r="O50" i="5"/>
  <c r="O58" i="5"/>
  <c r="O66" i="5"/>
  <c r="O14" i="5"/>
  <c r="N12" i="5"/>
  <c r="N20" i="5"/>
  <c r="N28" i="5"/>
  <c r="N36" i="5"/>
  <c r="N44" i="5"/>
  <c r="N52" i="5"/>
  <c r="N60" i="5"/>
  <c r="O9" i="5"/>
  <c r="O17" i="5"/>
  <c r="O25" i="5"/>
  <c r="O33" i="5"/>
  <c r="O41" i="5"/>
  <c r="O49" i="5"/>
  <c r="O57" i="5"/>
  <c r="O65" i="5"/>
  <c r="N9" i="5"/>
  <c r="N57" i="5"/>
  <c r="O46" i="5"/>
  <c r="N11" i="5"/>
  <c r="N19" i="5"/>
  <c r="N27" i="5"/>
  <c r="N35" i="5"/>
  <c r="N43" i="5"/>
  <c r="N51" i="5"/>
  <c r="N59" i="5"/>
  <c r="O8" i="5"/>
  <c r="O16" i="5"/>
  <c r="O24" i="5"/>
  <c r="O32" i="5"/>
  <c r="O40" i="5"/>
  <c r="O48" i="5"/>
  <c r="O56" i="5"/>
  <c r="O64" i="5"/>
  <c r="N17" i="5"/>
  <c r="N65" i="5"/>
  <c r="O22" i="5"/>
  <c r="N10" i="5"/>
  <c r="N18" i="5"/>
  <c r="N26" i="5"/>
  <c r="N34" i="5"/>
  <c r="N42" i="5"/>
  <c r="N50" i="5"/>
  <c r="N58" i="5"/>
  <c r="N66" i="5"/>
  <c r="O15" i="5"/>
  <c r="O23" i="5"/>
  <c r="O31" i="5"/>
  <c r="O39" i="5"/>
  <c r="O47" i="5"/>
  <c r="O55" i="5"/>
  <c r="G7" i="68"/>
  <c r="H23" i="65"/>
  <c r="H111" i="65"/>
  <c r="H110" i="65"/>
  <c r="H109" i="65"/>
  <c r="H21" i="65"/>
  <c r="H20" i="65"/>
  <c r="H19" i="65"/>
  <c r="H18" i="65"/>
  <c r="H17" i="65"/>
  <c r="H16" i="65"/>
  <c r="H35" i="65"/>
  <c r="H34" i="65"/>
  <c r="H33" i="65"/>
  <c r="H32" i="65"/>
  <c r="H31" i="65"/>
  <c r="H30" i="65"/>
  <c r="H29" i="65"/>
  <c r="H28" i="65"/>
  <c r="H27" i="65"/>
  <c r="H26" i="65"/>
  <c r="H25" i="65"/>
  <c r="H24" i="65"/>
  <c r="H52" i="65"/>
  <c r="H51" i="65"/>
  <c r="H119" i="65"/>
  <c r="H118" i="65"/>
  <c r="H117" i="65"/>
  <c r="H116" i="65"/>
  <c r="H115" i="65"/>
  <c r="H114" i="65"/>
  <c r="H113" i="65"/>
  <c r="H112" i="65"/>
  <c r="H40" i="65"/>
  <c r="H101" i="65"/>
  <c r="H100" i="65"/>
  <c r="H99" i="65"/>
  <c r="H98" i="65"/>
  <c r="H97" i="65"/>
  <c r="H96" i="65"/>
  <c r="H95" i="65"/>
  <c r="H94" i="65"/>
  <c r="H93" i="65"/>
  <c r="H92" i="65"/>
  <c r="H91" i="65"/>
  <c r="H90" i="65"/>
  <c r="H89" i="65"/>
  <c r="H88" i="65"/>
  <c r="H87" i="65"/>
  <c r="H86" i="65"/>
  <c r="H85" i="65"/>
  <c r="H84" i="65"/>
  <c r="H83" i="65"/>
  <c r="H82" i="65"/>
  <c r="H81" i="65"/>
  <c r="H80" i="65"/>
  <c r="H79" i="65"/>
  <c r="H78" i="65"/>
  <c r="H77" i="65"/>
  <c r="H76" i="65"/>
  <c r="H75" i="65"/>
  <c r="H74" i="65"/>
  <c r="H73" i="65"/>
  <c r="H72" i="65"/>
  <c r="H108" i="65"/>
  <c r="H107" i="65"/>
  <c r="H106" i="65"/>
  <c r="H105" i="65"/>
  <c r="H104" i="65"/>
  <c r="H103" i="65"/>
  <c r="H102" i="65"/>
  <c r="H39" i="65"/>
  <c r="H38" i="65"/>
  <c r="H37" i="65"/>
  <c r="H36" i="65"/>
  <c r="H71" i="65"/>
  <c r="H70" i="65"/>
  <c r="H69" i="65"/>
  <c r="H68" i="65"/>
  <c r="H67" i="65"/>
  <c r="H66" i="65"/>
  <c r="H65" i="65"/>
  <c r="H64" i="65"/>
  <c r="H63" i="65"/>
  <c r="H123" i="65"/>
  <c r="H62" i="65"/>
  <c r="H61" i="65"/>
  <c r="H60" i="65"/>
  <c r="H122" i="65"/>
  <c r="H121" i="65"/>
  <c r="H59" i="65"/>
  <c r="H58" i="65"/>
  <c r="H57" i="65"/>
  <c r="H120" i="65"/>
  <c r="H56" i="65"/>
  <c r="H55" i="65"/>
  <c r="H54" i="65"/>
  <c r="H53" i="65"/>
  <c r="H15" i="65"/>
  <c r="H14" i="65"/>
  <c r="H13" i="65"/>
  <c r="H12" i="65"/>
  <c r="H50" i="65"/>
  <c r="H49" i="65"/>
  <c r="H48" i="65"/>
  <c r="H47" i="65"/>
  <c r="H46" i="65"/>
  <c r="H45" i="65"/>
  <c r="H44" i="65"/>
  <c r="H43" i="65"/>
  <c r="H42" i="65"/>
  <c r="H41" i="65"/>
  <c r="H22" i="65"/>
  <c r="L59" i="5" l="1"/>
  <c r="L51" i="5"/>
  <c r="L43" i="5"/>
  <c r="L35" i="5"/>
  <c r="L27" i="5"/>
  <c r="L19" i="5"/>
  <c r="L11" i="5"/>
  <c r="K62" i="5"/>
  <c r="K54" i="5"/>
  <c r="K46" i="5"/>
  <c r="K38" i="5"/>
  <c r="K30" i="5"/>
  <c r="K22" i="5"/>
  <c r="K14" i="5"/>
  <c r="L48" i="5"/>
  <c r="L16" i="5"/>
  <c r="K27" i="5"/>
  <c r="L66" i="5"/>
  <c r="L58" i="5"/>
  <c r="L50" i="5"/>
  <c r="L42" i="5"/>
  <c r="L34" i="5"/>
  <c r="L26" i="5"/>
  <c r="L18" i="5"/>
  <c r="L10" i="5"/>
  <c r="K61" i="5"/>
  <c r="K53" i="5"/>
  <c r="K45" i="5"/>
  <c r="K37" i="5"/>
  <c r="K29" i="5"/>
  <c r="K21" i="5"/>
  <c r="K13" i="5"/>
  <c r="L56" i="5"/>
  <c r="K35" i="5"/>
  <c r="L65" i="5"/>
  <c r="L57" i="5"/>
  <c r="L49" i="5"/>
  <c r="L41" i="5"/>
  <c r="L33" i="5"/>
  <c r="L25" i="5"/>
  <c r="L17" i="5"/>
  <c r="L9" i="5"/>
  <c r="K60" i="5"/>
  <c r="K52" i="5"/>
  <c r="K44" i="5"/>
  <c r="K36" i="5"/>
  <c r="K28" i="5"/>
  <c r="K20" i="5"/>
  <c r="K12" i="5"/>
  <c r="K59" i="5"/>
  <c r="K19" i="5"/>
  <c r="L63" i="5"/>
  <c r="L55" i="5"/>
  <c r="L47" i="5"/>
  <c r="L39" i="5"/>
  <c r="L31" i="5"/>
  <c r="L23" i="5"/>
  <c r="L15" i="5"/>
  <c r="K66" i="5"/>
  <c r="K58" i="5"/>
  <c r="K50" i="5"/>
  <c r="K42" i="5"/>
  <c r="K34" i="5"/>
  <c r="K26" i="5"/>
  <c r="K18" i="5"/>
  <c r="K10" i="5"/>
  <c r="L40" i="5"/>
  <c r="L8" i="5"/>
  <c r="L62" i="5"/>
  <c r="L54" i="5"/>
  <c r="L46" i="5"/>
  <c r="L38" i="5"/>
  <c r="L30" i="5"/>
  <c r="L22" i="5"/>
  <c r="L14" i="5"/>
  <c r="K65" i="5"/>
  <c r="K57" i="5"/>
  <c r="K49" i="5"/>
  <c r="K41" i="5"/>
  <c r="K33" i="5"/>
  <c r="K25" i="5"/>
  <c r="K17" i="5"/>
  <c r="K9" i="5"/>
  <c r="L61" i="5"/>
  <c r="L53" i="5"/>
  <c r="L45" i="5"/>
  <c r="L37" i="5"/>
  <c r="L29" i="5"/>
  <c r="L21" i="5"/>
  <c r="L13" i="5"/>
  <c r="K64" i="5"/>
  <c r="K56" i="5"/>
  <c r="K48" i="5"/>
  <c r="K40" i="5"/>
  <c r="K32" i="5"/>
  <c r="K24" i="5"/>
  <c r="K16" i="5"/>
  <c r="K8" i="5"/>
  <c r="L64" i="5"/>
  <c r="L24" i="5"/>
  <c r="K51" i="5"/>
  <c r="L60" i="5"/>
  <c r="L52" i="5"/>
  <c r="L44" i="5"/>
  <c r="L36" i="5"/>
  <c r="L28" i="5"/>
  <c r="L20" i="5"/>
  <c r="L12" i="5"/>
  <c r="K63" i="5"/>
  <c r="K55" i="5"/>
  <c r="K47" i="5"/>
  <c r="K39" i="5"/>
  <c r="K31" i="5"/>
  <c r="K23" i="5"/>
  <c r="K15" i="5"/>
  <c r="L32" i="5"/>
  <c r="K43" i="5"/>
  <c r="K11" i="5"/>
  <c r="O5" i="5"/>
  <c r="O2" i="5" s="1"/>
  <c r="O1" i="5" s="1"/>
  <c r="N5" i="5"/>
  <c r="N2" i="5" s="1"/>
  <c r="N1" i="5" s="1"/>
  <c r="D15" i="61"/>
  <c r="D33" i="61"/>
  <c r="D14" i="61"/>
  <c r="H345" i="18" l="1"/>
  <c r="H164" i="18"/>
  <c r="H344" i="18"/>
  <c r="H61" i="18"/>
  <c r="H60" i="18"/>
  <c r="H59" i="18"/>
  <c r="H368" i="18"/>
  <c r="H367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66" i="18"/>
  <c r="H365" i="18"/>
  <c r="H364" i="18"/>
  <c r="H363" i="18"/>
  <c r="H225" i="18"/>
  <c r="H282" i="18"/>
  <c r="H224" i="18"/>
  <c r="H64" i="18"/>
  <c r="H362" i="18"/>
  <c r="H361" i="18"/>
  <c r="H347" i="18"/>
  <c r="H346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60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31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63" i="18"/>
  <c r="H62" i="18"/>
  <c r="H105" i="18"/>
  <c r="H104" i="18"/>
  <c r="H103" i="18"/>
  <c r="H102" i="18"/>
  <c r="H101" i="18"/>
  <c r="H100" i="18"/>
  <c r="H14" i="18"/>
  <c r="H99" i="18"/>
  <c r="H98" i="18"/>
  <c r="H97" i="18"/>
  <c r="H13" i="18"/>
  <c r="H96" i="18"/>
  <c r="H12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35" i="18"/>
  <c r="H34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58" i="18"/>
  <c r="H57" i="18"/>
  <c r="H56" i="18"/>
  <c r="H55" i="18"/>
  <c r="H54" i="18"/>
  <c r="H53" i="18"/>
  <c r="H52" i="18"/>
  <c r="H51" i="18"/>
  <c r="H223" i="18"/>
  <c r="H50" i="18"/>
  <c r="H49" i="18"/>
  <c r="H48" i="18"/>
  <c r="H47" i="18"/>
  <c r="H46" i="18"/>
  <c r="H45" i="18"/>
  <c r="H44" i="18"/>
  <c r="H43" i="18"/>
  <c r="H42" i="18"/>
  <c r="H41" i="18"/>
  <c r="H40" i="18"/>
  <c r="H33" i="18"/>
  <c r="H39" i="18"/>
  <c r="H38" i="18"/>
  <c r="H37" i="18"/>
  <c r="H36" i="18"/>
  <c r="H222" i="18"/>
  <c r="H221" i="18"/>
  <c r="H220" i="18"/>
  <c r="H219" i="18"/>
  <c r="H32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A36" i="64"/>
  <c r="L5" i="67"/>
  <c r="K5" i="67"/>
  <c r="J5" i="67"/>
  <c r="F8" i="61" s="1"/>
  <c r="I5" i="67"/>
  <c r="H5" i="67"/>
  <c r="G5" i="67"/>
  <c r="F9" i="61" s="1"/>
  <c r="I61" i="5" l="1"/>
  <c r="AD61" i="5" s="1"/>
  <c r="I53" i="5"/>
  <c r="AD53" i="5" s="1"/>
  <c r="I45" i="5"/>
  <c r="AD45" i="5" s="1"/>
  <c r="I37" i="5"/>
  <c r="AD37" i="5" s="1"/>
  <c r="I29" i="5"/>
  <c r="AD29" i="5" s="1"/>
  <c r="I21" i="5"/>
  <c r="AD21" i="5" s="1"/>
  <c r="I13" i="5"/>
  <c r="AD13" i="5" s="1"/>
  <c r="H64" i="5"/>
  <c r="AC64" i="5" s="1"/>
  <c r="H56" i="5"/>
  <c r="AC56" i="5" s="1"/>
  <c r="H48" i="5"/>
  <c r="AC48" i="5" s="1"/>
  <c r="H40" i="5"/>
  <c r="AC40" i="5" s="1"/>
  <c r="H32" i="5"/>
  <c r="AC32" i="5" s="1"/>
  <c r="H24" i="5"/>
  <c r="AC24" i="5" s="1"/>
  <c r="H16" i="5"/>
  <c r="AC16" i="5" s="1"/>
  <c r="H8" i="5"/>
  <c r="AC8" i="5" s="1"/>
  <c r="I58" i="5"/>
  <c r="AD58" i="5" s="1"/>
  <c r="H61" i="5"/>
  <c r="AC61" i="5" s="1"/>
  <c r="H37" i="5"/>
  <c r="AC37" i="5" s="1"/>
  <c r="I60" i="5"/>
  <c r="AD60" i="5" s="1"/>
  <c r="I52" i="5"/>
  <c r="AD52" i="5" s="1"/>
  <c r="I44" i="5"/>
  <c r="AD44" i="5" s="1"/>
  <c r="I36" i="5"/>
  <c r="AD36" i="5" s="1"/>
  <c r="I28" i="5"/>
  <c r="AD28" i="5" s="1"/>
  <c r="I20" i="5"/>
  <c r="AD20" i="5" s="1"/>
  <c r="I12" i="5"/>
  <c r="AD12" i="5" s="1"/>
  <c r="H63" i="5"/>
  <c r="AC63" i="5" s="1"/>
  <c r="H55" i="5"/>
  <c r="AC55" i="5" s="1"/>
  <c r="H47" i="5"/>
  <c r="AC47" i="5" s="1"/>
  <c r="H39" i="5"/>
  <c r="AC39" i="5" s="1"/>
  <c r="H31" i="5"/>
  <c r="AC31" i="5" s="1"/>
  <c r="H23" i="5"/>
  <c r="AC23" i="5" s="1"/>
  <c r="H15" i="5"/>
  <c r="AC15" i="5" s="1"/>
  <c r="I59" i="5"/>
  <c r="AD59" i="5" s="1"/>
  <c r="I51" i="5"/>
  <c r="AD51" i="5" s="1"/>
  <c r="I43" i="5"/>
  <c r="AD43" i="5" s="1"/>
  <c r="I35" i="5"/>
  <c r="AD35" i="5" s="1"/>
  <c r="I27" i="5"/>
  <c r="AD27" i="5" s="1"/>
  <c r="I19" i="5"/>
  <c r="AD19" i="5" s="1"/>
  <c r="I11" i="5"/>
  <c r="AD11" i="5" s="1"/>
  <c r="H62" i="5"/>
  <c r="AC62" i="5" s="1"/>
  <c r="H54" i="5"/>
  <c r="AC54" i="5" s="1"/>
  <c r="H46" i="5"/>
  <c r="AC46" i="5" s="1"/>
  <c r="H38" i="5"/>
  <c r="AC38" i="5" s="1"/>
  <c r="H30" i="5"/>
  <c r="AC30" i="5" s="1"/>
  <c r="H22" i="5"/>
  <c r="AC22" i="5" s="1"/>
  <c r="H14" i="5"/>
  <c r="AC14" i="5" s="1"/>
  <c r="H21" i="5"/>
  <c r="AC21" i="5" s="1"/>
  <c r="I66" i="5"/>
  <c r="AD66" i="5" s="1"/>
  <c r="I65" i="5"/>
  <c r="AD65" i="5" s="1"/>
  <c r="I57" i="5"/>
  <c r="AD57" i="5" s="1"/>
  <c r="I49" i="5"/>
  <c r="AD49" i="5" s="1"/>
  <c r="I41" i="5"/>
  <c r="AD41" i="5" s="1"/>
  <c r="I33" i="5"/>
  <c r="AD33" i="5" s="1"/>
  <c r="I25" i="5"/>
  <c r="AD25" i="5" s="1"/>
  <c r="I17" i="5"/>
  <c r="AD17" i="5" s="1"/>
  <c r="I9" i="5"/>
  <c r="AD9" i="5" s="1"/>
  <c r="H60" i="5"/>
  <c r="AC60" i="5" s="1"/>
  <c r="H52" i="5"/>
  <c r="AC52" i="5" s="1"/>
  <c r="H44" i="5"/>
  <c r="AC44" i="5" s="1"/>
  <c r="H36" i="5"/>
  <c r="AC36" i="5" s="1"/>
  <c r="H28" i="5"/>
  <c r="AC28" i="5" s="1"/>
  <c r="H20" i="5"/>
  <c r="AC20" i="5" s="1"/>
  <c r="H12" i="5"/>
  <c r="AC12" i="5" s="1"/>
  <c r="I50" i="5"/>
  <c r="AD50" i="5" s="1"/>
  <c r="I10" i="5"/>
  <c r="AD10" i="5" s="1"/>
  <c r="H29" i="5"/>
  <c r="AC29" i="5" s="1"/>
  <c r="I64" i="5"/>
  <c r="AD64" i="5" s="1"/>
  <c r="I56" i="5"/>
  <c r="AD56" i="5" s="1"/>
  <c r="I48" i="5"/>
  <c r="AD48" i="5" s="1"/>
  <c r="I40" i="5"/>
  <c r="AD40" i="5" s="1"/>
  <c r="I32" i="5"/>
  <c r="AD32" i="5" s="1"/>
  <c r="I24" i="5"/>
  <c r="AD24" i="5" s="1"/>
  <c r="I16" i="5"/>
  <c r="AD16" i="5" s="1"/>
  <c r="I8" i="5"/>
  <c r="AD8" i="5" s="1"/>
  <c r="H59" i="5"/>
  <c r="AC59" i="5" s="1"/>
  <c r="H51" i="5"/>
  <c r="AC51" i="5" s="1"/>
  <c r="H43" i="5"/>
  <c r="AC43" i="5" s="1"/>
  <c r="H35" i="5"/>
  <c r="AC35" i="5" s="1"/>
  <c r="H27" i="5"/>
  <c r="AC27" i="5" s="1"/>
  <c r="H19" i="5"/>
  <c r="AC19" i="5" s="1"/>
  <c r="H11" i="5"/>
  <c r="AC11" i="5" s="1"/>
  <c r="I63" i="5"/>
  <c r="AD63" i="5" s="1"/>
  <c r="I55" i="5"/>
  <c r="AD55" i="5" s="1"/>
  <c r="I47" i="5"/>
  <c r="AD47" i="5" s="1"/>
  <c r="I39" i="5"/>
  <c r="AD39" i="5" s="1"/>
  <c r="I31" i="5"/>
  <c r="AD31" i="5" s="1"/>
  <c r="I23" i="5"/>
  <c r="AD23" i="5" s="1"/>
  <c r="I15" i="5"/>
  <c r="AD15" i="5" s="1"/>
  <c r="H66" i="5"/>
  <c r="AC66" i="5" s="1"/>
  <c r="H58" i="5"/>
  <c r="AC58" i="5" s="1"/>
  <c r="H50" i="5"/>
  <c r="AC50" i="5" s="1"/>
  <c r="H42" i="5"/>
  <c r="AC42" i="5" s="1"/>
  <c r="H34" i="5"/>
  <c r="AC34" i="5" s="1"/>
  <c r="H26" i="5"/>
  <c r="AC26" i="5" s="1"/>
  <c r="H18" i="5"/>
  <c r="AC18" i="5" s="1"/>
  <c r="H10" i="5"/>
  <c r="AC10" i="5" s="1"/>
  <c r="I34" i="5"/>
  <c r="AD34" i="5" s="1"/>
  <c r="I26" i="5"/>
  <c r="AD26" i="5" s="1"/>
  <c r="H53" i="5"/>
  <c r="AC53" i="5" s="1"/>
  <c r="I62" i="5"/>
  <c r="AD62" i="5" s="1"/>
  <c r="I54" i="5"/>
  <c r="AD54" i="5" s="1"/>
  <c r="I46" i="5"/>
  <c r="AD46" i="5" s="1"/>
  <c r="I38" i="5"/>
  <c r="AD38" i="5" s="1"/>
  <c r="I30" i="5"/>
  <c r="AD30" i="5" s="1"/>
  <c r="I22" i="5"/>
  <c r="AD22" i="5" s="1"/>
  <c r="I14" i="5"/>
  <c r="AD14" i="5" s="1"/>
  <c r="H65" i="5"/>
  <c r="AC65" i="5" s="1"/>
  <c r="H57" i="5"/>
  <c r="AC57" i="5" s="1"/>
  <c r="H49" i="5"/>
  <c r="AC49" i="5" s="1"/>
  <c r="H41" i="5"/>
  <c r="AC41" i="5" s="1"/>
  <c r="H33" i="5"/>
  <c r="AC33" i="5" s="1"/>
  <c r="H25" i="5"/>
  <c r="AC25" i="5" s="1"/>
  <c r="H17" i="5"/>
  <c r="AC17" i="5" s="1"/>
  <c r="H9" i="5"/>
  <c r="AC9" i="5" s="1"/>
  <c r="I42" i="5"/>
  <c r="AD42" i="5" s="1"/>
  <c r="I18" i="5"/>
  <c r="AD18" i="5" s="1"/>
  <c r="H45" i="5"/>
  <c r="AC45" i="5" s="1"/>
  <c r="H13" i="5"/>
  <c r="AC13" i="5" s="1"/>
  <c r="L8" i="61"/>
  <c r="L31" i="61" s="1"/>
  <c r="L10" i="61"/>
  <c r="M10" i="61"/>
  <c r="L14" i="61" l="1"/>
  <c r="L54" i="61"/>
  <c r="L41" i="61"/>
  <c r="N10" i="61"/>
  <c r="L15" i="61"/>
  <c r="L30" i="61"/>
  <c r="L36" i="61"/>
  <c r="L49" i="61"/>
  <c r="L29" i="61"/>
  <c r="L33" i="61"/>
  <c r="G7" i="62" s="1"/>
  <c r="L38" i="61"/>
  <c r="L25" i="61"/>
  <c r="L16" i="61"/>
  <c r="L40" i="61"/>
  <c r="L28" i="61"/>
  <c r="L48" i="61"/>
  <c r="L39" i="61"/>
  <c r="L26" i="61"/>
  <c r="L47" i="61"/>
  <c r="L35" i="61"/>
  <c r="L46" i="61"/>
  <c r="L37" i="61"/>
  <c r="L24" i="61"/>
  <c r="L45" i="61"/>
  <c r="L44" i="61"/>
  <c r="L32" i="61"/>
  <c r="L43" i="61"/>
  <c r="L18" i="61" l="1"/>
  <c r="M8" i="61"/>
  <c r="M9" i="61"/>
  <c r="M32" i="61" l="1"/>
  <c r="N32" i="61" s="1"/>
  <c r="N8" i="61"/>
  <c r="M50" i="61"/>
  <c r="N50" i="61" s="1"/>
  <c r="B9" i="18"/>
  <c r="A7" i="64"/>
  <c r="B9" i="65"/>
  <c r="J9" i="65" l="1"/>
  <c r="I9" i="65"/>
  <c r="H9" i="65"/>
  <c r="E9" i="65"/>
  <c r="J7" i="65"/>
  <c r="I7" i="65"/>
  <c r="I9" i="18"/>
  <c r="L5" i="5" l="1"/>
  <c r="L2" i="5" s="1"/>
  <c r="L1" i="5" s="1"/>
  <c r="K5" i="5"/>
  <c r="K2" i="5" s="1"/>
  <c r="K1" i="5" s="1"/>
  <c r="G7" i="65"/>
  <c r="A17" i="64"/>
  <c r="G8" i="61" l="1"/>
  <c r="G10" i="61"/>
  <c r="G9" i="61" l="1"/>
  <c r="L9" i="61"/>
  <c r="N9" i="61" s="1"/>
  <c r="D27" i="61"/>
  <c r="L27" i="61" s="1"/>
  <c r="A53" i="64" l="1"/>
  <c r="C4" i="58"/>
  <c r="C5" i="58" s="1"/>
  <c r="C6" i="58" s="1"/>
  <c r="C7" i="58" s="1"/>
  <c r="C8" i="58" s="1"/>
  <c r="C9" i="58" s="1"/>
  <c r="I10" i="61"/>
  <c r="F3" i="62" l="1"/>
  <c r="A55" i="64" l="1"/>
  <c r="F10" i="62" l="1"/>
  <c r="F8" i="62"/>
  <c r="A87" i="64"/>
  <c r="A86" i="64"/>
  <c r="A85" i="64"/>
  <c r="A84" i="64"/>
  <c r="A83" i="64"/>
  <c r="A82" i="64"/>
  <c r="A81" i="64"/>
  <c r="A80" i="64"/>
  <c r="A79" i="64"/>
  <c r="A78" i="64"/>
  <c r="A77" i="64"/>
  <c r="A76" i="64"/>
  <c r="A73" i="64"/>
  <c r="A72" i="64"/>
  <c r="A71" i="64"/>
  <c r="A70" i="64"/>
  <c r="A69" i="64"/>
  <c r="A68" i="64"/>
  <c r="A67" i="64"/>
  <c r="A66" i="64"/>
  <c r="A65" i="64"/>
  <c r="A64" i="64"/>
  <c r="A63" i="64"/>
  <c r="A62" i="64"/>
  <c r="A61" i="64"/>
  <c r="A60" i="64"/>
  <c r="A59" i="64"/>
  <c r="A58" i="64"/>
  <c r="A57" i="64"/>
  <c r="A54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56" i="64"/>
  <c r="A23" i="64"/>
  <c r="A22" i="64"/>
  <c r="A20" i="64"/>
  <c r="A19" i="64"/>
  <c r="A18" i="64"/>
  <c r="A16" i="64"/>
  <c r="A15" i="64"/>
  <c r="A14" i="64"/>
  <c r="A13" i="64"/>
  <c r="A12" i="64"/>
  <c r="A11" i="64"/>
  <c r="A10" i="64"/>
  <c r="A9" i="64"/>
  <c r="A8" i="64"/>
  <c r="A6" i="64"/>
  <c r="A5" i="64"/>
  <c r="F66" i="5" l="1"/>
  <c r="A66" i="5"/>
  <c r="F29" i="5"/>
  <c r="E34" i="72" s="1"/>
  <c r="A29" i="5"/>
  <c r="F60" i="5"/>
  <c r="A60" i="5"/>
  <c r="F27" i="5"/>
  <c r="A27" i="5"/>
  <c r="F65" i="5"/>
  <c r="E11" i="72" s="1"/>
  <c r="F48" i="5"/>
  <c r="A24" i="5"/>
  <c r="A65" i="5"/>
  <c r="A48" i="5"/>
  <c r="F24" i="5"/>
  <c r="A49" i="5"/>
  <c r="F49" i="5"/>
  <c r="F45" i="5"/>
  <c r="A45" i="5"/>
  <c r="F64" i="5"/>
  <c r="A64" i="5"/>
  <c r="F57" i="5"/>
  <c r="F50" i="5"/>
  <c r="A59" i="5"/>
  <c r="F56" i="5"/>
  <c r="F47" i="5"/>
  <c r="A58" i="5"/>
  <c r="A51" i="5"/>
  <c r="F55" i="5"/>
  <c r="F46" i="5"/>
  <c r="A57" i="5"/>
  <c r="A50" i="5"/>
  <c r="F63" i="5"/>
  <c r="F54" i="5"/>
  <c r="F44" i="5"/>
  <c r="A56" i="5"/>
  <c r="A47" i="5"/>
  <c r="F62" i="5"/>
  <c r="F53" i="5"/>
  <c r="F43" i="5"/>
  <c r="A55" i="5"/>
  <c r="A46" i="5"/>
  <c r="A61" i="5"/>
  <c r="F61" i="5"/>
  <c r="E346" i="18" s="1"/>
  <c r="F52" i="5"/>
  <c r="A63" i="5"/>
  <c r="A54" i="5"/>
  <c r="A44" i="5"/>
  <c r="F51" i="5"/>
  <c r="F59" i="5"/>
  <c r="A62" i="5"/>
  <c r="A53" i="5"/>
  <c r="A43" i="5"/>
  <c r="F58" i="5"/>
  <c r="A52" i="5"/>
  <c r="F39" i="5"/>
  <c r="F32" i="5"/>
  <c r="F23" i="5"/>
  <c r="F15" i="5"/>
  <c r="F8" i="5"/>
  <c r="E12" i="69" s="1"/>
  <c r="F38" i="5"/>
  <c r="F31" i="5"/>
  <c r="E38" i="72" s="1"/>
  <c r="F22" i="5"/>
  <c r="F14" i="5"/>
  <c r="F37" i="5"/>
  <c r="E30" i="72" s="1"/>
  <c r="F30" i="5"/>
  <c r="E12" i="72" s="1"/>
  <c r="F21" i="5"/>
  <c r="E36" i="71" s="1"/>
  <c r="F36" i="5"/>
  <c r="F20" i="5"/>
  <c r="F13" i="5"/>
  <c r="F42" i="5"/>
  <c r="E368" i="18" s="1"/>
  <c r="F35" i="5"/>
  <c r="F28" i="5"/>
  <c r="F19" i="5"/>
  <c r="F12" i="5"/>
  <c r="F34" i="5"/>
  <c r="F26" i="5"/>
  <c r="F18" i="5"/>
  <c r="E17" i="71" s="1"/>
  <c r="F11" i="5"/>
  <c r="E11" i="71" s="1"/>
  <c r="F41" i="5"/>
  <c r="F33" i="5"/>
  <c r="F25" i="5"/>
  <c r="E123" i="71" s="1"/>
  <c r="F17" i="5"/>
  <c r="E37" i="72" s="1"/>
  <c r="F10" i="5"/>
  <c r="E38" i="70" s="1"/>
  <c r="F40" i="5"/>
  <c r="F16" i="5"/>
  <c r="E29" i="69" s="1"/>
  <c r="F9" i="5"/>
  <c r="A39" i="5"/>
  <c r="A40" i="5"/>
  <c r="A41" i="5"/>
  <c r="A34" i="5"/>
  <c r="A35" i="5"/>
  <c r="A42" i="5"/>
  <c r="A36" i="5"/>
  <c r="A37" i="5"/>
  <c r="A38" i="5"/>
  <c r="A8" i="5"/>
  <c r="A12" i="5"/>
  <c r="A15" i="5"/>
  <c r="A19" i="5"/>
  <c r="A23" i="5"/>
  <c r="A28" i="5"/>
  <c r="A32" i="5"/>
  <c r="A11" i="5"/>
  <c r="A14" i="5"/>
  <c r="A18" i="5"/>
  <c r="A22" i="5"/>
  <c r="A26" i="5"/>
  <c r="A31" i="5"/>
  <c r="A10" i="5"/>
  <c r="A17" i="5"/>
  <c r="A21" i="5"/>
  <c r="A25" i="5"/>
  <c r="A30" i="5"/>
  <c r="A33" i="5"/>
  <c r="A9" i="5"/>
  <c r="A13" i="5"/>
  <c r="A16" i="5"/>
  <c r="A20" i="5"/>
  <c r="E10" i="61"/>
  <c r="E9" i="61"/>
  <c r="E8" i="61"/>
  <c r="E29" i="61" s="1"/>
  <c r="F6" i="62"/>
  <c r="F11" i="62" s="1"/>
  <c r="D42" i="61"/>
  <c r="L42" i="61" s="1"/>
  <c r="D34" i="61"/>
  <c r="L34" i="61" s="1"/>
  <c r="D23" i="61"/>
  <c r="L23" i="61" s="1"/>
  <c r="D18" i="61"/>
  <c r="E69" i="72" l="1"/>
  <c r="E68" i="72"/>
  <c r="E16" i="72"/>
  <c r="E17" i="72"/>
  <c r="E18" i="72"/>
  <c r="E19" i="72"/>
  <c r="E20" i="72"/>
  <c r="E21" i="72"/>
  <c r="E22" i="72"/>
  <c r="E23" i="72"/>
  <c r="E18" i="71"/>
  <c r="E65" i="72"/>
  <c r="E48" i="72"/>
  <c r="E43" i="72"/>
  <c r="E44" i="72"/>
  <c r="E45" i="72"/>
  <c r="E46" i="72"/>
  <c r="E47" i="72"/>
  <c r="E34" i="71"/>
  <c r="E49" i="72"/>
  <c r="E35" i="72"/>
  <c r="E36" i="72"/>
  <c r="E35" i="71"/>
  <c r="E50" i="72"/>
  <c r="E39" i="72"/>
  <c r="E40" i="72"/>
  <c r="E41" i="72"/>
  <c r="E42" i="72"/>
  <c r="E13" i="72"/>
  <c r="E14" i="72"/>
  <c r="E15" i="72"/>
  <c r="E24" i="72"/>
  <c r="E25" i="72"/>
  <c r="E63" i="72"/>
  <c r="E55" i="72"/>
  <c r="E64" i="72"/>
  <c r="E56" i="72"/>
  <c r="E57" i="72"/>
  <c r="E58" i="72"/>
  <c r="E59" i="72"/>
  <c r="E51" i="72"/>
  <c r="E60" i="72"/>
  <c r="E52" i="72"/>
  <c r="E61" i="72"/>
  <c r="E53" i="72"/>
  <c r="E62" i="72"/>
  <c r="E54" i="72"/>
  <c r="E31" i="72"/>
  <c r="E32" i="72"/>
  <c r="E33" i="72"/>
  <c r="E26" i="72"/>
  <c r="E27" i="72"/>
  <c r="E28" i="72"/>
  <c r="E29" i="72"/>
  <c r="E112" i="71"/>
  <c r="E104" i="71"/>
  <c r="E111" i="71"/>
  <c r="E103" i="71"/>
  <c r="E110" i="71"/>
  <c r="E102" i="71"/>
  <c r="E109" i="71"/>
  <c r="E101" i="71"/>
  <c r="E108" i="71"/>
  <c r="E100" i="71"/>
  <c r="E115" i="71"/>
  <c r="E107" i="71"/>
  <c r="E99" i="71"/>
  <c r="E114" i="71"/>
  <c r="E106" i="71"/>
  <c r="E98" i="71"/>
  <c r="E113" i="71"/>
  <c r="E105" i="71"/>
  <c r="E88" i="71"/>
  <c r="E80" i="71"/>
  <c r="E72" i="71"/>
  <c r="E95" i="71"/>
  <c r="E87" i="71"/>
  <c r="E79" i="71"/>
  <c r="E94" i="71"/>
  <c r="E86" i="71"/>
  <c r="E93" i="71"/>
  <c r="E85" i="71"/>
  <c r="E77" i="71"/>
  <c r="E92" i="71"/>
  <c r="E84" i="71"/>
  <c r="E76" i="71"/>
  <c r="E91" i="71"/>
  <c r="E83" i="71"/>
  <c r="E75" i="71"/>
  <c r="E90" i="71"/>
  <c r="E82" i="71"/>
  <c r="E74" i="71"/>
  <c r="E89" i="71"/>
  <c r="E81" i="71"/>
  <c r="E73" i="71"/>
  <c r="E78" i="71"/>
  <c r="E92" i="70"/>
  <c r="E96" i="71"/>
  <c r="E29" i="71"/>
  <c r="E28" i="71"/>
  <c r="E40" i="71"/>
  <c r="E39" i="71"/>
  <c r="E38" i="71"/>
  <c r="E37" i="71"/>
  <c r="E41" i="71"/>
  <c r="E128" i="71"/>
  <c r="E127" i="71"/>
  <c r="E126" i="71"/>
  <c r="E125" i="71"/>
  <c r="E124" i="71"/>
  <c r="E129" i="71"/>
  <c r="E43" i="71"/>
  <c r="E42" i="71"/>
  <c r="E119" i="71"/>
  <c r="E118" i="71"/>
  <c r="E117" i="71"/>
  <c r="E116" i="71"/>
  <c r="E110" i="70"/>
  <c r="E122" i="71"/>
  <c r="E32" i="71"/>
  <c r="E31" i="71"/>
  <c r="E33" i="71"/>
  <c r="E30" i="71"/>
  <c r="E71" i="71"/>
  <c r="E70" i="71"/>
  <c r="E69" i="71"/>
  <c r="E93" i="70"/>
  <c r="E97" i="71"/>
  <c r="E24" i="71"/>
  <c r="E23" i="71"/>
  <c r="E21" i="71"/>
  <c r="E22" i="71"/>
  <c r="E20" i="71"/>
  <c r="E27" i="71"/>
  <c r="E19" i="71"/>
  <c r="E26" i="71"/>
  <c r="E25" i="71"/>
  <c r="E16" i="71"/>
  <c r="E15" i="71"/>
  <c r="E13" i="71"/>
  <c r="E12" i="71"/>
  <c r="E15" i="70"/>
  <c r="E120" i="71"/>
  <c r="E121" i="71"/>
  <c r="E64" i="71"/>
  <c r="E56" i="71"/>
  <c r="E48" i="71"/>
  <c r="E54" i="71"/>
  <c r="E63" i="71"/>
  <c r="E55" i="71"/>
  <c r="E47" i="71"/>
  <c r="E46" i="71"/>
  <c r="E61" i="71"/>
  <c r="E53" i="71"/>
  <c r="E45" i="71"/>
  <c r="E68" i="71"/>
  <c r="E60" i="71"/>
  <c r="E52" i="71"/>
  <c r="E44" i="71"/>
  <c r="E67" i="71"/>
  <c r="E59" i="71"/>
  <c r="E51" i="71"/>
  <c r="E66" i="71"/>
  <c r="E58" i="71"/>
  <c r="E50" i="71"/>
  <c r="E65" i="71"/>
  <c r="E57" i="71"/>
  <c r="E49" i="71"/>
  <c r="E62" i="71"/>
  <c r="E28" i="69"/>
  <c r="E14" i="71"/>
  <c r="E102" i="70"/>
  <c r="E101" i="70"/>
  <c r="E99" i="70"/>
  <c r="E96" i="70"/>
  <c r="E100" i="70"/>
  <c r="E98" i="70"/>
  <c r="E97" i="70"/>
  <c r="E94" i="70"/>
  <c r="E105" i="70"/>
  <c r="E103" i="70"/>
  <c r="E104" i="70"/>
  <c r="E95" i="70"/>
  <c r="E87" i="70"/>
  <c r="E90" i="70"/>
  <c r="E91" i="70"/>
  <c r="E89" i="70"/>
  <c r="E88" i="70"/>
  <c r="E256" i="69"/>
  <c r="E36" i="70"/>
  <c r="E35" i="70"/>
  <c r="E27" i="70"/>
  <c r="E34" i="70"/>
  <c r="E26" i="70"/>
  <c r="E20" i="70"/>
  <c r="E25" i="70"/>
  <c r="E33" i="70"/>
  <c r="E32" i="70"/>
  <c r="E24" i="70"/>
  <c r="E18" i="70"/>
  <c r="E31" i="70"/>
  <c r="E23" i="70"/>
  <c r="E19" i="70"/>
  <c r="E30" i="70"/>
  <c r="E22" i="70"/>
  <c r="E28" i="70"/>
  <c r="E37" i="70"/>
  <c r="E29" i="70"/>
  <c r="E21" i="70"/>
  <c r="E75" i="70"/>
  <c r="E82" i="70"/>
  <c r="E81" i="70"/>
  <c r="E80" i="70"/>
  <c r="E73" i="70"/>
  <c r="E158" i="69"/>
  <c r="E39" i="70"/>
  <c r="E113" i="70"/>
  <c r="E112" i="70"/>
  <c r="E115" i="70"/>
  <c r="E111" i="70"/>
  <c r="E114" i="70"/>
  <c r="E47" i="70"/>
  <c r="E46" i="70"/>
  <c r="E45" i="70"/>
  <c r="E42" i="70"/>
  <c r="E43" i="70"/>
  <c r="E30" i="69"/>
  <c r="E109" i="70"/>
  <c r="E108" i="70"/>
  <c r="E48" i="69"/>
  <c r="E125" i="70"/>
  <c r="E107" i="70"/>
  <c r="E106" i="70"/>
  <c r="E49" i="69"/>
  <c r="E124" i="70"/>
  <c r="E118" i="70"/>
  <c r="E117" i="70"/>
  <c r="E119" i="70"/>
  <c r="E116" i="70"/>
  <c r="E130" i="70"/>
  <c r="E129" i="70"/>
  <c r="E127" i="70"/>
  <c r="E128" i="70"/>
  <c r="E126" i="70"/>
  <c r="E23" i="65"/>
  <c r="E135" i="70"/>
  <c r="E134" i="70"/>
  <c r="E133" i="70"/>
  <c r="E131" i="70"/>
  <c r="E132" i="70"/>
  <c r="E17" i="70"/>
  <c r="E16" i="70"/>
  <c r="E14" i="70"/>
  <c r="E13" i="70"/>
  <c r="E123" i="70"/>
  <c r="E122" i="70"/>
  <c r="E121" i="70"/>
  <c r="E120" i="70"/>
  <c r="E76" i="70"/>
  <c r="E55" i="70"/>
  <c r="E78" i="70"/>
  <c r="E54" i="70"/>
  <c r="E59" i="70"/>
  <c r="E77" i="70"/>
  <c r="E69" i="70"/>
  <c r="E61" i="70"/>
  <c r="E53" i="70"/>
  <c r="E48" i="70"/>
  <c r="E51" i="70"/>
  <c r="E84" i="70"/>
  <c r="E68" i="70"/>
  <c r="E60" i="70"/>
  <c r="E52" i="70"/>
  <c r="E86" i="70"/>
  <c r="E83" i="70"/>
  <c r="E74" i="70"/>
  <c r="E67" i="70"/>
  <c r="E66" i="70"/>
  <c r="E58" i="70"/>
  <c r="E65" i="70"/>
  <c r="E57" i="70"/>
  <c r="E50" i="70"/>
  <c r="E44" i="70"/>
  <c r="E62" i="70"/>
  <c r="E72" i="70"/>
  <c r="E64" i="70"/>
  <c r="E56" i="70"/>
  <c r="E49" i="70"/>
  <c r="E41" i="70"/>
  <c r="E85" i="70"/>
  <c r="E79" i="70"/>
  <c r="E71" i="70"/>
  <c r="E63" i="70"/>
  <c r="E40" i="70"/>
  <c r="E70" i="70"/>
  <c r="E255" i="69"/>
  <c r="E254" i="69"/>
  <c r="E199" i="69"/>
  <c r="E193" i="69"/>
  <c r="E198" i="69"/>
  <c r="E208" i="69"/>
  <c r="E192" i="69"/>
  <c r="E191" i="69"/>
  <c r="E203" i="69"/>
  <c r="E207" i="69"/>
  <c r="E202" i="69"/>
  <c r="E196" i="69"/>
  <c r="E189" i="69"/>
  <c r="E206" i="69"/>
  <c r="E201" i="69"/>
  <c r="E205" i="69"/>
  <c r="E195" i="69"/>
  <c r="E188" i="69"/>
  <c r="E194" i="69"/>
  <c r="E190" i="69"/>
  <c r="E204" i="69"/>
  <c r="E200" i="69"/>
  <c r="E197" i="69"/>
  <c r="E170" i="69"/>
  <c r="E166" i="69"/>
  <c r="E149" i="69"/>
  <c r="E137" i="69"/>
  <c r="E153" i="69"/>
  <c r="E144" i="69"/>
  <c r="E177" i="69"/>
  <c r="E174" i="69"/>
  <c r="E142" i="69"/>
  <c r="E150" i="69"/>
  <c r="E178" i="69"/>
  <c r="E165" i="69"/>
  <c r="E148" i="69"/>
  <c r="E145" i="69"/>
  <c r="E139" i="69"/>
  <c r="E136" i="69"/>
  <c r="E143" i="69"/>
  <c r="E151" i="69"/>
  <c r="E141" i="69"/>
  <c r="E147" i="69"/>
  <c r="E140" i="69"/>
  <c r="E169" i="69"/>
  <c r="E163" i="69"/>
  <c r="E160" i="69"/>
  <c r="E176" i="69"/>
  <c r="E168" i="69"/>
  <c r="E162" i="69"/>
  <c r="E156" i="69"/>
  <c r="E175" i="69"/>
  <c r="E173" i="69"/>
  <c r="E172" i="69"/>
  <c r="E167" i="69"/>
  <c r="E164" i="69"/>
  <c r="E161" i="69"/>
  <c r="E155" i="69"/>
  <c r="E135" i="69"/>
  <c r="E157" i="69"/>
  <c r="E146" i="69"/>
  <c r="E138" i="69"/>
  <c r="E152" i="69"/>
  <c r="E171" i="69"/>
  <c r="E154" i="69"/>
  <c r="E187" i="69"/>
  <c r="E184" i="69"/>
  <c r="E180" i="69"/>
  <c r="E186" i="69"/>
  <c r="E183" i="69"/>
  <c r="E179" i="69"/>
  <c r="E182" i="69"/>
  <c r="E185" i="69"/>
  <c r="E181" i="69"/>
  <c r="E45" i="69"/>
  <c r="E43" i="69"/>
  <c r="E42" i="69"/>
  <c r="E44" i="69"/>
  <c r="E63" i="69"/>
  <c r="E68" i="69"/>
  <c r="E62" i="69"/>
  <c r="E61" i="69"/>
  <c r="E67" i="69"/>
  <c r="E59" i="69"/>
  <c r="E66" i="69"/>
  <c r="E58" i="69"/>
  <c r="E65" i="69"/>
  <c r="E57" i="69"/>
  <c r="E64" i="69"/>
  <c r="E60" i="69"/>
  <c r="E251" i="69"/>
  <c r="E243" i="69"/>
  <c r="E250" i="69"/>
  <c r="E248" i="69"/>
  <c r="E242" i="69"/>
  <c r="E249" i="69"/>
  <c r="E247" i="69"/>
  <c r="E246" i="69"/>
  <c r="E244" i="69"/>
  <c r="E245" i="69"/>
  <c r="E15" i="69"/>
  <c r="E14" i="69"/>
  <c r="E17" i="69"/>
  <c r="E16" i="69"/>
  <c r="E13" i="69"/>
  <c r="E74" i="69"/>
  <c r="E69" i="69"/>
  <c r="E71" i="69"/>
  <c r="E73" i="69"/>
  <c r="E72" i="69"/>
  <c r="E70" i="69"/>
  <c r="E75" i="69"/>
  <c r="E76" i="69"/>
  <c r="E223" i="69"/>
  <c r="E211" i="69"/>
  <c r="E222" i="69"/>
  <c r="E210" i="69"/>
  <c r="E221" i="69"/>
  <c r="E209" i="69"/>
  <c r="E214" i="69"/>
  <c r="E225" i="69"/>
  <c r="E226" i="69"/>
  <c r="E220" i="69"/>
  <c r="E218" i="69"/>
  <c r="E213" i="69"/>
  <c r="E217" i="69"/>
  <c r="E212" i="69"/>
  <c r="E215" i="69"/>
  <c r="E219" i="69"/>
  <c r="E224" i="69"/>
  <c r="E216" i="69"/>
  <c r="E234" i="69"/>
  <c r="E231" i="69"/>
  <c r="E232" i="69"/>
  <c r="E230" i="69"/>
  <c r="E233" i="69"/>
  <c r="E47" i="69"/>
  <c r="E46" i="69"/>
  <c r="E133" i="69"/>
  <c r="E132" i="69"/>
  <c r="E134" i="69"/>
  <c r="E131" i="69"/>
  <c r="E31" i="69"/>
  <c r="E34" i="69"/>
  <c r="E39" i="69"/>
  <c r="E40" i="69"/>
  <c r="E41" i="69"/>
  <c r="E37" i="69"/>
  <c r="E36" i="69"/>
  <c r="E33" i="69"/>
  <c r="E35" i="69"/>
  <c r="E32" i="69"/>
  <c r="E38" i="69"/>
  <c r="E235" i="69"/>
  <c r="E236" i="69"/>
  <c r="E55" i="69"/>
  <c r="E53" i="69"/>
  <c r="E54" i="69"/>
  <c r="E52" i="69"/>
  <c r="E51" i="69"/>
  <c r="E50" i="69"/>
  <c r="E56" i="69"/>
  <c r="E25" i="69"/>
  <c r="E24" i="69"/>
  <c r="E23" i="69"/>
  <c r="E22" i="69"/>
  <c r="E21" i="69"/>
  <c r="E20" i="69"/>
  <c r="E27" i="69"/>
  <c r="E19" i="69"/>
  <c r="E26" i="69"/>
  <c r="E18" i="69"/>
  <c r="E238" i="69"/>
  <c r="E237" i="69"/>
  <c r="E240" i="69"/>
  <c r="E241" i="69"/>
  <c r="E239" i="69"/>
  <c r="E229" i="69"/>
  <c r="E227" i="69"/>
  <c r="E228" i="69"/>
  <c r="E126" i="69"/>
  <c r="E118" i="69"/>
  <c r="E106" i="69"/>
  <c r="E100" i="69"/>
  <c r="E78" i="69"/>
  <c r="E104" i="69"/>
  <c r="E98" i="69"/>
  <c r="E123" i="69"/>
  <c r="E103" i="69"/>
  <c r="E97" i="69"/>
  <c r="E88" i="69"/>
  <c r="E125" i="69"/>
  <c r="E117" i="69"/>
  <c r="E105" i="69"/>
  <c r="E99" i="69"/>
  <c r="E83" i="69"/>
  <c r="E89" i="69"/>
  <c r="E115" i="69"/>
  <c r="E112" i="69"/>
  <c r="E92" i="69"/>
  <c r="E130" i="69"/>
  <c r="E128" i="69"/>
  <c r="E124" i="69"/>
  <c r="E116" i="69"/>
  <c r="E113" i="69"/>
  <c r="E129" i="69"/>
  <c r="E93" i="69"/>
  <c r="E81" i="69"/>
  <c r="E122" i="69"/>
  <c r="E111" i="69"/>
  <c r="E96" i="69"/>
  <c r="E86" i="69"/>
  <c r="E121" i="69"/>
  <c r="E114" i="69"/>
  <c r="E110" i="69"/>
  <c r="E109" i="69"/>
  <c r="E85" i="69"/>
  <c r="E120" i="69"/>
  <c r="E108" i="69"/>
  <c r="E102" i="69"/>
  <c r="E94" i="69"/>
  <c r="E91" i="69"/>
  <c r="E90" i="69"/>
  <c r="E84" i="69"/>
  <c r="E80" i="69"/>
  <c r="E101" i="69"/>
  <c r="E77" i="69"/>
  <c r="E82" i="69"/>
  <c r="E95" i="69"/>
  <c r="E127" i="69"/>
  <c r="E119" i="69"/>
  <c r="E107" i="69"/>
  <c r="E79" i="69"/>
  <c r="E87" i="69"/>
  <c r="E235" i="68"/>
  <c r="E234" i="68"/>
  <c r="C235" i="68"/>
  <c r="C234" i="68"/>
  <c r="E233" i="68"/>
  <c r="E232" i="68"/>
  <c r="C233" i="68"/>
  <c r="C232" i="68"/>
  <c r="E237" i="68"/>
  <c r="E236" i="68"/>
  <c r="C237" i="68"/>
  <c r="C236" i="68"/>
  <c r="C231" i="68"/>
  <c r="C230" i="68"/>
  <c r="E231" i="68"/>
  <c r="E230" i="68"/>
  <c r="E229" i="68"/>
  <c r="C229" i="68"/>
  <c r="E22" i="65"/>
  <c r="C20" i="68"/>
  <c r="C21" i="68"/>
  <c r="E20" i="68"/>
  <c r="E21" i="68"/>
  <c r="C120" i="68"/>
  <c r="C113" i="68"/>
  <c r="C105" i="68"/>
  <c r="C99" i="68"/>
  <c r="C92" i="68"/>
  <c r="C82" i="68"/>
  <c r="E123" i="68"/>
  <c r="E112" i="68"/>
  <c r="E107" i="68"/>
  <c r="E101" i="68"/>
  <c r="C121" i="68"/>
  <c r="C114" i="68"/>
  <c r="C106" i="68"/>
  <c r="C93" i="68"/>
  <c r="C79" i="68"/>
  <c r="E124" i="68"/>
  <c r="E113" i="68"/>
  <c r="E108" i="68"/>
  <c r="E102" i="68"/>
  <c r="E99" i="68"/>
  <c r="E98" i="68"/>
  <c r="E94" i="68"/>
  <c r="E87" i="68"/>
  <c r="E78" i="68"/>
  <c r="E95" i="68"/>
  <c r="E77" i="68"/>
  <c r="C115" i="68"/>
  <c r="C107" i="68"/>
  <c r="C100" i="68"/>
  <c r="C94" i="68"/>
  <c r="C88" i="68"/>
  <c r="C83" i="68"/>
  <c r="C80" i="68"/>
  <c r="E125" i="68"/>
  <c r="E119" i="68"/>
  <c r="E114" i="68"/>
  <c r="E109" i="68"/>
  <c r="C122" i="68"/>
  <c r="C116" i="68"/>
  <c r="C108" i="68"/>
  <c r="C101" i="68"/>
  <c r="C95" i="68"/>
  <c r="C89" i="68"/>
  <c r="C84" i="68"/>
  <c r="C81" i="68"/>
  <c r="E120" i="68"/>
  <c r="E110" i="68"/>
  <c r="E103" i="68"/>
  <c r="E96" i="68"/>
  <c r="C123" i="68"/>
  <c r="C117" i="68"/>
  <c r="C109" i="68"/>
  <c r="C102" i="68"/>
  <c r="C96" i="68"/>
  <c r="C85" i="68"/>
  <c r="E121" i="68"/>
  <c r="E115" i="68"/>
  <c r="E100" i="68"/>
  <c r="E97" i="68"/>
  <c r="E83" i="68"/>
  <c r="E93" i="68"/>
  <c r="E81" i="68"/>
  <c r="C124" i="68"/>
  <c r="C118" i="68"/>
  <c r="C110" i="68"/>
  <c r="C103" i="68"/>
  <c r="C97" i="68"/>
  <c r="C86" i="68"/>
  <c r="C77" i="68"/>
  <c r="E116" i="68"/>
  <c r="E104" i="68"/>
  <c r="E90" i="68"/>
  <c r="E88" i="68"/>
  <c r="E84" i="68"/>
  <c r="C125" i="68"/>
  <c r="C111" i="68"/>
  <c r="C98" i="68"/>
  <c r="C90" i="68"/>
  <c r="C78" i="68"/>
  <c r="E117" i="68"/>
  <c r="E105" i="68"/>
  <c r="E91" i="68"/>
  <c r="E85" i="68"/>
  <c r="E79" i="68"/>
  <c r="E82" i="68"/>
  <c r="C119" i="68"/>
  <c r="C112" i="68"/>
  <c r="C104" i="68"/>
  <c r="C91" i="68"/>
  <c r="C87" i="68"/>
  <c r="E122" i="68"/>
  <c r="E118" i="68"/>
  <c r="E111" i="68"/>
  <c r="E106" i="68"/>
  <c r="E92" i="68"/>
  <c r="E89" i="68"/>
  <c r="E86" i="68"/>
  <c r="E80" i="68"/>
  <c r="E16" i="68"/>
  <c r="C16" i="68"/>
  <c r="C59" i="68"/>
  <c r="C60" i="68"/>
  <c r="E61" i="68"/>
  <c r="C61" i="68"/>
  <c r="E60" i="68"/>
  <c r="E57" i="68"/>
  <c r="C57" i="68"/>
  <c r="E58" i="68"/>
  <c r="C58" i="68"/>
  <c r="E59" i="68"/>
  <c r="E19" i="68"/>
  <c r="C18" i="68"/>
  <c r="C19" i="68"/>
  <c r="E18" i="68"/>
  <c r="E222" i="68"/>
  <c r="C222" i="68"/>
  <c r="E209" i="68"/>
  <c r="C209" i="68"/>
  <c r="E126" i="68"/>
  <c r="C126" i="68"/>
  <c r="C127" i="68"/>
  <c r="E127" i="68"/>
  <c r="C166" i="68"/>
  <c r="E168" i="68"/>
  <c r="C167" i="68"/>
  <c r="C168" i="68"/>
  <c r="E164" i="68"/>
  <c r="E165" i="68"/>
  <c r="E166" i="68"/>
  <c r="C164" i="68"/>
  <c r="E167" i="68"/>
  <c r="C165" i="68"/>
  <c r="C37" i="68"/>
  <c r="C30" i="68"/>
  <c r="C38" i="68"/>
  <c r="C31" i="68"/>
  <c r="E35" i="68"/>
  <c r="E26" i="68"/>
  <c r="E28" i="68"/>
  <c r="C39" i="68"/>
  <c r="C32" i="68"/>
  <c r="E38" i="68"/>
  <c r="E27" i="68"/>
  <c r="E30" i="68"/>
  <c r="E31" i="68"/>
  <c r="C33" i="68"/>
  <c r="E39" i="68"/>
  <c r="C34" i="68"/>
  <c r="C26" i="68"/>
  <c r="E32" i="68"/>
  <c r="C27" i="68"/>
  <c r="E29" i="68"/>
  <c r="C35" i="68"/>
  <c r="C28" i="68"/>
  <c r="E36" i="68"/>
  <c r="E33" i="68"/>
  <c r="C36" i="68"/>
  <c r="C29" i="68"/>
  <c r="E37" i="68"/>
  <c r="E34" i="68"/>
  <c r="C225" i="68"/>
  <c r="C223" i="68"/>
  <c r="E226" i="68"/>
  <c r="C224" i="68"/>
  <c r="E224" i="68"/>
  <c r="E225" i="68"/>
  <c r="E223" i="68"/>
  <c r="C226" i="68"/>
  <c r="E23" i="68"/>
  <c r="C24" i="68"/>
  <c r="E22" i="68"/>
  <c r="E24" i="68"/>
  <c r="C23" i="68"/>
  <c r="C22" i="68"/>
  <c r="C25" i="68"/>
  <c r="E25" i="68"/>
  <c r="C214" i="68"/>
  <c r="C215" i="68"/>
  <c r="E217" i="68"/>
  <c r="E210" i="68"/>
  <c r="C216" i="68"/>
  <c r="E220" i="68"/>
  <c r="E212" i="68"/>
  <c r="C217" i="68"/>
  <c r="E221" i="68"/>
  <c r="E218" i="68"/>
  <c r="E214" i="68"/>
  <c r="E213" i="68"/>
  <c r="C218" i="68"/>
  <c r="C210" i="68"/>
  <c r="E219" i="68"/>
  <c r="E215" i="68"/>
  <c r="E211" i="68"/>
  <c r="C219" i="68"/>
  <c r="C211" i="68"/>
  <c r="E216" i="68"/>
  <c r="C220" i="68"/>
  <c r="C212" i="68"/>
  <c r="C221" i="68"/>
  <c r="C213" i="68"/>
  <c r="C51" i="68"/>
  <c r="C52" i="68"/>
  <c r="C53" i="68"/>
  <c r="E51" i="68"/>
  <c r="E52" i="68"/>
  <c r="E53" i="68"/>
  <c r="E40" i="65"/>
  <c r="C47" i="68"/>
  <c r="C48" i="68"/>
  <c r="E46" i="68"/>
  <c r="C49" i="68"/>
  <c r="E48" i="68"/>
  <c r="C50" i="68"/>
  <c r="E49" i="68"/>
  <c r="E50" i="68"/>
  <c r="C46" i="68"/>
  <c r="E47" i="68"/>
  <c r="E55" i="68"/>
  <c r="E56" i="68"/>
  <c r="E54" i="68"/>
  <c r="C54" i="68"/>
  <c r="C55" i="68"/>
  <c r="C56" i="68"/>
  <c r="C12" i="68"/>
  <c r="C13" i="68"/>
  <c r="E13" i="68"/>
  <c r="C14" i="68"/>
  <c r="E14" i="68"/>
  <c r="C15" i="68"/>
  <c r="E15" i="68"/>
  <c r="E12" i="68"/>
  <c r="C74" i="68"/>
  <c r="C75" i="68"/>
  <c r="C76" i="68"/>
  <c r="E74" i="68"/>
  <c r="E75" i="68"/>
  <c r="E76" i="68"/>
  <c r="C206" i="68"/>
  <c r="E208" i="68"/>
  <c r="E205" i="68"/>
  <c r="E207" i="68"/>
  <c r="C207" i="68"/>
  <c r="E206" i="68"/>
  <c r="E202" i="68"/>
  <c r="C208" i="68"/>
  <c r="C203" i="68"/>
  <c r="E203" i="68"/>
  <c r="C205" i="68"/>
  <c r="C204" i="68"/>
  <c r="E204" i="68"/>
  <c r="C202" i="68"/>
  <c r="C67" i="68"/>
  <c r="E73" i="68"/>
  <c r="E70" i="68"/>
  <c r="C68" i="68"/>
  <c r="E71" i="68"/>
  <c r="C69" i="68"/>
  <c r="E72" i="68"/>
  <c r="E64" i="68"/>
  <c r="C70" i="68"/>
  <c r="C62" i="68"/>
  <c r="E65" i="68"/>
  <c r="C71" i="68"/>
  <c r="C63" i="68"/>
  <c r="E66" i="68"/>
  <c r="E62" i="68"/>
  <c r="C72" i="68"/>
  <c r="C64" i="68"/>
  <c r="E67" i="68"/>
  <c r="C73" i="68"/>
  <c r="C65" i="68"/>
  <c r="E68" i="68"/>
  <c r="C66" i="68"/>
  <c r="E69" i="68"/>
  <c r="E63" i="68"/>
  <c r="C227" i="68"/>
  <c r="E227" i="68"/>
  <c r="C198" i="68"/>
  <c r="C190" i="68"/>
  <c r="C182" i="68"/>
  <c r="C174" i="68"/>
  <c r="E194" i="68"/>
  <c r="E188" i="68"/>
  <c r="E180" i="68"/>
  <c r="C199" i="68"/>
  <c r="C191" i="68"/>
  <c r="C183" i="68"/>
  <c r="C175" i="68"/>
  <c r="E195" i="68"/>
  <c r="E189" i="68"/>
  <c r="E178" i="68"/>
  <c r="E172" i="68"/>
  <c r="E174" i="68"/>
  <c r="E171" i="68"/>
  <c r="C200" i="68"/>
  <c r="C192" i="68"/>
  <c r="C184" i="68"/>
  <c r="C176" i="68"/>
  <c r="E196" i="68"/>
  <c r="E190" i="68"/>
  <c r="E181" i="68"/>
  <c r="E175" i="68"/>
  <c r="E173" i="68"/>
  <c r="E170" i="68"/>
  <c r="C201" i="68"/>
  <c r="C193" i="68"/>
  <c r="C185" i="68"/>
  <c r="C177" i="68"/>
  <c r="C169" i="68"/>
  <c r="E197" i="68"/>
  <c r="E191" i="68"/>
  <c r="E182" i="68"/>
  <c r="C194" i="68"/>
  <c r="C186" i="68"/>
  <c r="C178" i="68"/>
  <c r="C170" i="68"/>
  <c r="E201" i="68"/>
  <c r="E198" i="68"/>
  <c r="E183" i="68"/>
  <c r="E169" i="68"/>
  <c r="C195" i="68"/>
  <c r="C187" i="68"/>
  <c r="C179" i="68"/>
  <c r="C171" i="68"/>
  <c r="E199" i="68"/>
  <c r="E185" i="68"/>
  <c r="E176" i="68"/>
  <c r="C196" i="68"/>
  <c r="C188" i="68"/>
  <c r="C180" i="68"/>
  <c r="C172" i="68"/>
  <c r="E200" i="68"/>
  <c r="E192" i="68"/>
  <c r="E186" i="68"/>
  <c r="C197" i="68"/>
  <c r="C189" i="68"/>
  <c r="C181" i="68"/>
  <c r="C173" i="68"/>
  <c r="E193" i="68"/>
  <c r="E187" i="68"/>
  <c r="E184" i="68"/>
  <c r="E179" i="68"/>
  <c r="E177" i="68"/>
  <c r="C156" i="68"/>
  <c r="C148" i="68"/>
  <c r="C140" i="68"/>
  <c r="C132" i="68"/>
  <c r="E158" i="68"/>
  <c r="E153" i="68"/>
  <c r="E136" i="68"/>
  <c r="C157" i="68"/>
  <c r="C149" i="68"/>
  <c r="C141" i="68"/>
  <c r="C133" i="68"/>
  <c r="E154" i="68"/>
  <c r="E137" i="68"/>
  <c r="E129" i="68"/>
  <c r="C158" i="68"/>
  <c r="C150" i="68"/>
  <c r="C142" i="68"/>
  <c r="C134" i="68"/>
  <c r="E152" i="68"/>
  <c r="E147" i="68"/>
  <c r="E146" i="68"/>
  <c r="E144" i="68"/>
  <c r="E128" i="68"/>
  <c r="C159" i="68"/>
  <c r="C151" i="68"/>
  <c r="C143" i="68"/>
  <c r="C135" i="68"/>
  <c r="C128" i="68"/>
  <c r="E148" i="68"/>
  <c r="E145" i="68"/>
  <c r="E140" i="68"/>
  <c r="E138" i="68"/>
  <c r="E130" i="68"/>
  <c r="C160" i="68"/>
  <c r="C152" i="68"/>
  <c r="C144" i="68"/>
  <c r="C136" i="68"/>
  <c r="C129" i="68"/>
  <c r="E160" i="68"/>
  <c r="E149" i="68"/>
  <c r="E141" i="68"/>
  <c r="E132" i="68"/>
  <c r="C161" i="68"/>
  <c r="C153" i="68"/>
  <c r="C145" i="68"/>
  <c r="C137" i="68"/>
  <c r="C130" i="68"/>
  <c r="E161" i="68"/>
  <c r="E156" i="68"/>
  <c r="E150" i="68"/>
  <c r="E133" i="68"/>
  <c r="C162" i="68"/>
  <c r="C154" i="68"/>
  <c r="C146" i="68"/>
  <c r="C138" i="68"/>
  <c r="C131" i="68"/>
  <c r="E162" i="68"/>
  <c r="E159" i="68"/>
  <c r="E142" i="68"/>
  <c r="E139" i="68"/>
  <c r="E134" i="68"/>
  <c r="E131" i="68"/>
  <c r="E143" i="68"/>
  <c r="C155" i="68"/>
  <c r="C147" i="68"/>
  <c r="C139" i="68"/>
  <c r="E157" i="68"/>
  <c r="E155" i="68"/>
  <c r="E151" i="68"/>
  <c r="E135" i="68"/>
  <c r="C163" i="68"/>
  <c r="E163" i="68"/>
  <c r="E15" i="65"/>
  <c r="C17" i="68"/>
  <c r="E17" i="68"/>
  <c r="C41" i="68"/>
  <c r="E45" i="68"/>
  <c r="C42" i="68"/>
  <c r="C43" i="68"/>
  <c r="C44" i="68"/>
  <c r="C45" i="68"/>
  <c r="E41" i="68"/>
  <c r="E42" i="68"/>
  <c r="E43" i="68"/>
  <c r="E40" i="68"/>
  <c r="C40" i="68"/>
  <c r="E44" i="68"/>
  <c r="E89" i="65"/>
  <c r="E101" i="65"/>
  <c r="E93" i="65"/>
  <c r="E88" i="65"/>
  <c r="E85" i="65"/>
  <c r="E80" i="65"/>
  <c r="E73" i="65"/>
  <c r="E100" i="65"/>
  <c r="E79" i="65"/>
  <c r="E77" i="65"/>
  <c r="E72" i="65"/>
  <c r="E74" i="65"/>
  <c r="E99" i="65"/>
  <c r="E97" i="65"/>
  <c r="E92" i="65"/>
  <c r="E87" i="65"/>
  <c r="E83" i="65"/>
  <c r="E78" i="65"/>
  <c r="E94" i="65"/>
  <c r="E98" i="65"/>
  <c r="E96" i="65"/>
  <c r="E86" i="65"/>
  <c r="E82" i="65"/>
  <c r="E76" i="65"/>
  <c r="E90" i="65"/>
  <c r="E91" i="65"/>
  <c r="E84" i="65"/>
  <c r="E81" i="65"/>
  <c r="E75" i="65"/>
  <c r="E95" i="65"/>
  <c r="E38" i="65"/>
  <c r="E36" i="65"/>
  <c r="E37" i="65"/>
  <c r="E39" i="65"/>
  <c r="E14" i="65"/>
  <c r="E13" i="65"/>
  <c r="E12" i="65"/>
  <c r="E51" i="65"/>
  <c r="E52" i="65"/>
  <c r="E367" i="18"/>
  <c r="E123" i="65"/>
  <c r="E119" i="65"/>
  <c r="E118" i="65"/>
  <c r="E114" i="65"/>
  <c r="E113" i="65"/>
  <c r="E117" i="65"/>
  <c r="E115" i="65"/>
  <c r="E112" i="65"/>
  <c r="E116" i="65"/>
  <c r="E108" i="65"/>
  <c r="E107" i="65"/>
  <c r="E28" i="65"/>
  <c r="E32" i="65"/>
  <c r="E34" i="65"/>
  <c r="E31" i="65"/>
  <c r="E27" i="65"/>
  <c r="E33" i="65"/>
  <c r="E30" i="65"/>
  <c r="E26" i="65"/>
  <c r="E25" i="65"/>
  <c r="E29" i="65"/>
  <c r="E35" i="65"/>
  <c r="E24" i="65"/>
  <c r="E106" i="65"/>
  <c r="E104" i="65"/>
  <c r="E103" i="65"/>
  <c r="E102" i="65"/>
  <c r="E105" i="65"/>
  <c r="E42" i="65"/>
  <c r="E41" i="65"/>
  <c r="E20" i="65"/>
  <c r="E19" i="65"/>
  <c r="E18" i="65"/>
  <c r="E21" i="65"/>
  <c r="E17" i="65"/>
  <c r="E16" i="65"/>
  <c r="E111" i="65"/>
  <c r="E109" i="65"/>
  <c r="E110" i="65"/>
  <c r="E50" i="65"/>
  <c r="E49" i="65"/>
  <c r="E43" i="65"/>
  <c r="E48" i="65"/>
  <c r="E47" i="65"/>
  <c r="E46" i="65"/>
  <c r="E45" i="65"/>
  <c r="E44" i="65"/>
  <c r="E122" i="65"/>
  <c r="E120" i="65"/>
  <c r="E121" i="65"/>
  <c r="E66" i="65"/>
  <c r="E58" i="65"/>
  <c r="E55" i="65"/>
  <c r="E65" i="65"/>
  <c r="E57" i="65"/>
  <c r="E64" i="65"/>
  <c r="E61" i="65"/>
  <c r="E71" i="65"/>
  <c r="E54" i="65"/>
  <c r="E67" i="65"/>
  <c r="E62" i="65"/>
  <c r="E60" i="65"/>
  <c r="E70" i="65"/>
  <c r="E68" i="65"/>
  <c r="E69" i="65"/>
  <c r="E63" i="65"/>
  <c r="E59" i="65"/>
  <c r="E53" i="65"/>
  <c r="E56" i="65"/>
  <c r="E223" i="18"/>
  <c r="E70" i="18"/>
  <c r="E69" i="18"/>
  <c r="E71" i="18"/>
  <c r="E72" i="18"/>
  <c r="E65" i="18"/>
  <c r="E67" i="18"/>
  <c r="E66" i="18"/>
  <c r="E68" i="18"/>
  <c r="E164" i="18"/>
  <c r="E344" i="18"/>
  <c r="E345" i="18"/>
  <c r="E134" i="18"/>
  <c r="E136" i="18"/>
  <c r="E135" i="18"/>
  <c r="E349" i="18"/>
  <c r="E350" i="18"/>
  <c r="F33" i="61"/>
  <c r="E357" i="18"/>
  <c r="E358" i="18"/>
  <c r="E359" i="18"/>
  <c r="E351" i="18"/>
  <c r="E352" i="18"/>
  <c r="E353" i="18"/>
  <c r="E354" i="18"/>
  <c r="E355" i="18"/>
  <c r="E356" i="18"/>
  <c r="E210" i="18"/>
  <c r="E202" i="18"/>
  <c r="E194" i="18"/>
  <c r="E186" i="18"/>
  <c r="E178" i="18"/>
  <c r="E170" i="18"/>
  <c r="E211" i="18"/>
  <c r="E203" i="18"/>
  <c r="E195" i="18"/>
  <c r="E187" i="18"/>
  <c r="E179" i="18"/>
  <c r="E171" i="18"/>
  <c r="E212" i="18"/>
  <c r="E204" i="18"/>
  <c r="E196" i="18"/>
  <c r="E188" i="18"/>
  <c r="E180" i="18"/>
  <c r="E172" i="18"/>
  <c r="E213" i="18"/>
  <c r="E205" i="18"/>
  <c r="E197" i="18"/>
  <c r="E189" i="18"/>
  <c r="E181" i="18"/>
  <c r="E173" i="18"/>
  <c r="E165" i="18"/>
  <c r="E214" i="18"/>
  <c r="E206" i="18"/>
  <c r="E198" i="18"/>
  <c r="E190" i="18"/>
  <c r="E182" i="18"/>
  <c r="E174" i="18"/>
  <c r="E166" i="18"/>
  <c r="E215" i="18"/>
  <c r="E207" i="18"/>
  <c r="E199" i="18"/>
  <c r="E191" i="18"/>
  <c r="E183" i="18"/>
  <c r="E175" i="18"/>
  <c r="E167" i="18"/>
  <c r="E208" i="18"/>
  <c r="E200" i="18"/>
  <c r="E192" i="18"/>
  <c r="E184" i="18"/>
  <c r="E176" i="18"/>
  <c r="E168" i="18"/>
  <c r="E209" i="18"/>
  <c r="E201" i="18"/>
  <c r="E193" i="18"/>
  <c r="E185" i="18"/>
  <c r="E177" i="18"/>
  <c r="E169" i="18"/>
  <c r="E34" i="18"/>
  <c r="E35" i="18"/>
  <c r="E137" i="18"/>
  <c r="E138" i="18"/>
  <c r="E139" i="18"/>
  <c r="E73" i="18"/>
  <c r="E74" i="18"/>
  <c r="E75" i="18"/>
  <c r="E76" i="18"/>
  <c r="E77" i="18"/>
  <c r="E78" i="18"/>
  <c r="E79" i="18"/>
  <c r="E57" i="18"/>
  <c r="E58" i="18"/>
  <c r="E87" i="18"/>
  <c r="E88" i="18"/>
  <c r="E61" i="18"/>
  <c r="E23" i="18"/>
  <c r="E15" i="18"/>
  <c r="E24" i="18"/>
  <c r="E16" i="18"/>
  <c r="E25" i="18"/>
  <c r="E17" i="18"/>
  <c r="E26" i="18"/>
  <c r="E18" i="18"/>
  <c r="E27" i="18"/>
  <c r="E19" i="18"/>
  <c r="E28" i="18"/>
  <c r="E20" i="18"/>
  <c r="E29" i="18"/>
  <c r="E21" i="18"/>
  <c r="E30" i="18"/>
  <c r="E22" i="18"/>
  <c r="E218" i="18"/>
  <c r="E216" i="18"/>
  <c r="E217" i="18"/>
  <c r="E305" i="18"/>
  <c r="E297" i="18"/>
  <c r="E306" i="18"/>
  <c r="E298" i="18"/>
  <c r="E307" i="18"/>
  <c r="E299" i="18"/>
  <c r="E308" i="18"/>
  <c r="E300" i="18"/>
  <c r="E292" i="18"/>
  <c r="E301" i="18"/>
  <c r="E293" i="18"/>
  <c r="E302" i="18"/>
  <c r="E294" i="18"/>
  <c r="E303" i="18"/>
  <c r="E295" i="18"/>
  <c r="E304" i="18"/>
  <c r="E296" i="18"/>
  <c r="E63" i="18"/>
  <c r="E100" i="18"/>
  <c r="E95" i="18"/>
  <c r="E106" i="18"/>
  <c r="E101" i="18"/>
  <c r="E12" i="18"/>
  <c r="E107" i="18"/>
  <c r="E96" i="18"/>
  <c r="E89" i="18"/>
  <c r="E108" i="18"/>
  <c r="E102" i="18"/>
  <c r="E13" i="18"/>
  <c r="E90" i="18"/>
  <c r="E109" i="18"/>
  <c r="E103" i="18"/>
  <c r="E97" i="18"/>
  <c r="E91" i="18"/>
  <c r="E110" i="18"/>
  <c r="E104" i="18"/>
  <c r="E98" i="18"/>
  <c r="E92" i="18"/>
  <c r="E111" i="18"/>
  <c r="E105" i="18"/>
  <c r="E99" i="18"/>
  <c r="E93" i="18"/>
  <c r="E62" i="18"/>
  <c r="E14" i="18"/>
  <c r="E94" i="18"/>
  <c r="E81" i="18"/>
  <c r="E80" i="18"/>
  <c r="E82" i="18"/>
  <c r="E83" i="18"/>
  <c r="E84" i="18"/>
  <c r="E85" i="18"/>
  <c r="E86" i="18"/>
  <c r="E224" i="18"/>
  <c r="E282" i="18"/>
  <c r="E225" i="18"/>
  <c r="E363" i="18"/>
  <c r="E364" i="18"/>
  <c r="E347" i="18"/>
  <c r="E365" i="18"/>
  <c r="E361" i="18"/>
  <c r="E366" i="18"/>
  <c r="E362" i="18"/>
  <c r="E348" i="18"/>
  <c r="E64" i="18"/>
  <c r="E131" i="18"/>
  <c r="E132" i="18"/>
  <c r="E133" i="18"/>
  <c r="E129" i="18"/>
  <c r="E130" i="18"/>
  <c r="E123" i="18"/>
  <c r="E124" i="18"/>
  <c r="E125" i="18"/>
  <c r="E126" i="18"/>
  <c r="E127" i="18"/>
  <c r="E128" i="18"/>
  <c r="E32" i="18"/>
  <c r="E219" i="18"/>
  <c r="E220" i="18"/>
  <c r="E221" i="18"/>
  <c r="E222" i="18"/>
  <c r="E161" i="18"/>
  <c r="E162" i="18"/>
  <c r="E163" i="18"/>
  <c r="E157" i="18"/>
  <c r="E158" i="18"/>
  <c r="E159" i="18"/>
  <c r="E160" i="18"/>
  <c r="E153" i="18"/>
  <c r="E145" i="18"/>
  <c r="E154" i="18"/>
  <c r="E146" i="18"/>
  <c r="E155" i="18"/>
  <c r="E147" i="18"/>
  <c r="E156" i="18"/>
  <c r="E148" i="18"/>
  <c r="E140" i="18"/>
  <c r="E149" i="18"/>
  <c r="E141" i="18"/>
  <c r="E150" i="18"/>
  <c r="E142" i="18"/>
  <c r="E151" i="18"/>
  <c r="E143" i="18"/>
  <c r="E152" i="18"/>
  <c r="E144" i="18"/>
  <c r="E46" i="18"/>
  <c r="E39" i="18"/>
  <c r="E47" i="18"/>
  <c r="E33" i="18"/>
  <c r="E48" i="18"/>
  <c r="E40" i="18"/>
  <c r="E49" i="18"/>
  <c r="E41" i="18"/>
  <c r="E50" i="18"/>
  <c r="E42" i="18"/>
  <c r="E43" i="18"/>
  <c r="E36" i="18"/>
  <c r="E44" i="18"/>
  <c r="E37" i="18"/>
  <c r="E60" i="18"/>
  <c r="E45" i="18"/>
  <c r="E38" i="18"/>
  <c r="E336" i="18"/>
  <c r="E328" i="18"/>
  <c r="E321" i="18"/>
  <c r="E313" i="18"/>
  <c r="E337" i="18"/>
  <c r="E329" i="18"/>
  <c r="E322" i="18"/>
  <c r="E314" i="18"/>
  <c r="E338" i="18"/>
  <c r="E330" i="18"/>
  <c r="E323" i="18"/>
  <c r="E315" i="18"/>
  <c r="E339" i="18"/>
  <c r="E331" i="18"/>
  <c r="E324" i="18"/>
  <c r="E316" i="18"/>
  <c r="E340" i="18"/>
  <c r="E332" i="18"/>
  <c r="E325" i="18"/>
  <c r="E317" i="18"/>
  <c r="E309" i="18"/>
  <c r="E341" i="18"/>
  <c r="E333" i="18"/>
  <c r="E326" i="18"/>
  <c r="E318" i="18"/>
  <c r="E310" i="18"/>
  <c r="E342" i="18"/>
  <c r="E334" i="18"/>
  <c r="E360" i="18"/>
  <c r="E319" i="18"/>
  <c r="E311" i="18"/>
  <c r="E343" i="18"/>
  <c r="E335" i="18"/>
  <c r="E327" i="18"/>
  <c r="E320" i="18"/>
  <c r="E312" i="18"/>
  <c r="E280" i="18"/>
  <c r="E272" i="18"/>
  <c r="E264" i="18"/>
  <c r="E257" i="18"/>
  <c r="E249" i="18"/>
  <c r="E241" i="18"/>
  <c r="E233" i="18"/>
  <c r="E281" i="18"/>
  <c r="E273" i="18"/>
  <c r="E265" i="18"/>
  <c r="E258" i="18"/>
  <c r="E250" i="18"/>
  <c r="E242" i="18"/>
  <c r="E234" i="18"/>
  <c r="E226" i="18"/>
  <c r="E274" i="18"/>
  <c r="E266" i="18"/>
  <c r="E259" i="18"/>
  <c r="E251" i="18"/>
  <c r="E243" i="18"/>
  <c r="E235" i="18"/>
  <c r="E227" i="18"/>
  <c r="E275" i="18"/>
  <c r="E267" i="18"/>
  <c r="E31" i="18"/>
  <c r="E252" i="18"/>
  <c r="E244" i="18"/>
  <c r="E236" i="18"/>
  <c r="E228" i="18"/>
  <c r="E276" i="18"/>
  <c r="E268" i="18"/>
  <c r="E260" i="18"/>
  <c r="E253" i="18"/>
  <c r="E245" i="18"/>
  <c r="E237" i="18"/>
  <c r="E229" i="18"/>
  <c r="E277" i="18"/>
  <c r="E269" i="18"/>
  <c r="E261" i="18"/>
  <c r="E254" i="18"/>
  <c r="E246" i="18"/>
  <c r="E238" i="18"/>
  <c r="E230" i="18"/>
  <c r="E278" i="18"/>
  <c r="E270" i="18"/>
  <c r="E262" i="18"/>
  <c r="E255" i="18"/>
  <c r="E247" i="18"/>
  <c r="E239" i="18"/>
  <c r="E231" i="18"/>
  <c r="E59" i="18"/>
  <c r="E279" i="18"/>
  <c r="E271" i="18"/>
  <c r="E263" i="18"/>
  <c r="E256" i="18"/>
  <c r="E248" i="18"/>
  <c r="E240" i="18"/>
  <c r="E232" i="18"/>
  <c r="E289" i="18"/>
  <c r="E290" i="18"/>
  <c r="E291" i="18"/>
  <c r="E283" i="18"/>
  <c r="E284" i="18"/>
  <c r="E285" i="18"/>
  <c r="E286" i="18"/>
  <c r="E287" i="18"/>
  <c r="E288" i="18"/>
  <c r="E53" i="18"/>
  <c r="E54" i="18"/>
  <c r="E55" i="18"/>
  <c r="E56" i="18"/>
  <c r="E51" i="18"/>
  <c r="E52" i="18"/>
  <c r="E121" i="18"/>
  <c r="E113" i="18"/>
  <c r="E122" i="18"/>
  <c r="E114" i="18"/>
  <c r="E115" i="18"/>
  <c r="E116" i="18"/>
  <c r="E117" i="18"/>
  <c r="E118" i="18"/>
  <c r="E119" i="18"/>
  <c r="E120" i="18"/>
  <c r="E112" i="18"/>
  <c r="L51" i="61"/>
  <c r="K32" i="61"/>
  <c r="K50" i="61"/>
  <c r="K52" i="61"/>
  <c r="F48" i="61"/>
  <c r="F47" i="61"/>
  <c r="F26" i="61"/>
  <c r="F54" i="61"/>
  <c r="M54" i="61" s="1"/>
  <c r="N54" i="61" s="1"/>
  <c r="F25" i="61"/>
  <c r="F15" i="61"/>
  <c r="E35" i="61"/>
  <c r="E15" i="61"/>
  <c r="E36" i="61"/>
  <c r="E16" i="61"/>
  <c r="E37" i="61"/>
  <c r="E32" i="61"/>
  <c r="E33" i="61"/>
  <c r="E14" i="61"/>
  <c r="F38" i="61"/>
  <c r="D51" i="61"/>
  <c r="I4" i="72" l="1"/>
  <c r="J4" i="72"/>
  <c r="J4" i="71"/>
  <c r="I4" i="71"/>
  <c r="J4" i="70"/>
  <c r="I4" i="70"/>
  <c r="J4" i="69"/>
  <c r="I4" i="69"/>
  <c r="I4" i="68"/>
  <c r="J4" i="68"/>
  <c r="I4" i="65"/>
  <c r="J4" i="65"/>
  <c r="I4" i="18"/>
  <c r="J4" i="18"/>
  <c r="K15" i="61"/>
  <c r="M15" i="61"/>
  <c r="N15" i="61" s="1"/>
  <c r="K25" i="61"/>
  <c r="M25" i="61"/>
  <c r="N25" i="61" s="1"/>
  <c r="K26" i="61"/>
  <c r="M26" i="61"/>
  <c r="N26" i="61" s="1"/>
  <c r="K47" i="61"/>
  <c r="M47" i="61"/>
  <c r="N47" i="61" s="1"/>
  <c r="K48" i="61"/>
  <c r="M48" i="61"/>
  <c r="N48" i="61" s="1"/>
  <c r="K38" i="61"/>
  <c r="M38" i="61"/>
  <c r="N38" i="61" s="1"/>
  <c r="K54" i="61"/>
  <c r="E38" i="61"/>
  <c r="G38" i="61" s="1"/>
  <c r="I38" i="61"/>
  <c r="E47" i="61"/>
  <c r="I47" i="61"/>
  <c r="G32" i="61"/>
  <c r="E34" i="61"/>
  <c r="K4" i="72" l="1"/>
  <c r="K4" i="71"/>
  <c r="K4" i="70"/>
  <c r="K4" i="69"/>
  <c r="K4" i="68"/>
  <c r="K4" i="65"/>
  <c r="K4" i="18"/>
  <c r="G47" i="61"/>
  <c r="F29" i="61" l="1"/>
  <c r="M29" i="61" s="1"/>
  <c r="N29" i="61" s="1"/>
  <c r="F28" i="61"/>
  <c r="K28" i="61" l="1"/>
  <c r="M28" i="61"/>
  <c r="N28" i="61" s="1"/>
  <c r="F44" i="61"/>
  <c r="I29" i="61"/>
  <c r="K29" i="61"/>
  <c r="F36" i="61"/>
  <c r="F40" i="61"/>
  <c r="F45" i="61"/>
  <c r="I28" i="61"/>
  <c r="F24" i="61"/>
  <c r="M24" i="61" s="1"/>
  <c r="N24" i="61" s="1"/>
  <c r="F30" i="61"/>
  <c r="M30" i="61" s="1"/>
  <c r="N30" i="61" s="1"/>
  <c r="F56" i="61"/>
  <c r="D56" i="61" s="1"/>
  <c r="I48" i="61"/>
  <c r="F31" i="61"/>
  <c r="M31" i="61" s="1"/>
  <c r="N31" i="61" s="1"/>
  <c r="E28" i="61"/>
  <c r="F16" i="61"/>
  <c r="M16" i="61" s="1"/>
  <c r="N16" i="61" s="1"/>
  <c r="F14" i="61"/>
  <c r="M56" i="61" l="1"/>
  <c r="K45" i="61"/>
  <c r="M45" i="61"/>
  <c r="N45" i="61" s="1"/>
  <c r="K36" i="61"/>
  <c r="M36" i="61"/>
  <c r="N36" i="61" s="1"/>
  <c r="K44" i="61"/>
  <c r="M44" i="61"/>
  <c r="N44" i="61" s="1"/>
  <c r="K14" i="61"/>
  <c r="M14" i="61"/>
  <c r="K40" i="61"/>
  <c r="M40" i="61"/>
  <c r="N40" i="61" s="1"/>
  <c r="F41" i="61"/>
  <c r="I24" i="61"/>
  <c r="K24" i="61"/>
  <c r="K56" i="61"/>
  <c r="I31" i="61"/>
  <c r="K31" i="61"/>
  <c r="I30" i="61"/>
  <c r="K30" i="61"/>
  <c r="E30" i="61"/>
  <c r="G30" i="61" s="1"/>
  <c r="F27" i="61"/>
  <c r="M27" i="61" s="1"/>
  <c r="N27" i="61" s="1"/>
  <c r="E48" i="61"/>
  <c r="G28" i="61"/>
  <c r="G29" i="61"/>
  <c r="E31" i="61"/>
  <c r="G16" i="61"/>
  <c r="G14" i="61"/>
  <c r="F18" i="61"/>
  <c r="N14" i="61" l="1"/>
  <c r="M18" i="61"/>
  <c r="N18" i="61" s="1"/>
  <c r="K41" i="61"/>
  <c r="M41" i="61"/>
  <c r="N41" i="61" s="1"/>
  <c r="I27" i="61"/>
  <c r="E27" i="61"/>
  <c r="G48" i="61"/>
  <c r="G31" i="61"/>
  <c r="G27" i="61" s="1"/>
  <c r="E24" i="61"/>
  <c r="G24" i="61" s="1"/>
  <c r="E18" i="61"/>
  <c r="G15" i="61"/>
  <c r="G18" i="61" l="1"/>
  <c r="E8" i="58" l="1"/>
  <c r="E7" i="58"/>
  <c r="E6" i="58"/>
  <c r="E5" i="58"/>
  <c r="E4" i="58"/>
  <c r="H10" i="58" l="1"/>
  <c r="F4" i="58"/>
  <c r="J7" i="18"/>
  <c r="H9" i="18"/>
  <c r="E9" i="18"/>
  <c r="J9" i="18"/>
  <c r="I7" i="18"/>
  <c r="G4" i="58"/>
  <c r="I4" i="58" s="1"/>
  <c r="G5" i="58"/>
  <c r="G7" i="18" l="1"/>
  <c r="F5" i="58"/>
  <c r="G7" i="58"/>
  <c r="I7" i="58" s="1"/>
  <c r="G9" i="58"/>
  <c r="I9" i="58" s="1"/>
  <c r="F7" i="58"/>
  <c r="I5" i="58"/>
  <c r="F53" i="61" l="1"/>
  <c r="M53" i="61" s="1"/>
  <c r="F37" i="61"/>
  <c r="I5" i="5"/>
  <c r="I2" i="5" s="1"/>
  <c r="H5" i="5"/>
  <c r="H2" i="5" s="1"/>
  <c r="F6" i="58"/>
  <c r="G6" i="58"/>
  <c r="I6" i="58" s="1"/>
  <c r="E9" i="58"/>
  <c r="F9" i="58" s="1"/>
  <c r="K37" i="61" l="1"/>
  <c r="M37" i="61"/>
  <c r="N37" i="61" s="1"/>
  <c r="D53" i="61"/>
  <c r="K53" i="61"/>
  <c r="AC5" i="5"/>
  <c r="AD5" i="5"/>
  <c r="AD2" i="5" s="1"/>
  <c r="AD1" i="5" s="1"/>
  <c r="I1" i="5"/>
  <c r="I40" i="61"/>
  <c r="I54" i="61"/>
  <c r="I45" i="61"/>
  <c r="I44" i="61"/>
  <c r="I41" i="61"/>
  <c r="I26" i="61"/>
  <c r="H1" i="5"/>
  <c r="F49" i="61"/>
  <c r="M49" i="61" s="1"/>
  <c r="N49" i="61" s="1"/>
  <c r="F55" i="61"/>
  <c r="F46" i="61"/>
  <c r="M46" i="61" s="1"/>
  <c r="N46" i="61" s="1"/>
  <c r="F43" i="61"/>
  <c r="M43" i="61" s="1"/>
  <c r="N43" i="61" s="1"/>
  <c r="F39" i="61"/>
  <c r="M39" i="61" s="1"/>
  <c r="N39" i="61" s="1"/>
  <c r="F35" i="61"/>
  <c r="I25" i="61"/>
  <c r="G8" i="58"/>
  <c r="F8" i="58"/>
  <c r="AC2" i="5" l="1"/>
  <c r="AC1" i="5" s="1"/>
  <c r="AE5" i="5"/>
  <c r="G61" i="61"/>
  <c r="G3" i="61" s="1"/>
  <c r="M55" i="61"/>
  <c r="K35" i="61"/>
  <c r="M35" i="61"/>
  <c r="N35" i="61" s="1"/>
  <c r="K33" i="61"/>
  <c r="M33" i="61"/>
  <c r="L53" i="61"/>
  <c r="N53" i="61" s="1"/>
  <c r="F60" i="61"/>
  <c r="F61" i="61" s="1"/>
  <c r="F3" i="61" s="1"/>
  <c r="K55" i="61"/>
  <c r="I43" i="61"/>
  <c r="K43" i="61"/>
  <c r="I39" i="61"/>
  <c r="K39" i="61"/>
  <c r="I49" i="61"/>
  <c r="K49" i="61"/>
  <c r="I46" i="61"/>
  <c r="K46" i="61"/>
  <c r="E49" i="61"/>
  <c r="G33" i="61"/>
  <c r="E26" i="61"/>
  <c r="G26" i="61" s="1"/>
  <c r="E25" i="61"/>
  <c r="E41" i="61"/>
  <c r="G41" i="61" s="1"/>
  <c r="E45" i="61"/>
  <c r="G45" i="61" s="1"/>
  <c r="E44" i="61"/>
  <c r="G44" i="61" s="1"/>
  <c r="G35" i="61"/>
  <c r="E46" i="61"/>
  <c r="G37" i="61"/>
  <c r="G36" i="61"/>
  <c r="E54" i="61"/>
  <c r="E43" i="61"/>
  <c r="G43" i="61" s="1"/>
  <c r="E40" i="61"/>
  <c r="G40" i="61" s="1"/>
  <c r="E39" i="61"/>
  <c r="G39" i="61" s="1"/>
  <c r="F23" i="61"/>
  <c r="M23" i="61" s="1"/>
  <c r="F34" i="61"/>
  <c r="M34" i="61" s="1"/>
  <c r="N34" i="61" s="1"/>
  <c r="F42" i="61"/>
  <c r="M42" i="61" s="1"/>
  <c r="N42" i="61" s="1"/>
  <c r="I8" i="58"/>
  <c r="G10" i="58"/>
  <c r="I10" i="58" s="1"/>
  <c r="N33" i="61" l="1"/>
  <c r="G6" i="62"/>
  <c r="M51" i="61"/>
  <c r="N23" i="61"/>
  <c r="G49" i="61"/>
  <c r="G54" i="61"/>
  <c r="G42" i="61"/>
  <c r="G46" i="61"/>
  <c r="G25" i="61"/>
  <c r="G23" i="61" s="1"/>
  <c r="G34" i="61"/>
  <c r="F51" i="61"/>
  <c r="E23" i="61"/>
  <c r="E42" i="61"/>
  <c r="N51" i="61" l="1"/>
  <c r="E51" i="61"/>
  <c r="G51" i="61" s="1"/>
  <c r="I53" i="61" l="1"/>
  <c r="F57" i="61" l="1"/>
  <c r="M57" i="61" s="1"/>
  <c r="AF5" i="5"/>
  <c r="AF2" i="5" s="1"/>
  <c r="E53" i="61"/>
  <c r="C1" i="5" l="1"/>
  <c r="AE2" i="5"/>
  <c r="G53" i="61"/>
  <c r="G8" i="71" l="1"/>
  <c r="G8" i="72"/>
  <c r="G8" i="69"/>
  <c r="G8" i="70"/>
  <c r="G8" i="65"/>
  <c r="G8" i="68"/>
  <c r="G8" i="18"/>
  <c r="D55" i="61"/>
  <c r="D57" i="61" s="1"/>
  <c r="L56" i="61"/>
  <c r="N56" i="61" s="1"/>
  <c r="E56" i="61"/>
  <c r="G56" i="61" s="1"/>
  <c r="I56" i="61"/>
  <c r="L55" i="61" l="1"/>
  <c r="N55" i="61" s="1"/>
  <c r="D61" i="61"/>
  <c r="D3" i="61" s="1"/>
  <c r="L57" i="61"/>
  <c r="N57" i="61" s="1"/>
  <c r="I55" i="61"/>
  <c r="E55" i="61"/>
  <c r="E57" i="61" s="1"/>
  <c r="G55" i="61" l="1"/>
  <c r="G57" i="61" s="1"/>
</calcChain>
</file>

<file path=xl/sharedStrings.xml><?xml version="1.0" encoding="utf-8"?>
<sst xmlns="http://schemas.openxmlformats.org/spreadsheetml/2006/main" count="40931" uniqueCount="2835">
  <si>
    <t>12020401</t>
  </si>
  <si>
    <t>Rodados</t>
  </si>
  <si>
    <t>120211</t>
  </si>
  <si>
    <t>Muebles y útiles</t>
  </si>
  <si>
    <t>12020301</t>
  </si>
  <si>
    <t>Asiento</t>
  </si>
  <si>
    <t>Comentario renglón asiento</t>
  </si>
  <si>
    <t>Observación del 
comprobante</t>
  </si>
  <si>
    <t>Origen del comprobante</t>
  </si>
  <si>
    <t>Clase de Asiento</t>
  </si>
  <si>
    <t>Observación asiento</t>
  </si>
  <si>
    <t>CUIT</t>
  </si>
  <si>
    <t>Sujeto</t>
  </si>
  <si>
    <t>Datos del comprobante</t>
  </si>
  <si>
    <t>Div</t>
  </si>
  <si>
    <t>Subdiario</t>
  </si>
  <si>
    <t>Fecha</t>
  </si>
  <si>
    <t>tc</t>
  </si>
  <si>
    <t>monto USD</t>
  </si>
  <si>
    <t>Control</t>
  </si>
  <si>
    <t>monto $</t>
  </si>
  <si>
    <t>Nombre</t>
  </si>
  <si>
    <t>Cuenta</t>
  </si>
  <si>
    <t>Venta de Bienes de Uso</t>
  </si>
  <si>
    <t>7102</t>
  </si>
  <si>
    <t>Servicios - Otros</t>
  </si>
  <si>
    <t>5263</t>
  </si>
  <si>
    <t>5260</t>
  </si>
  <si>
    <t>Mantenimiento Rep-Equipos</t>
  </si>
  <si>
    <t>5254</t>
  </si>
  <si>
    <t>Mantenimiento Rep-Lodge</t>
  </si>
  <si>
    <t>5252</t>
  </si>
  <si>
    <t>Artículos de Limpieza</t>
  </si>
  <si>
    <t>5251</t>
  </si>
  <si>
    <t>Comidas y Refrigerios</t>
  </si>
  <si>
    <t>5250</t>
  </si>
  <si>
    <t>Combustible y Lub- Gas</t>
  </si>
  <si>
    <t>5249</t>
  </si>
  <si>
    <t>Combustible y Lub- Elect-Gener</t>
  </si>
  <si>
    <t>5247</t>
  </si>
  <si>
    <t>Fletes y Aéreos</t>
  </si>
  <si>
    <t>5218</t>
  </si>
  <si>
    <t>Vinos</t>
  </si>
  <si>
    <t>5213</t>
  </si>
  <si>
    <t>Traslado Aerop. Lodge</t>
  </si>
  <si>
    <t>5210</t>
  </si>
  <si>
    <t>12020103</t>
  </si>
  <si>
    <t>Mejoras de Inmueb y Terrenos</t>
  </si>
  <si>
    <t>12020201</t>
  </si>
  <si>
    <t>Instalaciones</t>
  </si>
  <si>
    <t>12020501</t>
  </si>
  <si>
    <t>Equipos Computación/Software</t>
  </si>
  <si>
    <t>5209</t>
  </si>
  <si>
    <t>Comunicaciones</t>
  </si>
  <si>
    <t>5219</t>
  </si>
  <si>
    <t>Gastos Varios</t>
  </si>
  <si>
    <t>5220</t>
  </si>
  <si>
    <t>Uniformes</t>
  </si>
  <si>
    <t>5221</t>
  </si>
  <si>
    <t>Permisos</t>
  </si>
  <si>
    <t>5248</t>
  </si>
  <si>
    <t>Combustible y Lub-Vehiculo Bot</t>
  </si>
  <si>
    <t>5253</t>
  </si>
  <si>
    <t>Mantenimiento Rep-Vehic-Botes</t>
  </si>
  <si>
    <t>5255</t>
  </si>
  <si>
    <t>Movilidad y Viaticos-Locales</t>
  </si>
  <si>
    <t>5259</t>
  </si>
  <si>
    <t>Combustible y Lub - Leña</t>
  </si>
  <si>
    <t>5266</t>
  </si>
  <si>
    <t>Comunicaciones Internet</t>
  </si>
  <si>
    <t>TC</t>
  </si>
  <si>
    <t>Lodge</t>
  </si>
  <si>
    <t>Concepto</t>
  </si>
  <si>
    <t>Codigo</t>
  </si>
  <si>
    <t>Total</t>
  </si>
  <si>
    <t>INSERT</t>
  </si>
  <si>
    <t xml:space="preserve"> </t>
  </si>
  <si>
    <t>Total BN</t>
  </si>
  <si>
    <t>Total pax</t>
  </si>
  <si>
    <t>BN</t>
  </si>
  <si>
    <t>codigo Budget</t>
  </si>
  <si>
    <t>Cuenta Anterior</t>
  </si>
  <si>
    <t>12020901</t>
  </si>
  <si>
    <t>Vajillas</t>
  </si>
  <si>
    <t>12020601</t>
  </si>
  <si>
    <t>Ropa Blanca</t>
  </si>
  <si>
    <t>5207</t>
  </si>
  <si>
    <t>5225</t>
  </si>
  <si>
    <t>Ver Telefonos</t>
  </si>
  <si>
    <t>Rubro</t>
  </si>
  <si>
    <t>Ver Gastos devengados</t>
  </si>
  <si>
    <t>Ver Luz Devengada</t>
  </si>
  <si>
    <t>Concepto
Extras</t>
  </si>
  <si>
    <t>Valor x BN
Budget</t>
  </si>
  <si>
    <t>BN Reales</t>
  </si>
  <si>
    <t>Total
Budget</t>
  </si>
  <si>
    <t>Total S/
Acumulado</t>
  </si>
  <si>
    <t>Dif</t>
  </si>
  <si>
    <t>Shop</t>
  </si>
  <si>
    <t>Gun Rental</t>
  </si>
  <si>
    <t>Extras (Incluye Masajes, Lavanderia, Telefono, Others)</t>
  </si>
  <si>
    <t>Real x BN</t>
  </si>
  <si>
    <t>Observaciones</t>
  </si>
  <si>
    <t>TOTALES</t>
  </si>
  <si>
    <t>5288</t>
  </si>
  <si>
    <t>Combustible Camionetas</t>
  </si>
  <si>
    <t>Alquiler Camionetas/Lanchas</t>
  </si>
  <si>
    <t>Meses Transcurridos</t>
  </si>
  <si>
    <t>Shop Comisionable 20%</t>
  </si>
  <si>
    <t>Insert</t>
  </si>
  <si>
    <t>5291</t>
  </si>
  <si>
    <t>Comida / Fletes</t>
  </si>
  <si>
    <t>Diferencia</t>
  </si>
  <si>
    <t>5283</t>
  </si>
  <si>
    <t>Mantenimiento Comida Perros</t>
  </si>
  <si>
    <t>5284</t>
  </si>
  <si>
    <t>Mantenimiento Maíz y Cebada</t>
  </si>
  <si>
    <t>5337</t>
  </si>
  <si>
    <t>Gastos Varios Operaciones</t>
  </si>
  <si>
    <t>5289</t>
  </si>
  <si>
    <t>Comidas Fuera Temp / Empleados</t>
  </si>
  <si>
    <t>TOTAL ACUMULADO</t>
  </si>
  <si>
    <t>Tips House</t>
  </si>
  <si>
    <t>Tips Field</t>
  </si>
  <si>
    <t>5282</t>
  </si>
  <si>
    <t>Mantenimiento Veterinaria</t>
  </si>
  <si>
    <t>5258</t>
  </si>
  <si>
    <t>Gastos para Cebo</t>
  </si>
  <si>
    <t>4103</t>
  </si>
  <si>
    <t>Ventas de Extras</t>
  </si>
  <si>
    <t>4104</t>
  </si>
  <si>
    <t>Ventas Shop</t>
  </si>
  <si>
    <t>4110</t>
  </si>
  <si>
    <t>4112</t>
  </si>
  <si>
    <t>4118</t>
  </si>
  <si>
    <t>Ventas Shop Consignación</t>
  </si>
  <si>
    <t>4120</t>
  </si>
  <si>
    <t>Ingreso Alquiler Armas</t>
  </si>
  <si>
    <t>5103</t>
  </si>
  <si>
    <t>5104</t>
  </si>
  <si>
    <t>Costo Masajes</t>
  </si>
  <si>
    <t>5208</t>
  </si>
  <si>
    <t>Alquileres y Canon</t>
  </si>
  <si>
    <t>Comunicaciones e Internet</t>
  </si>
  <si>
    <t>5215</t>
  </si>
  <si>
    <t>Seguros</t>
  </si>
  <si>
    <t>5217</t>
  </si>
  <si>
    <t>Patentes</t>
  </si>
  <si>
    <t>5226</t>
  </si>
  <si>
    <t>5227</t>
  </si>
  <si>
    <t>5228</t>
  </si>
  <si>
    <t>5229</t>
  </si>
  <si>
    <t>Alquiler Escopetas</t>
  </si>
  <si>
    <t>5235</t>
  </si>
  <si>
    <t>Cargas Sociales Servicios</t>
  </si>
  <si>
    <t>5236</t>
  </si>
  <si>
    <t>Cargas Sociales Guías</t>
  </si>
  <si>
    <t>5237</t>
  </si>
  <si>
    <t>Cargas Sociales Managers</t>
  </si>
  <si>
    <t>5285</t>
  </si>
  <si>
    <t>5312</t>
  </si>
  <si>
    <t>Gastos Varios de Oficina</t>
  </si>
  <si>
    <t>5324</t>
  </si>
  <si>
    <t>Comunicaciones - Internet</t>
  </si>
  <si>
    <t>12020105</t>
  </si>
  <si>
    <t>Amort.Acum.Inmueb</t>
  </si>
  <si>
    <t>12021001</t>
  </si>
  <si>
    <t>Maquinarias y Herramientas</t>
  </si>
  <si>
    <t>OK</t>
  </si>
  <si>
    <t>Ítem /LODGES</t>
  </si>
  <si>
    <t>INCOMES</t>
  </si>
  <si>
    <t>Other Income</t>
  </si>
  <si>
    <t>Extras</t>
  </si>
  <si>
    <t>Total Other Income</t>
  </si>
  <si>
    <t>EXPENSES</t>
  </si>
  <si>
    <t>Operative Expenses</t>
  </si>
  <si>
    <t>Canon &amp; Labour Permits + Filed - Baiting/Maize</t>
  </si>
  <si>
    <t>Canon Lodge/Labor Permits:</t>
  </si>
  <si>
    <t>Field:</t>
  </si>
  <si>
    <t>Baiting/Maize:</t>
  </si>
  <si>
    <t>Salaries</t>
  </si>
  <si>
    <t>Manager</t>
  </si>
  <si>
    <t>Guides</t>
  </si>
  <si>
    <t>Services/House</t>
  </si>
  <si>
    <t>Social Security Contributions</t>
  </si>
  <si>
    <t>Tips</t>
  </si>
  <si>
    <t>Food &amp; Wine</t>
  </si>
  <si>
    <t>Electricity - Gas for Boats &amp; Vehicles - Propane</t>
  </si>
  <si>
    <t>Electricity</t>
  </si>
  <si>
    <t>Electricity - Gas for Boats &amp; Vehicles</t>
  </si>
  <si>
    <t>Propane</t>
  </si>
  <si>
    <t>Transfer to and from the airport (local taxi) - Vehicle Rental</t>
  </si>
  <si>
    <t>Travel for personnel (employees)</t>
  </si>
  <si>
    <t>Work uniforms for personnel (employees)</t>
  </si>
  <si>
    <t>Licenses / Permits (Fishing and Shooting)</t>
  </si>
  <si>
    <t>Maintenance (Lodge / Boats / Vehicles / Equipment)</t>
  </si>
  <si>
    <t>Maintenance Lodge</t>
  </si>
  <si>
    <t>Maintenance  Boats / Vehicles</t>
  </si>
  <si>
    <t>Maintenance  Equipment</t>
  </si>
  <si>
    <t>Communications - Phone, internet and satellite TV</t>
  </si>
  <si>
    <t>Insurance for lodge and boats</t>
  </si>
  <si>
    <t>Miscellaneous &amp; Shipping</t>
  </si>
  <si>
    <t>Total Operative Expenses</t>
  </si>
  <si>
    <t>Ctas</t>
  </si>
  <si>
    <t>Criterio</t>
  </si>
  <si>
    <t>Acumulado</t>
  </si>
  <si>
    <t>Valor Fijo para control</t>
  </si>
  <si>
    <t>Fixed Asset's Payments (Investments) Armas</t>
  </si>
  <si>
    <t>Fixed Asset's Payments (Investments) Mejoras/equipamiento Lodge</t>
  </si>
  <si>
    <t>Fixed Asset's Sales</t>
  </si>
  <si>
    <t>Total Fixed Asset's (Investments)</t>
  </si>
  <si>
    <t>Control BUDGET</t>
  </si>
  <si>
    <t>Rubro Principal</t>
  </si>
  <si>
    <t>Rubro secundario</t>
  </si>
  <si>
    <t>Rubro Final</t>
  </si>
  <si>
    <t>N° Cuenta</t>
  </si>
  <si>
    <t>Descripción Cuenta</t>
  </si>
  <si>
    <t>Fixed Asset's</t>
  </si>
  <si>
    <t>Fixed Asset's Payments (Investments) Rodados/Lanchas</t>
  </si>
  <si>
    <t>Ventas Extras Lavandería</t>
  </si>
  <si>
    <t>Ventas Extras Masajes</t>
  </si>
  <si>
    <t>Ventas Extras Telefonía e Internet</t>
  </si>
  <si>
    <t>Costo Ventas Extras</t>
  </si>
  <si>
    <t>Costos Ventas Catena Zapata</t>
  </si>
  <si>
    <t>CMV Artículos de Shop Consignación</t>
  </si>
  <si>
    <t>Costos Alquiler Armas</t>
  </si>
  <si>
    <t>Alquiler Campos</t>
  </si>
  <si>
    <t>Remuneraciones  Managers</t>
  </si>
  <si>
    <t>Remuneraciones  Guías</t>
  </si>
  <si>
    <t>Bonus Guías</t>
  </si>
  <si>
    <t>Remuneraciones  Servicios</t>
  </si>
  <si>
    <t>Bonus Servicios</t>
  </si>
  <si>
    <t>Comidas y refrigerios</t>
  </si>
  <si>
    <t>Articulos de Limpieza</t>
  </si>
  <si>
    <t>Combustibles y Lub. - Generador Electricidad</t>
  </si>
  <si>
    <t>Combustibles y Lub. - Leña</t>
  </si>
  <si>
    <t>Combustibles y Lub. - Vehiculos y Botes</t>
  </si>
  <si>
    <t>Combustibles y Lub. - Camionetas</t>
  </si>
  <si>
    <t>Combustibles y Lub. - Gas</t>
  </si>
  <si>
    <t>Movilidad y Viáticos - Locales</t>
  </si>
  <si>
    <t>Viáticos, Viajes y Movilidad</t>
  </si>
  <si>
    <t>Permiso Laboral - VISA - Work Permit</t>
  </si>
  <si>
    <t>Movilidad y Viáticos  - Internacionales</t>
  </si>
  <si>
    <t>Mantenimiento y reposiciones - Lodge</t>
  </si>
  <si>
    <t>Mantenimiento y reposiciones-Vehiculos/Lanchas</t>
  </si>
  <si>
    <t>Mantenimiento y reposiciones - Equipos/Armas</t>
  </si>
  <si>
    <t>Comunicaciones - Telefonía Fija</t>
  </si>
  <si>
    <t>Comunicaciones - Telefonía Movil</t>
  </si>
  <si>
    <t>Seguros Caucion y Otros</t>
  </si>
  <si>
    <t>Otros Impuestos, tasas y Multas</t>
  </si>
  <si>
    <t>Servicios – Otros – Operativos Lodge</t>
  </si>
  <si>
    <t>Gastos Capacitaciones</t>
  </si>
  <si>
    <t>Lanchas y Botes</t>
  </si>
  <si>
    <t>Armas - Escopetas</t>
  </si>
  <si>
    <t xml:space="preserve">Instalaciones </t>
  </si>
  <si>
    <t>Equipos de Computación / Software</t>
  </si>
  <si>
    <t>Ventas Catena Zapata</t>
  </si>
  <si>
    <t>Plan Cuentas Link Armado</t>
  </si>
  <si>
    <t>4114</t>
  </si>
  <si>
    <t>4129</t>
  </si>
  <si>
    <t>5290</t>
  </si>
  <si>
    <t>5286</t>
  </si>
  <si>
    <t>5280</t>
  </si>
  <si>
    <t>5281</t>
  </si>
  <si>
    <t>5310</t>
  </si>
  <si>
    <t>5222</t>
  </si>
  <si>
    <t>5256</t>
  </si>
  <si>
    <t>5325</t>
  </si>
  <si>
    <t>5326</t>
  </si>
  <si>
    <t>5321</t>
  </si>
  <si>
    <t>5314</t>
  </si>
  <si>
    <t>12020701</t>
  </si>
  <si>
    <t>No Borrar</t>
  </si>
  <si>
    <t>Stock Inicio
(abonado mes pasado en este)</t>
  </si>
  <si>
    <t>Stock Cierre
Al momento Análisis
(deuda a pagar del mes)</t>
  </si>
  <si>
    <t>Vehicles Taxes</t>
  </si>
  <si>
    <t>Movilidad y Viat-Internacional</t>
  </si>
  <si>
    <t>5261</t>
  </si>
  <si>
    <t>Permisos Acceso Pesca</t>
  </si>
  <si>
    <t>Ventas Extras - Lavandería</t>
  </si>
  <si>
    <t>Ventas Extras - Masajes</t>
  </si>
  <si>
    <t>4124</t>
  </si>
  <si>
    <t>Ingreso Alquiler Equipos</t>
  </si>
  <si>
    <t>Remuneraciones Servicios</t>
  </si>
  <si>
    <t>Remuneraciones Guías</t>
  </si>
  <si>
    <t>Remuneraciones Managers</t>
  </si>
  <si>
    <t>Otros Impuestos,tasas y Multas</t>
  </si>
  <si>
    <t>Nafta Super Lanchas</t>
  </si>
  <si>
    <t>PI LODGE</t>
  </si>
  <si>
    <t>4106</t>
  </si>
  <si>
    <t>Ventas de Servicios Transfer</t>
  </si>
  <si>
    <t>11010101</t>
  </si>
  <si>
    <t>Caja $ Administración</t>
  </si>
  <si>
    <t>11010102</t>
  </si>
  <si>
    <t>Caja U$S Administración</t>
  </si>
  <si>
    <t>11010103</t>
  </si>
  <si>
    <t>Caja $ Lodge</t>
  </si>
  <si>
    <t>11010104</t>
  </si>
  <si>
    <t>Caja U$S Lodge</t>
  </si>
  <si>
    <t>11020403</t>
  </si>
  <si>
    <t>Otros Gastos a Devengar</t>
  </si>
  <si>
    <t>110306</t>
  </si>
  <si>
    <t>Artículos Shop</t>
  </si>
  <si>
    <t>210103</t>
  </si>
  <si>
    <t>Anticipos de clientes</t>
  </si>
  <si>
    <t>210702</t>
  </si>
  <si>
    <t>Provisión para gastos</t>
  </si>
  <si>
    <t>3301</t>
  </si>
  <si>
    <t>Rdos. de Ejercicios Anteriores</t>
  </si>
  <si>
    <t>4101</t>
  </si>
  <si>
    <t>Ventas Directas de Servicios</t>
  </si>
  <si>
    <t>CMV Art Shop Consignación</t>
  </si>
  <si>
    <t>Mantenimiento Rep-Equipos/Arma</t>
  </si>
  <si>
    <t>Servicios - Otros Operativos</t>
  </si>
  <si>
    <t>5313</t>
  </si>
  <si>
    <t>Gastos y Comisiones Bancarias</t>
  </si>
  <si>
    <t>5330</t>
  </si>
  <si>
    <t>Marketing - Otros</t>
  </si>
  <si>
    <t>5403</t>
  </si>
  <si>
    <t>Comisiones por ventas</t>
  </si>
  <si>
    <t>5406</t>
  </si>
  <si>
    <t>Comisiones Tarjetas Crédito</t>
  </si>
  <si>
    <t>6105</t>
  </si>
  <si>
    <t>Comisión por canje</t>
  </si>
  <si>
    <t>8101</t>
  </si>
  <si>
    <t>Transferencias entre Lodges</t>
  </si>
  <si>
    <t>Accumulated</t>
  </si>
  <si>
    <t>Name Group</t>
  </si>
  <si>
    <t>Nota 
de Venta</t>
  </si>
  <si>
    <t>AJUSTES</t>
  </si>
  <si>
    <t>DEL LODGE</t>
  </si>
  <si>
    <t>DEL LODGE
BUDGET
TOTAL</t>
  </si>
  <si>
    <t>DEL LODGE
BUDGET
Comparable</t>
  </si>
  <si>
    <t>DEL LODGE
REAL</t>
  </si>
  <si>
    <t>DEL LODGE
Diferencia
Desvío</t>
  </si>
  <si>
    <t>DEL LODGE
Observación</t>
  </si>
  <si>
    <t>DEL LODGE
%</t>
  </si>
  <si>
    <t>CONTROLES GLOBALES:</t>
  </si>
  <si>
    <t>Delta Eco Lodge</t>
  </si>
  <si>
    <t>Temporada</t>
  </si>
  <si>
    <t>Cantidad</t>
  </si>
  <si>
    <t>DELTA LODGE</t>
  </si>
  <si>
    <t>25_26</t>
  </si>
  <si>
    <t>Pax
Lodge</t>
  </si>
  <si>
    <t>Pax
Ventas</t>
  </si>
  <si>
    <t>Dif
Pax</t>
  </si>
  <si>
    <t>BN Lodge</t>
  </si>
  <si>
    <t>BN
Vtas</t>
  </si>
  <si>
    <t>Dif BN</t>
  </si>
  <si>
    <t>COMENTARIOS</t>
  </si>
  <si>
    <t>SHOP</t>
  </si>
  <si>
    <t>HALF DAY FISHING ON DEPARTURE</t>
  </si>
  <si>
    <t>CONTROLES EXTRAS</t>
  </si>
  <si>
    <t>Credit Card</t>
  </si>
  <si>
    <t>Comision
Tarjeta (3,5%)</t>
  </si>
  <si>
    <t>Cashes</t>
  </si>
  <si>
    <t>Transfer</t>
  </si>
  <si>
    <t>Check</t>
  </si>
  <si>
    <t>BsAs Office</t>
  </si>
  <si>
    <t xml:space="preserve">$ Total </t>
  </si>
  <si>
    <t>CONTROL</t>
  </si>
  <si>
    <t>Total Anual</t>
  </si>
  <si>
    <t>Promedio Anual</t>
  </si>
  <si>
    <t>FECHA APP</t>
  </si>
  <si>
    <t>Budget Extras Lodge</t>
  </si>
  <si>
    <t>FECHA VENTAS</t>
  </si>
  <si>
    <t>Budget Variance</t>
  </si>
  <si>
    <t>BN 
Vtas</t>
  </si>
  <si>
    <t>TOTAL</t>
  </si>
  <si>
    <t>Chris Carter</t>
  </si>
  <si>
    <t>DEL1</t>
  </si>
  <si>
    <t>Kenn Byllemos</t>
  </si>
  <si>
    <t>DEL17</t>
  </si>
  <si>
    <t>DEL31</t>
  </si>
  <si>
    <t>DEL8</t>
  </si>
  <si>
    <t>DEL3</t>
  </si>
  <si>
    <t>DEL14</t>
  </si>
  <si>
    <t>DEL48</t>
  </si>
  <si>
    <t>DEL15</t>
  </si>
  <si>
    <t>DEL4</t>
  </si>
  <si>
    <t>Christopher Peters</t>
  </si>
  <si>
    <t>DEL5</t>
  </si>
  <si>
    <t>TEMPORADA 2025-2026</t>
  </si>
  <si>
    <t>DEL</t>
  </si>
  <si>
    <t>DEL12020103</t>
  </si>
  <si>
    <t>DEL12020201</t>
  </si>
  <si>
    <t>DEL12020901</t>
  </si>
  <si>
    <t>DEL12020301</t>
  </si>
  <si>
    <t>DEL12020601</t>
  </si>
  <si>
    <t>DEL12020401</t>
  </si>
  <si>
    <t>DEL12020501</t>
  </si>
  <si>
    <t>DEL5209</t>
  </si>
  <si>
    <t>DEL5213</t>
  </si>
  <si>
    <t>DEL5218</t>
  </si>
  <si>
    <t>DEL5219</t>
  </si>
  <si>
    <t>DEL5314</t>
  </si>
  <si>
    <t>DEL5337</t>
  </si>
  <si>
    <t>DEL5247</t>
  </si>
  <si>
    <t>DEL5249</t>
  </si>
  <si>
    <t>DEL5250</t>
  </si>
  <si>
    <t>DEL5289</t>
  </si>
  <si>
    <t>DEL5251</t>
  </si>
  <si>
    <t>DEL5291</t>
  </si>
  <si>
    <t>DEL5252</t>
  </si>
  <si>
    <t>DEL5283</t>
  </si>
  <si>
    <t>DEL5259</t>
  </si>
  <si>
    <t>DEL5263</t>
  </si>
  <si>
    <t>DEL5266</t>
  </si>
  <si>
    <t>DEL5255</t>
  </si>
  <si>
    <t>DEL5220</t>
  </si>
  <si>
    <t>DEL5248</t>
  </si>
  <si>
    <t>DEL5288</t>
  </si>
  <si>
    <t>DEL5253</t>
  </si>
  <si>
    <t>DEL5254</t>
  </si>
  <si>
    <t>DEL5256</t>
  </si>
  <si>
    <t>DEL5261</t>
  </si>
  <si>
    <t>DEL5221</t>
  </si>
  <si>
    <t>DEL7102</t>
  </si>
  <si>
    <t>DEL4103</t>
  </si>
  <si>
    <t>DEL4104</t>
  </si>
  <si>
    <t>DEL4106</t>
  </si>
  <si>
    <t>DEL4110</t>
  </si>
  <si>
    <t>DEL4112</t>
  </si>
  <si>
    <t>DEL4118</t>
  </si>
  <si>
    <t>DEL5103</t>
  </si>
  <si>
    <t>DEL4120</t>
  </si>
  <si>
    <t>DEL5104</t>
  </si>
  <si>
    <t>DEL5215</t>
  </si>
  <si>
    <t>DEL5217</t>
  </si>
  <si>
    <t>DEL5225</t>
  </si>
  <si>
    <t>DEL5226</t>
  </si>
  <si>
    <t>DEL5227</t>
  </si>
  <si>
    <t>DEL5228</t>
  </si>
  <si>
    <t>DEL5235</t>
  </si>
  <si>
    <t>DEL5236</t>
  </si>
  <si>
    <t>DEL5237</t>
  </si>
  <si>
    <t>DEL5260</t>
  </si>
  <si>
    <t>DEL5282</t>
  </si>
  <si>
    <t>DEL12020701</t>
  </si>
  <si>
    <t>DEL4124</t>
  </si>
  <si>
    <t>DEL5208</t>
  </si>
  <si>
    <t>01/09/2025</t>
  </si>
  <si>
    <t>0149</t>
  </si>
  <si>
    <t>ASIENTO APERTURA</t>
  </si>
  <si>
    <t>000000000001</t>
  </si>
  <si>
    <t>Ejercicio 2025/2026</t>
  </si>
  <si>
    <t>3103</t>
  </si>
  <si>
    <t>Dividendos en efectivo</t>
  </si>
  <si>
    <t>3105</t>
  </si>
  <si>
    <t>Ap. Irrev. Futuras suscrip.</t>
  </si>
  <si>
    <t>000000000002</t>
  </si>
  <si>
    <t>12/09/2025</t>
  </si>
  <si>
    <t>CAJA</t>
  </si>
  <si>
    <t>TA001500000015</t>
  </si>
  <si>
    <t>Asiento de CAJA</t>
  </si>
  <si>
    <t>Canje de Valores 001500000015 Obs: DEL-Cambio $ 6,500,000</t>
  </si>
  <si>
    <t>000000000003</t>
  </si>
  <si>
    <t>5335</t>
  </si>
  <si>
    <t>DL - USA</t>
  </si>
  <si>
    <t>05/09/2025</t>
  </si>
  <si>
    <t>TA001500000017</t>
  </si>
  <si>
    <t>Canje de Valores 001500000017 Obs: DEL-Cambio $ 3,100,000</t>
  </si>
  <si>
    <t>000000000004</t>
  </si>
  <si>
    <t>03/09/2025</t>
  </si>
  <si>
    <t>0141</t>
  </si>
  <si>
    <t>TA001500000019</t>
  </si>
  <si>
    <t>Canje de Valores 001500000019 Obs: Noel cambia 1000 usd a cotización 1330 para pago adicional a Jorge ladran Chi por restauración de la</t>
  </si>
  <si>
    <t>000000000005</t>
  </si>
  <si>
    <t>14/09/2025</t>
  </si>
  <si>
    <t>TA001500000020</t>
  </si>
  <si>
    <t>Canje de Valores 001500000020 Obs: Noel cambio 500 usd a 1300</t>
  </si>
  <si>
    <t>000000000006</t>
  </si>
  <si>
    <t>19/09/2025</t>
  </si>
  <si>
    <t>TA001500000021</t>
  </si>
  <si>
    <t>Canje de Valores 001500000021 Obs: DEL-Cambio $ 2,800,000</t>
  </si>
  <si>
    <t>000000000007</t>
  </si>
  <si>
    <t>07/09/2025</t>
  </si>
  <si>
    <t>TE001500000001</t>
  </si>
  <si>
    <t>Extracción de Caja 001500000001 Obs: 07-09-2025 DT - DIV 141-BASE2  Mov Lodge</t>
  </si>
  <si>
    <t>DT - Noel compra gel para murciélagos</t>
  </si>
  <si>
    <t>000000000008</t>
  </si>
  <si>
    <t>DT - Noel le da Alexis para compras de comida</t>
  </si>
  <si>
    <t>DT - Noel paga alfombras nuevas para lancha del lodge</t>
  </si>
  <si>
    <t>DT - Noel paga adicional a Alexis por tareas pesadas</t>
  </si>
  <si>
    <t>DT - Noel pago logística blanqueria</t>
  </si>
  <si>
    <t>DT - Noel le paga a Jorge Laffranchi por restauración de lancha del lodge</t>
  </si>
  <si>
    <t>DT - Noel pago comida para llevarse al lodge</t>
  </si>
  <si>
    <t>DT - Cabify Noel ida y vuelta</t>
  </si>
  <si>
    <t>DT - Comida para Alexis casero</t>
  </si>
  <si>
    <t>DT - Noel paga a personal de guardería un adicional</t>
  </si>
  <si>
    <t>DT - Noel compra repuestos para lancha del lodge, antena y stereo</t>
  </si>
  <si>
    <t>DT - Nafta auto Noel</t>
  </si>
  <si>
    <t>TE001500000002</t>
  </si>
  <si>
    <t>Extracción de Caja 001500000002 Obs: Movimiento_Cajas_Bancos_Semana 25-26 al 05-09-2025</t>
  </si>
  <si>
    <t>DT-Guarderia La Baie - cuota Agosto - 5208 Alquileres y Canon Pagos Depsa Valores. Al 05-09-2025</t>
  </si>
  <si>
    <t>000000000009</t>
  </si>
  <si>
    <t>DT-Caja Lodge F.Fijo Oper. Al 05-09-2025</t>
  </si>
  <si>
    <t>DT-Guarderia La Bita - cuota Agosto  - 5208 Alquileres y Canon Pagos Depsa Valores. Al 05-09-2025</t>
  </si>
  <si>
    <t>DT-Pedido papeleria - 100 hojas menu + 100 membretadas + 100 sobres - Lamarque - temporada 2025-2026</t>
  </si>
  <si>
    <t>DT-Compra 8 perfuminas The Candle Shop - Cedro Verbena - Temporada 2025-2026 Pagos Depsa Valores. Al</t>
  </si>
  <si>
    <t xml:space="preserve">DT-Retiro Equipamiento - cañas, reels, líneas guías -Encarnación Itati - El Pombero F.Fijo Oper. Al </t>
  </si>
  <si>
    <t>TE001500000003</t>
  </si>
  <si>
    <t>Extracción de Caja 001500000003 Obs: Movimiento_Cajas_Bancos_Semana 25-26 al 05-09-2025</t>
  </si>
  <si>
    <t>DT-Honorarios Alexis Carra - mantenimiento agosto - 5226 Remuneraciones  Servicios Pagos Depsa Valor</t>
  </si>
  <si>
    <t>000000000010</t>
  </si>
  <si>
    <t>TE001500000005</t>
  </si>
  <si>
    <t>Extracción de Caja 001500000005 Obs: Movimiento_Cajas_Bancos_Semana 25-26 al 05-09-2025</t>
  </si>
  <si>
    <t>DT- Waterproof First Aid Prepper Survival - ValleySW- DEBIT PURCHASE  MERCHANT PURCHASE TERMINAL 420</t>
  </si>
  <si>
    <t>000000000011</t>
  </si>
  <si>
    <t>DEL20- 24/25- Tony Com x Vtas - ValleySW- TONY CAGGIANO LLC - (Sales Commission and Shows June)-</t>
  </si>
  <si>
    <t>TE001500000010</t>
  </si>
  <si>
    <t>Extracción de Caja 001500000010 Obs: 14-09-2025  Mov Lodge</t>
  </si>
  <si>
    <t>DT - Compras almacén Alexis</t>
  </si>
  <si>
    <t>000000000012</t>
  </si>
  <si>
    <t>DT - Noel paga a Laffranchi por mano de obra, instalación de parlantes nuevos, colocación stereo, fu</t>
  </si>
  <si>
    <t>DT - Cable de carga para parlante del living</t>
  </si>
  <si>
    <t>DT - Parlantes para la lancha</t>
  </si>
  <si>
    <t>DT - Noel le paga a Alexis casero por quedarse más días en delta cubriéndolo</t>
  </si>
  <si>
    <t>TE001500000011</t>
  </si>
  <si>
    <t>Extracción de Caja 001500000011 Obs: Movimiento_Cajas_Bancos_Semana 25-26 al 12-09-2025</t>
  </si>
  <si>
    <t>DT-Caja Lodge - se envia a baie 22-09 Pagos Alcorta Partners Al 12-09-2025</t>
  </si>
  <si>
    <t>000000000013</t>
  </si>
  <si>
    <t>DT-Compra motor eléctrico lancha Pagos Alcorta Partners Al 12-09-2025</t>
  </si>
  <si>
    <t>DEL- Ingreso pedido de operaciones - USD 11.800,00</t>
  </si>
  <si>
    <t>TE001500000012</t>
  </si>
  <si>
    <t>Extracción de Caja 001500000012 Obs: Movimiento_Cajas_Bancos_Semana 25-26 al 12-09-2025</t>
  </si>
  <si>
    <t>DT-Compra envases pet + valvula anti traba para hand soap  *12 Pagos Alcorta Partners Al 12-09-2025</t>
  </si>
  <si>
    <t>000000000014</t>
  </si>
  <si>
    <t>DEL- Ingreso pedido de operaciones - $ 2.760.000,00</t>
  </si>
  <si>
    <t>DT-5 name tagas madera intercambiable con logo  Pagos Alcorta Partners Al 12-09-2025</t>
  </si>
  <si>
    <t>DT-1Kg Chocolate Fenix 86 Pagos Alcorta Partners Al 12-09-2025</t>
  </si>
  <si>
    <t>DT-Cruzada pombero - Encarnación - Itati - equipos guias Pagos Alcorta Partners Al 12-09-2025</t>
  </si>
  <si>
    <t>DT-Caja Lodge Pagos Alcorta Partners Al 12-09-2025</t>
  </si>
  <si>
    <t>TE001500000016</t>
  </si>
  <si>
    <t>Extracción de Caja 001500000016 Obs: Movimiento_Cajas_Bancos_Semana 25-26 al 05-09-2025</t>
  </si>
  <si>
    <t xml:space="preserve">DT- Reel - ValleySW- DEBIT PURCHASE  MERCHANT PURCHASE TERMINAL 420429 eBay O 12 13467 06 673   San </t>
  </si>
  <si>
    <t>000000000015</t>
  </si>
  <si>
    <t xml:space="preserve">DT- Reel - ValleySW- DEBIT PURCHASE  MERCHANT PURCHASE TERMINAL 420429 eBay O 12 13467 06 674   San </t>
  </si>
  <si>
    <t xml:space="preserve">DT- Reel - ValleySW- DEBIT PURCHASE  MERCHANT PURCHASE TERMINAL 420429 eBay O 12 13467 06 672   San </t>
  </si>
  <si>
    <t xml:space="preserve">DT- Reel - ValleySW- DEBIT PURCHASE  MERCHANT PURCHASE TERMINAL 420429 eBay O 12 13467 06 671   San </t>
  </si>
  <si>
    <t>TE001500000018</t>
  </si>
  <si>
    <t>Extracción de Caja 001500000018 Obs: 14-09-2025  Mov Lodge</t>
  </si>
  <si>
    <t>DEL - Noel le paga adelantó a constructor rolando por obra de la Laguna</t>
  </si>
  <si>
    <t>000000000016</t>
  </si>
  <si>
    <t>TE001500000022</t>
  </si>
  <si>
    <t>Extracción de Caja 001500000022 Obs: Movimiento_Cajas_Bancos_Semana 25-26 al 19-09-2025</t>
  </si>
  <si>
    <t>DT-Compra motor electrico de 55 libras lancha Marsopa 21 - Salminus Depsa Valores Al 19-09-2025</t>
  </si>
  <si>
    <t>000000000017</t>
  </si>
  <si>
    <t>DT-Cruzada pombero - Encarnación Itati - equipos guias pesca Pagos Alcorta Partners. Al 19-09-2025</t>
  </si>
  <si>
    <t>DT-Reparaciones extras de la lancha del lodge por Jorge Laffranchi, incluye tapiceria nueva, alfombr</t>
  </si>
  <si>
    <t>DT-Reposición habanos para shop 10 romeo y julieta n3 +10 mille fleur F.Fijo Oper. Al 19-09-2025</t>
  </si>
  <si>
    <t>TE001500000023</t>
  </si>
  <si>
    <t>Extracción de Caja 001500000023 Obs: Movimiento_Cajas_Bancos_Semana 25-26 al 19-09-2025</t>
  </si>
  <si>
    <t>DT- Traida Cash para pagos Cash</t>
  </si>
  <si>
    <t>000000000018</t>
  </si>
  <si>
    <t>DEL- Manag Fee 24/25 NW</t>
  </si>
  <si>
    <t>DEL- Reintegro Seguro Integral a TA 24/25</t>
  </si>
  <si>
    <t>TI001500000004</t>
  </si>
  <si>
    <t>Ingreso a Caja 001500000004 Obs: Movimiento_Cajas_Bancos_Semana 25-26 al 05-09-2025</t>
  </si>
  <si>
    <t>DEL37- 25/26- LARS HELGE KYRKJEB - WT $7,435 + $15 gastos bancarios ------ comparte con VM15 - Valle</t>
  </si>
  <si>
    <t>000000000019</t>
  </si>
  <si>
    <t>TI001500000006</t>
  </si>
  <si>
    <t>Ingreso a Caja 001500000006 Obs: 07-09-2025_INCOMES</t>
  </si>
  <si>
    <t>DT - Ingreso pedido de operaciones</t>
  </si>
  <si>
    <t>000000000020</t>
  </si>
  <si>
    <t>TI001500000007</t>
  </si>
  <si>
    <t>Ingreso a Caja 001500000007 Obs: 07-09-2025_INCOMES</t>
  </si>
  <si>
    <t>000000000021</t>
  </si>
  <si>
    <t>TI001500000013</t>
  </si>
  <si>
    <t>Ingreso a Caja 001500000013 Obs: Movimiento_Cajas_Bancos_Semana 25-26 al 12-09-2025</t>
  </si>
  <si>
    <t xml:space="preserve">DEL37- 25/26- DIDRIK TRUMPY MARTENS  - comparte vs Notas ValleySW- WIRE IN INTL GFT 202509050005979 </t>
  </si>
  <si>
    <t>000000000022</t>
  </si>
  <si>
    <t>DEL33- 25/26- FWT LLC ACH (Fly Water Travel - ValleySW- ACH CREDIT CCD CMPY ID: 1611889961 FWT LLC A</t>
  </si>
  <si>
    <t>DEL- Recupero Ingreso pedido de operaciones - USD 11.800,00</t>
  </si>
  <si>
    <t>TI001500000014</t>
  </si>
  <si>
    <t>Ingreso a Caja 001500000014 Obs: Movimiento_Cajas_Bancos_Semana 25-26 al 12-09-2025</t>
  </si>
  <si>
    <t>DEL- Recupero Ingreso pedido de operaciones - $ 2.760.000,00</t>
  </si>
  <si>
    <t>000000000023</t>
  </si>
  <si>
    <t>TI001500000024</t>
  </si>
  <si>
    <t>Ingreso a Caja 001500000024 Obs: Movimiento_Cajas_Bancos_Semana 25-26 al 19-09-2025</t>
  </si>
  <si>
    <t>DT-Recupero compra motor pira electrico F.Fijo Oper. Al 19-09-2025</t>
  </si>
  <si>
    <t>000000000024</t>
  </si>
  <si>
    <t xml:space="preserve">DEL43- 25/26- George Lee Mitchell - Comparte con LC8 - ValleySW- WIRE IN GFT 202509150003799 GEORGE </t>
  </si>
  <si>
    <t>DEL18- 25/26- Ray Dix - Check #3391 $1,605 ----- comparte con CA.DU18 - ValleySW- 24 Checks $ 99.143</t>
  </si>
  <si>
    <t>DEL40- 25/26- Joseph W Fording - Check #2830 $3,230 ----- comparte con CL.DU42 - ValleySW- 17 Checks</t>
  </si>
  <si>
    <t>DEL38- 25/26- Mark Knipfer - Check #286 $4,680 - ValleySW- 17 Checks $ 82.877,00 -17-09-2025</t>
  </si>
  <si>
    <t>21/09/2025</t>
  </si>
  <si>
    <t>TI001500000025</t>
  </si>
  <si>
    <t>Ingreso a Caja 001500000025 Obs: Delta Lodge</t>
  </si>
  <si>
    <t>DT - Entrega de caja a Noel</t>
  </si>
  <si>
    <t>000000000025</t>
  </si>
  <si>
    <t>DEL- Devengamiento Vtas 25/26 cobrado al 31/8/25</t>
  </si>
  <si>
    <t>000000000026</t>
  </si>
  <si>
    <t>DEL- Recupero sueldo Alejandro abonado de mas x Banco 24/25 Neto del Bono</t>
  </si>
  <si>
    <t>000000000027</t>
  </si>
  <si>
    <t>29/10/2025</t>
  </si>
  <si>
    <t>TA001500000034</t>
  </si>
  <si>
    <t>Asiento de CAJA (01/09/2025 - 31/08/2026)</t>
  </si>
  <si>
    <t>Canje de Valores 001500000034 Obs: DT - Noel cambio 1500 usd a 1300</t>
  </si>
  <si>
    <t>000000000028</t>
  </si>
  <si>
    <t>27/10/2025</t>
  </si>
  <si>
    <t>TA001500000035</t>
  </si>
  <si>
    <t>Canje de Valores 001500000035 Obs: DT - Noel cambia 200 usd a 1365</t>
  </si>
  <si>
    <t>000000000029</t>
  </si>
  <si>
    <t>03/10/2025</t>
  </si>
  <si>
    <t>TA001500000041</t>
  </si>
  <si>
    <t>Canje de Valores 001500000041 Obs: DEL-Cambio $ 200,000</t>
  </si>
  <si>
    <t>000000000030</t>
  </si>
  <si>
    <t>10/10/2025</t>
  </si>
  <si>
    <t>TA001500000042</t>
  </si>
  <si>
    <t>Canje de Valores 001500000042 Obs: DEL-Cambio $ 3,700,000</t>
  </si>
  <si>
    <t>000000000031</t>
  </si>
  <si>
    <t>11/10/2025</t>
  </si>
  <si>
    <t>TA001500000048</t>
  </si>
  <si>
    <t>Canje de Valores 001500000048 Obs: DT - Se cambian 1000 usd a cot 1380</t>
  </si>
  <si>
    <t>000000000032</t>
  </si>
  <si>
    <t>08/10/2025</t>
  </si>
  <si>
    <t>TA001500000049</t>
  </si>
  <si>
    <t>Canje de Valores 001500000049 Obs: DT - Noel cambia usd a Cot 1420</t>
  </si>
  <si>
    <t>000000000033</t>
  </si>
  <si>
    <t>TA001500000050</t>
  </si>
  <si>
    <t>Canje de Valores 001500000050 Obs: DT - Noel cambia usd a Cot 1400</t>
  </si>
  <si>
    <t>000000000034</t>
  </si>
  <si>
    <t>26/09/2025</t>
  </si>
  <si>
    <t>TE001500000028</t>
  </si>
  <si>
    <t>Extracción de Caja 001500000028 Obs: Movimiento_Cajas_Bancos_Semana 25-26 al 26-09-2025</t>
  </si>
  <si>
    <t>DT-Entrega jabones - Expreso Brio - Fábrica Entre Rios / Baulera  F.Fijo Oper. Al 26-09-2025</t>
  </si>
  <si>
    <t>000000000035</t>
  </si>
  <si>
    <t>30/09/2025</t>
  </si>
  <si>
    <t>TE001500000030</t>
  </si>
  <si>
    <t>Extracción de Caja 001500000030 Obs: 30-09-2025  Mov Lodge</t>
  </si>
  <si>
    <t>DT - Almacén-cacao</t>
  </si>
  <si>
    <t>000000000036</t>
  </si>
  <si>
    <t>DT - Remis madero Alejandro ida a tigre</t>
  </si>
  <si>
    <t>DT - Súper chino</t>
  </si>
  <si>
    <t>DT - Remis andres + Karina ida a tigre</t>
  </si>
  <si>
    <t>DT - Almacén</t>
  </si>
  <si>
    <t>DT - Peaje Noel</t>
  </si>
  <si>
    <t>DT - Remis soporte compras</t>
  </si>
  <si>
    <t>DT - Vivero</t>
  </si>
  <si>
    <t>DT - Remis soporte día de compras</t>
  </si>
  <si>
    <t>DT - Ferretería</t>
  </si>
  <si>
    <t>DT - Adicional Alexis por ayuda extra</t>
  </si>
  <si>
    <t>DT - Respuesto descarga mochila inodoro sistema dual</t>
  </si>
  <si>
    <t>DT - Pago adicional Alexis por días extras en el lodge</t>
  </si>
  <si>
    <t>DT - Remis de regreso Karina + Andres</t>
  </si>
  <si>
    <t>DT - Repuestos plomeria nicuesa</t>
  </si>
  <si>
    <t>DT - Noel paga a Gabriel Mecanico instalación de motor eléctrico nuevo de lancha</t>
  </si>
  <si>
    <t>DT - Pago a Rolando por cañería para la Laguna</t>
  </si>
  <si>
    <t>DT - Pescadería</t>
  </si>
  <si>
    <t>DT - Noel le paga a constructor de lancha Laffranchi por ir a buscar el mismo los parlantes de la la</t>
  </si>
  <si>
    <t>DT - Nafta lancha lodge</t>
  </si>
  <si>
    <t>DT - Garrafas gas</t>
  </si>
  <si>
    <t>DT - Pasteleria</t>
  </si>
  <si>
    <t>DT - Noel nafta auto</t>
  </si>
  <si>
    <t>DT - Regreso mío con remis madero</t>
  </si>
  <si>
    <t>DT - Instrumentos de cocina</t>
  </si>
  <si>
    <t>DT - Auto Noel peaje</t>
  </si>
  <si>
    <t>DT - Estacionamiento auto Noel</t>
  </si>
  <si>
    <t>DT - Cerradura para galpón nuevo</t>
  </si>
  <si>
    <t>DT - Peaje auto Noel</t>
  </si>
  <si>
    <t>DT - Pago a perfectura por renovación de licencia de conducir de lancha de Noel</t>
  </si>
  <si>
    <t>DT - Cortinas de junco</t>
  </si>
  <si>
    <t>DT - Carnicería</t>
  </si>
  <si>
    <t>DT - Nafta</t>
  </si>
  <si>
    <t>DT - aguas</t>
  </si>
  <si>
    <t>DT - Bombones para aperturas</t>
  </si>
  <si>
    <t>DT - Noel le pago adicional a Alexis casero por 2  días en los que lo cubrió a noel por fuera del ac</t>
  </si>
  <si>
    <t>DT - Noel le paga adicional al padre de constructor rolando por agravar un canal en la obra de la La</t>
  </si>
  <si>
    <t>DT - Pago por tarea adicional en obre de Laguna, el padre del constructor de rolando le agrego un pe</t>
  </si>
  <si>
    <t>TE001500000033</t>
  </si>
  <si>
    <t>Extracción de Caja 001500000033 Obs: 30-09-2025  Mov Lodge</t>
  </si>
  <si>
    <t>DT - Pago a Matías guía</t>
  </si>
  <si>
    <t>000000000037</t>
  </si>
  <si>
    <t>DT - Pago a constructor rolando por instalar bomba presurizadora nueva debajo de calefon cocina nuev</t>
  </si>
  <si>
    <t>DT - Pago a Karina por 6 días</t>
  </si>
  <si>
    <t>DT - Pago a Pablo guía</t>
  </si>
  <si>
    <t>DT - Pago salario andres cocinero por 6 días + ajuste autorizado por marina (pira)</t>
  </si>
  <si>
    <t>05/10/2025</t>
  </si>
  <si>
    <t>TE001500000036</t>
  </si>
  <si>
    <t>Extracción de Caja 001500000036 Obs: 05-10-2025  Mov Lodge</t>
  </si>
  <si>
    <t>DT - Pablo guía 1 Fd y 1 transfer out</t>
  </si>
  <si>
    <t>000000000038</t>
  </si>
  <si>
    <t>TE001500000037</t>
  </si>
  <si>
    <t>Extracción de Caja 001500000037 Obs: 05-10-2025  Mov Lodge</t>
  </si>
  <si>
    <t>000000000039</t>
  </si>
  <si>
    <t>DT - Nafta generador ypf Luján</t>
  </si>
  <si>
    <t>DT - Compras de almacén en supermercado carrefour</t>
  </si>
  <si>
    <t>DT - Aspiradora para la lancha del lodge</t>
  </si>
  <si>
    <t>DT - Artículos de ferretería</t>
  </si>
  <si>
    <t>DT - Pescadería, Rabas</t>
  </si>
  <si>
    <t>DT - Artículos de almacén mayorista</t>
  </si>
  <si>
    <t>DT - Nueces regionales ( nuez de pecan ) para cocina</t>
  </si>
  <si>
    <t>DT - Grifería nueva para la cocina de andres</t>
  </si>
  <si>
    <t>DT - Carnicería  (compra de cordero que hizo Andrés)</t>
  </si>
  <si>
    <t>DT - Árboles para la Laguna</t>
  </si>
  <si>
    <t>DT - Mayorista, artículos de limpieza</t>
  </si>
  <si>
    <t>DT - Zapatilla para casa staff andres  y destornillador busca polos</t>
  </si>
  <si>
    <t>DT - Artículos de farmacia para botiquínes</t>
  </si>
  <si>
    <t>DT - Papelería, elementos para cocina andres</t>
  </si>
  <si>
    <t>DT - Elementos de cocina para andres</t>
  </si>
  <si>
    <t>DT - Equipos de pesca</t>
  </si>
  <si>
    <t>DT - Taxi mío y de Noel día de reunión en oficina</t>
  </si>
  <si>
    <t>DT - Almuerzo staff día de compras</t>
  </si>
  <si>
    <t>DT - pan personal</t>
  </si>
  <si>
    <t>DT - Mayorista bebidas</t>
  </si>
  <si>
    <t>DT - Súper chino comida gata</t>
  </si>
  <si>
    <t>DT - Compra de bidones de agua en súper chino</t>
  </si>
  <si>
    <t>DT - Pago adicional Alexis casero</t>
  </si>
  <si>
    <t>DT - Remis madero</t>
  </si>
  <si>
    <t>DT - Remis andres y Karina</t>
  </si>
  <si>
    <t>DT - Adicional a personal por ayuda en la guardería</t>
  </si>
  <si>
    <t>5257</t>
  </si>
  <si>
    <t>Bebidas Blncas,Cervzas y Gaseo</t>
  </si>
  <si>
    <t>TE001500000038</t>
  </si>
  <si>
    <t>Extracción de Caja 001500000038 Obs: Movimiento_Cajas_Bancos_Semana 25-26 al 03-10-2025</t>
  </si>
  <si>
    <t>DT-TriSW Fee CC 09-2025</t>
  </si>
  <si>
    <t>000000000040</t>
  </si>
  <si>
    <t>DEL46 -25/26-Jay James Jandrain -CMSW 09-2025- CC x MTP $7,460 ----- comparte con LD.DU39-CC</t>
  </si>
  <si>
    <t>DEL24 -25/26-Kristi Crawford -CMSW 09-2025- CC x MTP $1,442.50 ------- comparte con CA.DU27-CC</t>
  </si>
  <si>
    <t>DEL1 -26/27-James Gage Powell -CMSW 09-2025- CC x MTP $1,373,5 ---- comparte con CA.DU3-CC</t>
  </si>
  <si>
    <t>DEL29 -25/26-Dennis Tice -CMSW 09-2025- CC x MTP $1,550-CC</t>
  </si>
  <si>
    <t>DEL24 -25/26-Cecil Crawford -CMSW 09-2025- CC x MTP $1,442.50 ------- comparte con CA.DU27-CC</t>
  </si>
  <si>
    <t>DT- Maintenance Fees CC Monthly Fee 09/2025</t>
  </si>
  <si>
    <t>DT-Adelanto dividendos - Noel Pollak F.Fijo Oper. Al 03-10-2025</t>
  </si>
  <si>
    <t>DEL20 -25/26-John Ecker -CMSW 09-2025- CC x MTP $1,332.50 ----- comparte con PZ.DU32-CC</t>
  </si>
  <si>
    <t>DT- Fee Noel 09-2025</t>
  </si>
  <si>
    <t>DEL39 -25/26-Douglas Ahlgrim -CMSW 09-2025- CC x MTP $2,600 ---- comparte con LP17-CC</t>
  </si>
  <si>
    <t>DEL43 -25/26-Anthony Mark Everett -CMSW 09-2025- CC x MTP $5,896.75 ----- comparte con LC8-CC</t>
  </si>
  <si>
    <t>TE001500000043</t>
  </si>
  <si>
    <t>Extracción de Caja 001500000043 Obs: Movimiento_Cajas_Bancos_Semana 25-26 al 10-10-2025</t>
  </si>
  <si>
    <t>DT-Guarderia La Bita - cuota Octubre Pagos Alcorta Partners. Al 10-10-2025</t>
  </si>
  <si>
    <t>000000000041</t>
  </si>
  <si>
    <t>DT-Diferencia por aumento de precio cuota octubre - Guarderia La Baie F.Fijo Oper. Al 10-10-2025</t>
  </si>
  <si>
    <t>DT-Alexis Carra - Honorarios mantenimiento Septiembre Pagos Alcorta Partners. Al 10-10-2025</t>
  </si>
  <si>
    <t>DT-Caja Lodge F.Fijo Oper. Al 10-10-2025</t>
  </si>
  <si>
    <t>DT-Guarderia La Baie - cuota Octubre Pagos Alcorta Partners. Al 10-10-2025</t>
  </si>
  <si>
    <t>DT-Insumos de pesca pesca que compró Noel, cañas, reeles, articulos para armar lineas. Pagos Alcorta</t>
  </si>
  <si>
    <t>TE001500000044</t>
  </si>
  <si>
    <t>Extracción de Caja 001500000044 Obs: Movimiento_Cajas_Bancos_Semana 25-26 al 10-10-2025</t>
  </si>
  <si>
    <t>DT- TriSW- AMEX - Sept 25- =DLOSTARLINK        CABA                AR-</t>
  </si>
  <si>
    <t>000000000042</t>
  </si>
  <si>
    <t>DT- TriSW- AMEX - Sept 25- SPOTIFY             NEW YORK            NY- spotify</t>
  </si>
  <si>
    <t>DT- TriSW- AMEX - Sept 25- =DLOSPOTIFY         CABA                AR- spotify</t>
  </si>
  <si>
    <t>DT- TriSW- AMEX - Sept 25- VPOS- SASPY EXPRESS LAMBARE- 80.64 VM (Farbank y Lineas Amzn)  // 8.64 DT</t>
  </si>
  <si>
    <t>DEL- Reintegro Sueldos TA 09/2025 - Servicios</t>
  </si>
  <si>
    <t>DEL- Reintegro Cargas Sociales TA 09/2025 - Managers</t>
  </si>
  <si>
    <t>DEL- Reintegro Cargas Sociales TA 09/2025 - Servicios</t>
  </si>
  <si>
    <t>DEL- Reintegro Sueldos TA 09/2025 - Managers</t>
  </si>
  <si>
    <t>DT-Compra 5 platos de pan - saldo contra entrega F.Fijo Oper. Al 10-10-2025</t>
  </si>
  <si>
    <t>DT- TriSW- AMEX - Sept 25- VPOS- SASPY EXPRESS LAMBARE- 240.38 ET - 5253 (Repuestos Cuatricilo) // 1</t>
  </si>
  <si>
    <t>12/10/2025</t>
  </si>
  <si>
    <t>TE001500000046</t>
  </si>
  <si>
    <t>Extracción de Caja 001500000046 Obs: 12-10-2025  Mov Lodge</t>
  </si>
  <si>
    <t>DT - Propina en guardería la baie</t>
  </si>
  <si>
    <t>000000000043</t>
  </si>
  <si>
    <t>DT - Nicuesa sanitarios repuestos</t>
  </si>
  <si>
    <t>DT - Nafta lancha Noel</t>
  </si>
  <si>
    <t>DT - Nafta lancha del lodge</t>
  </si>
  <si>
    <t>DT - Garrafas</t>
  </si>
  <si>
    <t>DT - Supermercado carrefour</t>
  </si>
  <si>
    <t>DT - Pegamento</t>
  </si>
  <si>
    <t>DT - Ménsulas para mesa de apoyo en hab 3</t>
  </si>
  <si>
    <t>DT - Verduleria</t>
  </si>
  <si>
    <t>DT - Hielo</t>
  </si>
  <si>
    <t>DT - Aceite para generadores</t>
  </si>
  <si>
    <t>DT - Tablón para superficie de apoyo cuarto de huéspedes</t>
  </si>
  <si>
    <t>DT - Pintura cetol</t>
  </si>
  <si>
    <t>DT - Lavandería</t>
  </si>
  <si>
    <t>DT - Artículos de pesca</t>
  </si>
  <si>
    <t>DT - Vivero plantas varias para el lodge</t>
  </si>
  <si>
    <t>DT - Bebidas cooler huéspedes</t>
  </si>
  <si>
    <t>DT - Plantas agramaticas</t>
  </si>
  <si>
    <t>DT - Propina ypf</t>
  </si>
  <si>
    <t>TE001500000047</t>
  </si>
  <si>
    <t>Extracción de Caja 001500000047 Obs: 12-10-2025  Mov Lodge</t>
  </si>
  <si>
    <t>DT - Noel le paga a Rolando constructor en concepto de adelanto por obra de Laguna</t>
  </si>
  <si>
    <t>000000000044</t>
  </si>
  <si>
    <t>DT - Pago a Eduardo por servicio general a los 2 generadores del lodge</t>
  </si>
  <si>
    <t>TI001500000029</t>
  </si>
  <si>
    <t>Ingreso a Caja 001500000029 Obs: Movimiento_Cajas_Bancos_Semana 25-26 al 26-09-2025</t>
  </si>
  <si>
    <t>DEL12- 25/26- Scott Hunsicker - Check #512 $16,363 ----- comparte con PZ1 y S1 - ValleySW- 12 Checks</t>
  </si>
  <si>
    <t>000000000045</t>
  </si>
  <si>
    <t xml:space="preserve">DEL2- 25/26-  comparte con PZ2 - MICHAEL L STRAIN - ValleySW- WIRE IN GFT 202509190009721 MICHAEL L </t>
  </si>
  <si>
    <t>DEL41- 25/26- Dr. Andrew M. Crabill - Check #2465 $5,100 --- comparte con CA.DU38 - ValleySW- 7 Chec</t>
  </si>
  <si>
    <t>DEL37-  25/26- BREDENBRUECHER BIRGER - comparte con VM15 - ValleySW- WIRE IN GFT 202509220006069 WIS</t>
  </si>
  <si>
    <t>DEL37- 25/26- LARS HELGE KYRKJEB - comparte con VM15 - ValleySW- WIRE IN INTL GFT 202509240003668 LA</t>
  </si>
  <si>
    <t>TI001500000031</t>
  </si>
  <si>
    <t>Ingreso a Caja 001500000031 Obs: 30-09-2025 INCOME OF MONEY</t>
  </si>
  <si>
    <t>000000000046</t>
  </si>
  <si>
    <t>TI001500000032</t>
  </si>
  <si>
    <t>Ingreso a Caja 001500000032 Obs: 30-09-2025 INCOME OF MONEY</t>
  </si>
  <si>
    <t>000000000047</t>
  </si>
  <si>
    <t>TI001500000039</t>
  </si>
  <si>
    <t>Ingreso a Caja 001500000039 Obs: Movimiento_Cajas_Bancos_Semana 25-26 al 03-10-2025</t>
  </si>
  <si>
    <t>DT-Recupero -Compra 5 platos de pan - Goldfarb - rendido FF 01-08 F.Fijo Oper. Al 03-10-2025</t>
  </si>
  <si>
    <t>000000000048</t>
  </si>
  <si>
    <t>TI001500000040</t>
  </si>
  <si>
    <t>Ingreso a Caja 001500000040 Obs: Movimiento_Cajas_Bancos_Semana 25-26 al 03-10-2025</t>
  </si>
  <si>
    <t>DEL20 -25/26-John Ecker -CMSW 09-2025- CC x MTP $1,332.50 ----- comparte con PZ.DU32</t>
  </si>
  <si>
    <t>000000000049</t>
  </si>
  <si>
    <t>DEL1 -26/27-James Gage Powell -CMSW 09-2025- CC x MTP $1,373,5 ---- comparte con CA.DU3</t>
  </si>
  <si>
    <t>DEL24 -25/26-Kristi Crawford -CMSW 09-2025- CC x MTP $1,442.50 ------- comparte con CA.DU27</t>
  </si>
  <si>
    <t>DEL24 -25/26-Cecil Crawford -CMSW 09-2025- CC x MTP $1,442.50 ------- comparte con CA.DU27</t>
  </si>
  <si>
    <t>DEL29 -25/26-Dennis Tice -CMSW 09-2025- CC x MTP $1,550</t>
  </si>
  <si>
    <t>DEL39 -25/26-Douglas Ahlgrim -CMSW 09-2025- CC x MTP $2,600 ---- comparte con LP17</t>
  </si>
  <si>
    <t>DEL43 -25/26-Anthony Mark Everett -CMSW 09-2025- CC x MTP $5,896.75 ----- comparte con LC8</t>
  </si>
  <si>
    <t>DEL12- 25/26- Cathy Polus - Check #5011 $5454,50 ----- comparte con PZ1 y S1 - ValleySW- 11 Checks $</t>
  </si>
  <si>
    <t>DEL46 -25/26-Jay James Jandrain -CMSW 09-2025- CC x MTP $7,460 ----- comparte con LD.DU39</t>
  </si>
  <si>
    <t>TI001500000045</t>
  </si>
  <si>
    <t>Ingreso a Caja 001500000045 Obs: Movimiento_Cajas_Bancos_Semana 25-26 al 10-10-2025</t>
  </si>
  <si>
    <t>DEL37- 25/26- DIDRIK TRUMPY MARTENS  - Comparte Vs Notas de Vtas - ValleySW- WIRE IN INTL GFT 202510</t>
  </si>
  <si>
    <t>000000000050</t>
  </si>
  <si>
    <t>17/10/2025</t>
  </si>
  <si>
    <t>TA001500000051</t>
  </si>
  <si>
    <t>Canje de Valores 001500000051 Obs: DEL-Cambio $ 6,900,000</t>
  </si>
  <si>
    <t>000000000051</t>
  </si>
  <si>
    <t>TE001500000052</t>
  </si>
  <si>
    <t>Extracción de Caja 001500000052 Obs: Movimiento_Cajas_Bancos_Semana 25-26 al 17-10-2025</t>
  </si>
  <si>
    <t>DT-Gorras regalo x 100 -Martin Costa F.Fijo Oper. Al 17-10-2025</t>
  </si>
  <si>
    <t>000000000052</t>
  </si>
  <si>
    <t>DT-Reposición vinos x 26 cajas - Casa Pirque F.Fijo Oper. Al 17-10-2025</t>
  </si>
  <si>
    <t>DT-4 bujías original Mercury 100000 pesos  1 filtro de aceite 52000 pesos  1 filtro trampa de agua o</t>
  </si>
  <si>
    <t>DT-Compra de verduleria - octubre - primera semana octubre Pagos Depsa Valores. Al 17-10-2025</t>
  </si>
  <si>
    <t>DT-Compra Heladera Exhibidora Vertical Inelro Mt - 450 437 Lts 1 Puerta  - Gastro Hogar F.Fijo Oper.</t>
  </si>
  <si>
    <t>DT-Flete envío Heladera Vertical - San Cristobal - Guarderia La Baie F.Fijo Oper. Al 17-10-2025</t>
  </si>
  <si>
    <t>DT-Compra de carniceria - primera semana octubre Pagos Depsa Valores. Al 17-10-2025</t>
  </si>
  <si>
    <t>DT-Salminus tasa anual fija PNA F.Fijo Oper. Al 17-10-2025</t>
  </si>
  <si>
    <t>DT-Impresión 150 turndown stories pesca - Mascopies F.Fijo Oper. Al 17-10-2025</t>
  </si>
  <si>
    <t>DT-Impresión 5 planchas amenities stickers troquelados - Mascopies F.Fijo Oper. Al 17-10-2025</t>
  </si>
  <si>
    <t>TE001500000053</t>
  </si>
  <si>
    <t>Extracción de Caja 001500000053 Obs: Movimiento_Cajas_Bancos_Semana 25-26 al 17-10-2025</t>
  </si>
  <si>
    <t>DEL- ValleyFF- ANALYSIS RESULTS CHG ANALYSIS ACTIVITY   FOR 09/25</t>
  </si>
  <si>
    <t>000000000053</t>
  </si>
  <si>
    <t>19/10/2025</t>
  </si>
  <si>
    <t>TE001500000057</t>
  </si>
  <si>
    <t>Extracción de Caja 001500000057 Obs: 19-10-2025  Mov Lodge</t>
  </si>
  <si>
    <t>DT - Bidones de agua</t>
  </si>
  <si>
    <t>000000000054</t>
  </si>
  <si>
    <t>DT - Súper chino leche</t>
  </si>
  <si>
    <t>DT - Garrafas de gas</t>
  </si>
  <si>
    <t>DT - Adicional a Rolando</t>
  </si>
  <si>
    <t>DT - Adicional Alexis</t>
  </si>
  <si>
    <t>TI001500000054</t>
  </si>
  <si>
    <t>Ingreso a Caja 001500000054 Obs: Movimiento_Cajas_Bancos_Semana 25-26 al 17-10-2025</t>
  </si>
  <si>
    <t>DEL18- 25/26- COLORADO WEST LAW LLC (JAMES PLUMHOFF) - Check #3680 $3,210 --- comparte con CA.DU18 -</t>
  </si>
  <si>
    <t>000000000055</t>
  </si>
  <si>
    <t>DEL45- 25/26- DREW P ANDERSON - Check #1155 $5,440 - ValleySW- 31 Checks $ 180.738,50 -04-10-2025</t>
  </si>
  <si>
    <t>TI001500000055</t>
  </si>
  <si>
    <t>Ingreso a Caja 001500000055 Obs: 19-10-2025  Mov Lodge</t>
  </si>
  <si>
    <t>000000000056</t>
  </si>
  <si>
    <t>TI001500000056</t>
  </si>
  <si>
    <t>Ingreso a Caja 001500000056 Obs: 19-10-2025  Mov Lodge</t>
  </si>
  <si>
    <t>000000000057</t>
  </si>
  <si>
    <t>24/10/2025</t>
  </si>
  <si>
    <t>TA001500000059</t>
  </si>
  <si>
    <t>Canje de Valores 001500000059 Obs: DEL-Cambio $ 5,200,000</t>
  </si>
  <si>
    <t>000000000058</t>
  </si>
  <si>
    <t>26/10/2025</t>
  </si>
  <si>
    <t>TE001500000060</t>
  </si>
  <si>
    <t>Extracción de Caja 001500000060 Obs: 26-10-2025 INCOME OF MONEY</t>
  </si>
  <si>
    <t>DT - Bono mío temporada pasada (2024)</t>
  </si>
  <si>
    <t>000000000059</t>
  </si>
  <si>
    <t>DT - Pago a Karina todo el mes</t>
  </si>
  <si>
    <t>DT - Sueldo mío del 02 al 26 de octubre</t>
  </si>
  <si>
    <t>DT - Noel paga adicional al padre de rolando por detalles en obra de laguna</t>
  </si>
  <si>
    <t>DT - Pago a rolando por 3 Transfers</t>
  </si>
  <si>
    <t>DT - Pago Andrés cocinero todo el mes</t>
  </si>
  <si>
    <t>DT - Guía Matías 5 FD Y 1 HD</t>
  </si>
  <si>
    <t>DT - Obra de la escalera detrás de casa Noel</t>
  </si>
  <si>
    <t>TE001500000061</t>
  </si>
  <si>
    <t>Extracción de Caja 001500000061 Obs: Movimiento_Cajas_Bancos_Semana 25-26 al 24-10-2025</t>
  </si>
  <si>
    <t>DT-Compra de articulos de pesca para el Lodge  Pagos Depsa Valores. Al 24-10-2025</t>
  </si>
  <si>
    <t>000000000060</t>
  </si>
  <si>
    <t>DT-Servicio Mensajeria Mensual - Septiembre F.Fijo Oper. Al 24-10-2025</t>
  </si>
  <si>
    <t>DT-Recarga Nafta lancha lodge - grupos octubre F.Fijo Oper. Al 24-10-2025</t>
  </si>
  <si>
    <t>DT-Honorarios Rolando por obra de la laguna: 4 dias adicionales de trabajo con la máquina, para agra</t>
  </si>
  <si>
    <t>DT-Compra 2 bancos hierro para Hab 1 y 2 F.Fijo Oper. Al 24-10-2025</t>
  </si>
  <si>
    <t>DT-Saldo a cuenta - apertura cuenta - compras alimentos- OK Sofia y Noel. Pagos Alcorta Partners. Al</t>
  </si>
  <si>
    <t>DT-Servicio de lavadero - blanqueria Pagos Depsa Valores. Al 24-10-2025</t>
  </si>
  <si>
    <t>TE001500000062</t>
  </si>
  <si>
    <t>Extracción de Caja 001500000062 Obs: 26-10-2025  Mov Lodge</t>
  </si>
  <si>
    <t>000000000061</t>
  </si>
  <si>
    <t>DT - 3 garrafas ypf</t>
  </si>
  <si>
    <t>DT - Almuerzo Noel</t>
  </si>
  <si>
    <t>DT -  Acta lancha Noel</t>
  </si>
  <si>
    <t>DT - Nafta guía Matías que uso para 5 fd y 1 HD</t>
  </si>
  <si>
    <t>DT - Adicional padre de rolando por labores en la laguna</t>
  </si>
  <si>
    <t>DT - Uber mío idea y vuelta</t>
  </si>
  <si>
    <t>DT - Nicuesa sanitarios</t>
  </si>
  <si>
    <t>DT - Flete para sillón del muelle de atrás</t>
  </si>
  <si>
    <t>DT - Pantallas de mimbre</t>
  </si>
  <si>
    <t>DT - Almuerzo mío y de Noel  (día de compras)</t>
  </si>
  <si>
    <t>DT - Compra coto</t>
  </si>
  <si>
    <t>DT - Mármoles para espacio de apoyo en habitaciones</t>
  </si>
  <si>
    <t>DT - Me sumas para mármoles de habitaciónes huéspedes</t>
  </si>
  <si>
    <t>DT - Plantas aromáticas</t>
  </si>
  <si>
    <t>DT - Corderitos para sillón nuevo en muelle de atrás</t>
  </si>
  <si>
    <t>DT - Sillón nuevo para muelle de atrás</t>
  </si>
  <si>
    <t>DT - Nafta lancha</t>
  </si>
  <si>
    <t>TI001500000058</t>
  </si>
  <si>
    <t>Ingreso a Caja 001500000058 Obs: 26-10-2025 INCOME OF MONEY</t>
  </si>
  <si>
    <t>DT - Ingreso por ajuste de sueldo visto con Marina sobre lo recibido en Caja de ahorro en pesos arge</t>
  </si>
  <si>
    <t>000000000062</t>
  </si>
  <si>
    <t>DT - Ingreso pedido de operaciones 500 usd (bono Alejandro)</t>
  </si>
  <si>
    <t>TI001500000063</t>
  </si>
  <si>
    <t>Ingreso a Caja 001500000063 Obs: Movimiento_Cajas_Bancos_Semana 25-26 al 24-10-2025</t>
  </si>
  <si>
    <t>DEL11- Creighton Demuth - Comparte con PZ.DU19 - ValleySW- WIRE IN GFT 202510100011289 CREIGHTON DEM</t>
  </si>
  <si>
    <t>000000000063</t>
  </si>
  <si>
    <t>DEL28- 25/26- BART BOOKHAMER  - WT $14,325 comparte con S27 y CH3 - ValleySW- WIRE IN GFT 2025101500</t>
  </si>
  <si>
    <t xml:space="preserve">DEL10- 25/26- Burnt Pine Plantation - Chuck Larsen - Check #43814073 $1,712 - ValleySW- 21 Checks $ </t>
  </si>
  <si>
    <t>DEL53- 25/26- KEVIN K KILPATRICK - ValleySW- WIRE IN GFT 202510220023452 KEVIN K KILPATRICK  /PURP/P</t>
  </si>
  <si>
    <t>DEL11- 25/26- Joshua J Klingman - Comparte con PZ.DU19 - ValleySW- WIRE IN GFT 202510100010771 JOSHU</t>
  </si>
  <si>
    <t>"DEL49- 25/26- ABS FUNDING LLC (Luciano Saldise)</t>
  </si>
  <si>
    <t>31/10/2025</t>
  </si>
  <si>
    <t>TA001500000064</t>
  </si>
  <si>
    <t>Canje de Valores 001500000064 Obs: DEL-Cambio $ 1,600,000</t>
  </si>
  <si>
    <t>000000000064</t>
  </si>
  <si>
    <t>07/11/2025</t>
  </si>
  <si>
    <t>TA001500000069</t>
  </si>
  <si>
    <t>Canje de Valores 001500000069 Obs: DEL-Cambio $ 1,000,000</t>
  </si>
  <si>
    <t>000000000065</t>
  </si>
  <si>
    <t>TE001500000065</t>
  </si>
  <si>
    <t>Extracción de Caja 001500000065 Obs: Movimiento_Cajas_Bancos_Semana 25-26 al 31-10-2025</t>
  </si>
  <si>
    <t>DT- Fee Noel 10-2025</t>
  </si>
  <si>
    <t>000000000066</t>
  </si>
  <si>
    <t>DEL- Reintegro Sueldos TA 10-2025 - Managers</t>
  </si>
  <si>
    <t>DEL- Reintegro Cargas Sociales TA 10-2025 - Managers</t>
  </si>
  <si>
    <t>DEL- Reintegro Cargas Sociales TA 10-2025 - Servicios</t>
  </si>
  <si>
    <t>DT-Honorarios por guiada 12-10 - Rolando F.Fijo Oper. Al 31-10-2025</t>
  </si>
  <si>
    <t>DT-Honorarios Rolando - finalización obra playa F.Fijo Oper. Al 31-10-2025</t>
  </si>
  <si>
    <t>DT-Servicio de transfers- Octubre - Rolando F.Fijo Oper. Al 31-10-2025</t>
  </si>
  <si>
    <t>DT-Honorarios Rolando - finalización obra laguna F.Fijo Oper. Al 31-10-2025</t>
  </si>
  <si>
    <t>DT- Maintenance Fees CC Monthly Fee 10/2025</t>
  </si>
  <si>
    <t>DEL- Reintegro Sueldos TA 10-2025 - Servicios</t>
  </si>
  <si>
    <t>TE001500000066</t>
  </si>
  <si>
    <t>Extracción de Caja 001500000066 Obs: Movimiento_Cajas_Bancos_Semana 25-26 al 31-10-2025</t>
  </si>
  <si>
    <t>DT-Compra de carniceria semana 17-10 Pagos Depsa Valores. Al 31-10-2025</t>
  </si>
  <si>
    <t>000000000067</t>
  </si>
  <si>
    <t>DT-Mesa ratona para el muelle de atrás F.Fijo Oper. Al 31-10-2025</t>
  </si>
  <si>
    <t>DT-Instalacion electrica en galpon nuevo detrás de casa staff F.Fijo Oper. Al 31-10-2025</t>
  </si>
  <si>
    <t>DT-Embalsado de madera para agregar a la laguna F.Fijo Oper. Al 31-10-2025</t>
  </si>
  <si>
    <t>DT-Compra Red de pesca F.Fijo Oper. Al 31-10-2025</t>
  </si>
  <si>
    <t>DT-Recarga combustible - noviembre lancha del lodge F.Fijo Oper. Al 31-10-2025</t>
  </si>
  <si>
    <t>DT-Compra Microondas para cocina nueva F.Fijo Oper. Al 31-10-2025</t>
  </si>
  <si>
    <t>DT-Compra de verduleria semana 17-10 Pagos Depsa Valores. Al 31-10-2025</t>
  </si>
  <si>
    <t>TE001500000070</t>
  </si>
  <si>
    <t>Extracción de Caja 001500000070 Obs: Movimiento_Cajas_Bancos_Semana 25-26 al 07-11-2025</t>
  </si>
  <si>
    <t>DT-Compra 1 campera soft shell impermeable + 1 campera polar F.Fijo Oper. Al 07-11-2025</t>
  </si>
  <si>
    <t>000000000068</t>
  </si>
  <si>
    <t>DT-Guarderia La Bita - cuota Octubre Pagos Depsa Valores. Al 07-11-2025</t>
  </si>
  <si>
    <t>DT-Alexis Carra - Honorarios mantenimiento Octubre Pagos Depsa Valores. Al 07-11-2025</t>
  </si>
  <si>
    <t>DT-Guarderia La Baie - cuota Octubre Pagos Depsa Valores. Al 07-11-2025</t>
  </si>
  <si>
    <t>TE001500000071</t>
  </si>
  <si>
    <t>Extracción de Caja 001500000071 Obs: Movimiento_Cajas_Bancos_Semana 25-26 al 07-11-2025</t>
  </si>
  <si>
    <t>DEL24 -25/26-David Little -CMSW 10-2025- CC x MTP $3,935 ------- comparte con CA.DU27-CC</t>
  </si>
  <si>
    <t>000000000069</t>
  </si>
  <si>
    <t>DEL47 -25/26-Tyler Jones -CMSW 10-2025- CC x MTP $ 2,882 ----- comparte con PZ.DU61-CC</t>
  </si>
  <si>
    <t>DEL47 -25/26-Dominic Zimmaro -CMSW 10-2025- CC x MTP $2,882 ---- comparte con PZ.DU61-CC</t>
  </si>
  <si>
    <t>DEL54 -25/26-Charles Robert Dorsett Jr. -CMSW 10-2025- CC x MTP $4,680 ---- comparte con TUC40 -CC</t>
  </si>
  <si>
    <t>DEL52 -25/26-Ben Fawcett -CMSW 10-2025- CC x MTP $672.50-CC</t>
  </si>
  <si>
    <t>DEL48 -25/26-Jamie Pafford-Gresham -CMSW 10-2025- CC x MTP $4,580-CC</t>
  </si>
  <si>
    <t>DEL47 -25/26-John McGovern -CMSW 10-2025- CC x MTP $2,882 ---- comparte con PZ.DU61-CC</t>
  </si>
  <si>
    <t>TI001500000067</t>
  </si>
  <si>
    <t>Ingreso a Caja 001500000067 Obs: Movimiento_Cajas_Bancos_Semana 25-26 al 31-10-2025</t>
  </si>
  <si>
    <t xml:space="preserve">DEL7- 25/26- Gregory John Herrema - comparte con F3 - ValleySW- WIRE IN GFT 202510280003304 GREGORY </t>
  </si>
  <si>
    <t>000000000070</t>
  </si>
  <si>
    <t>DEL53- 25/26- STEPHEN NORRIS - Check #1176 $1,645  - ValleySW- 5 Checks $ 23.902,50 -24-10-2025</t>
  </si>
  <si>
    <t>DEL50 -25/26- Daniel Irmscher  - Check #1503 $4,680 - ValleySW- 24 Checks $ 93.555,00 -22-10-2025</t>
  </si>
  <si>
    <t>DEL1- 27/28- Mike Bland - Check #834 $2,000 - ValleySW- 24 Checks $ 93.555,00 -22-10-2025</t>
  </si>
  <si>
    <t xml:space="preserve">DEL47- 25/26- Alan Hill Jones  Check #7126 $2,785 ---- comparte con PZ.DU61 - ValleySW- 24 Checks $ </t>
  </si>
  <si>
    <t>"DEL11- 25/26- Abell Farms LLC</t>
  </si>
  <si>
    <t>TI001500000068</t>
  </si>
  <si>
    <t>Ingreso a Caja 001500000068 Obs: Movimiento_Cajas_Bancos_Semana 25-26 al 07-11-2025</t>
  </si>
  <si>
    <t>DEL48 -25/26-Jamie Pafford-Gresham -CMSW 10-2025- CC x MTP $4,580</t>
  </si>
  <si>
    <t>000000000071</t>
  </si>
  <si>
    <t>DEL54 -25/26-Charles Robert Dorsett Jr. -CMSW 10-2025- CC x MTP $4,680 ---- comparte con TUC40</t>
  </si>
  <si>
    <t>DEL52 -25/26-Ben Fawcett -CMSW 10-2025- CC x MTP $672.50</t>
  </si>
  <si>
    <t>DEL47 -25/26-John McGovern -CMSW 10-2025- CC x MTP $2,882 ---- comparte con PZ.DU61</t>
  </si>
  <si>
    <t>DEL47 -25/26-Dominic Zimmaro -CMSW 10-2025- CC x MTP $2,882 ---- comparte con PZ.DU61</t>
  </si>
  <si>
    <t>DEL24 -25/26-David Little -CMSW 10-2025- CC x MTP $3,935 ------- comparte con CA.DU27</t>
  </si>
  <si>
    <t>DEL53- 25/26- ALAN PARCHMAN - Check #2151 $1,645  - ValleySW- 16 Checks $ 62.185,00 -30-10-2025</t>
  </si>
  <si>
    <t>DEL53- 25/26- BRUCE BAIRD - Check #2265 $1,645  - ValleySW- 16 Checks $ 62.185,00 -30-10-2025</t>
  </si>
  <si>
    <t>DEL16- 25/26- JONATHON GRIMM - Check #2570 $2,560 ----- comparte con CL.DU20 - ValleySW- 16 Checks $</t>
  </si>
  <si>
    <t>DEL47 -25/26-Tyler Jones -CMSW 10-2025- CC x MTP $ 2,882 ----- comparte con PZ.DU61</t>
  </si>
  <si>
    <t>14/11/2025</t>
  </si>
  <si>
    <t>TA001500000074</t>
  </si>
  <si>
    <t>Canje de Valores 001500000074 Obs: DEL-Cambio $ 1,200,000</t>
  </si>
  <si>
    <t>000000000072</t>
  </si>
  <si>
    <t>28/11/2025</t>
  </si>
  <si>
    <t>TA001500000090</t>
  </si>
  <si>
    <t>Canje de Valores 001500000090 Obs: DEL-Cambio $ 5,000,000</t>
  </si>
  <si>
    <t>000000000073</t>
  </si>
  <si>
    <t>TE001500000076</t>
  </si>
  <si>
    <t>Extracción de Caja 001500000076 Obs: Movimiento_Cajas_Bancos_Semana 25-26 al 14-11-2025</t>
  </si>
  <si>
    <t>DT-TriSW Fee CC 10-2025</t>
  </si>
  <si>
    <t>000000000077</t>
  </si>
  <si>
    <t>TE001500000077</t>
  </si>
  <si>
    <t>Extracción de Caja 001500000077 Obs: Movimiento_Cajas_Bancos_Semana 25-26 al 14-11-2025</t>
  </si>
  <si>
    <t>DT-Servicio de transfer - Swann Talbott 04 al 27/10 F.Fijo Oper. Al 14-11-2025</t>
  </si>
  <si>
    <t>000000000078</t>
  </si>
  <si>
    <t>DEL- Saldo Proyecto Salores Nexo 25/26</t>
  </si>
  <si>
    <t>TE001500000078</t>
  </si>
  <si>
    <t>Extracción de Caja 001500000078 Obs: Movimiento_Cajas_Bancos_Semana 25-26 al 14-11-2025</t>
  </si>
  <si>
    <t>DT-Lavadero blanqueria cuartos (servicio realizado el 28/10) Pagos Depsa Valores. Al 14-11-2025</t>
  </si>
  <si>
    <t>000000000079</t>
  </si>
  <si>
    <t>DT-Compra de 2 cañas (compra realizada el 5/11) Pagos Depsa Valores. Al 14-11-2025</t>
  </si>
  <si>
    <t>DT-Caja Lodge F.Fijo Oper. Al 14-11-2025</t>
  </si>
  <si>
    <t>TE001500000081</t>
  </si>
  <si>
    <t>Extracción de Caja 001500000081 Obs: Movimiento_Cajas_Bancos_Semana 25-26 al 21-11-2025</t>
  </si>
  <si>
    <t>DT- TriSW- AMEX - Oct 25- =DLOSPOTIFY         CABA                AR- spotify-09/27/2025</t>
  </si>
  <si>
    <t>000000000080</t>
  </si>
  <si>
    <t>DT- TriSW- AMEX - Oct 25- STARLINK 99999999   CABA- -10/19/2025</t>
  </si>
  <si>
    <t>21/11/2025</t>
  </si>
  <si>
    <t>TE001500000082</t>
  </si>
  <si>
    <t>Extracción de Caja 001500000082 Obs: Movimiento_Cajas_Bancos_Semana 25-26 al 21-11-2025</t>
  </si>
  <si>
    <t>DEL- Canje traida Cash</t>
  </si>
  <si>
    <t>000000000081</t>
  </si>
  <si>
    <t>DEL49- Com x Vtas ValleySW- Fly Wide LLC - (Sales Commission KT13/P24/S15/DEL49)- KT13 $ 2,217 + P24</t>
  </si>
  <si>
    <t>TE001500000083</t>
  </si>
  <si>
    <t>Extracción de Caja 001500000083 Obs: 30-09-2025  Mov Lodge</t>
  </si>
  <si>
    <t>DT - Heladeria</t>
  </si>
  <si>
    <t>000000000082</t>
  </si>
  <si>
    <t>DT - Velas</t>
  </si>
  <si>
    <t>DT - Almuerzo staff</t>
  </si>
  <si>
    <t>DT - Lámparas</t>
  </si>
  <si>
    <t>DT - Papelería</t>
  </si>
  <si>
    <t>DT - Mayorista Maypas</t>
  </si>
  <si>
    <t>DT -  Verduleria</t>
  </si>
  <si>
    <t>DT - Mayorista Rino</t>
  </si>
  <si>
    <t>30/11/2025</t>
  </si>
  <si>
    <t>TE001500000085</t>
  </si>
  <si>
    <t>Extracción de Caja 001500000085 Obs: 30-11-2025  Mov Lodge</t>
  </si>
  <si>
    <t>000000000083</t>
  </si>
  <si>
    <t>DT - Repasadores</t>
  </si>
  <si>
    <t>DT - Por ayuda de carga y descarga de compras</t>
  </si>
  <si>
    <t>DT - Pago a personal de Baie por ayuda y lavado de coolers</t>
  </si>
  <si>
    <t>DT - Auto de Noel reposición de batería</t>
  </si>
  <si>
    <t>DT - Cabify  día del daytrip que hizo Noel</t>
  </si>
  <si>
    <t>DT - Por daytrip que hizo Noel</t>
  </si>
  <si>
    <t>DT - Comidas para daytrip que hizo Noel</t>
  </si>
  <si>
    <t>DT - Compuerta para laguna</t>
  </si>
  <si>
    <t>DT - 3 señuelos</t>
  </si>
  <si>
    <t>DT - 2 flores de ducha hab de huéspedes</t>
  </si>
  <si>
    <t>DT - Mueble mesa de apoyo hab 3 y 4  + 1 canasto mimbre</t>
  </si>
  <si>
    <t>DT - Repuesto lancha del Lodge</t>
  </si>
  <si>
    <t>DT - Bolsas</t>
  </si>
  <si>
    <t>DT -  Focos de luz</t>
  </si>
  <si>
    <t>DT - Mesa ratona para muelle de atrás</t>
  </si>
  <si>
    <t>DT - Carrefour artículos de limpieza</t>
  </si>
  <si>
    <t>DT - Artículos para la cocina, bolsas ziploc organizadoras, papel de aluminio, repasadores</t>
  </si>
  <si>
    <t>DT - Alimento para mascotas</t>
  </si>
  <si>
    <t>DT - Auto de apoyo día de compras</t>
  </si>
  <si>
    <t>DT - Visto con Hernán y Rodrigo vía Mails iniciados el 13/11. Esto es un pago ya imputado desde ofic</t>
  </si>
  <si>
    <t>DT - Nafta ancha lodge</t>
  </si>
  <si>
    <t>DT - Adicional a rolando por logística blanqueria y residuos</t>
  </si>
  <si>
    <t>DT - Ciudad eléctric</t>
  </si>
  <si>
    <t>DT - Nafta generador</t>
  </si>
  <si>
    <t>DT - Bio viveros</t>
  </si>
  <si>
    <t>DT - Lavandería blanqueria</t>
  </si>
  <si>
    <t>DT - Panaderia</t>
  </si>
  <si>
    <t>DT - Garrafas x 2 recarga</t>
  </si>
  <si>
    <t>DT - Pintureria</t>
  </si>
  <si>
    <t>DT - Bombones apertura</t>
  </si>
  <si>
    <t>DT - Artículos de colombraro, contenedores de plástico grandes para blanqueria, broches.</t>
  </si>
  <si>
    <t>DT - Noel paga al padre de rolando por agrandar un sector de la laguna</t>
  </si>
  <si>
    <t>DT - Tareas de poda Alexis casero y su primo</t>
  </si>
  <si>
    <t>DT - Noel paga adicional a Alexis por 7 días extras</t>
  </si>
  <si>
    <t>DT - Gasista, Reparecion/afinacion de cocina nueva</t>
  </si>
  <si>
    <t>DT - Electricista Juan, teclas de luz nuevas en galpón, luces, arreglos de tomas, instalación de tom</t>
  </si>
  <si>
    <t>DT - Por ayuda de personal de ypf carga y descarga de bidones de nafta, hielo y garrafas</t>
  </si>
  <si>
    <t>TE001500000086</t>
  </si>
  <si>
    <t>Extracción de Caja 001500000086 Obs: 30-11-2025  Mov Lodge</t>
  </si>
  <si>
    <t xml:space="preserve">DT - Este movimiento es por el pago ya imputado a gasto desde oficina a Rolando constructor. Recibí </t>
  </si>
  <si>
    <t>000000000084</t>
  </si>
  <si>
    <t>TE001500000088</t>
  </si>
  <si>
    <t>Extracción de Caja 001500000088 Obs: Movimiento_Cajas_Bancos_Semana 25-26 al 28-11-2025</t>
  </si>
  <si>
    <t>DT-Compra reel de spinning+ caña de spinning, cables de acero,multifilamento, señuelos, esmerillones</t>
  </si>
  <si>
    <t>000000000085</t>
  </si>
  <si>
    <t>DT-7 cajas vino - Bodega Lagarde F.Fijo Oper. Al 28-11-2025</t>
  </si>
  <si>
    <t>DT-Servicio de Mensajeria Mensual - Octubre 2025 F.Fijo Oper. Al 28-11-2025</t>
  </si>
  <si>
    <t>DT-Caja Lodge F.Fijo Oper. Al 28-11-2025</t>
  </si>
  <si>
    <t>TE001500000089</t>
  </si>
  <si>
    <t>Extracción de Caja 001500000089 Obs: Movimiento_Cajas_Bancos_Semana 25-26 al 28-11-2025</t>
  </si>
  <si>
    <t>DT-Honorarios Pablo guia 2 Full Day, dias 10/12 y 11/12 F.Fijo Oper. Al 28-11-2025</t>
  </si>
  <si>
    <t>000000000086</t>
  </si>
  <si>
    <t>DEL- Reintegro Sueldos TA 11-2025 - Managers</t>
  </si>
  <si>
    <t>DT-Honorarios Andés cocinero (Periodo del 26/11 al 13/12) F.Fijo Oper. Al 28-11-2025</t>
  </si>
  <si>
    <t>DEL- Reintegro Cargas Sociales TA 11-2025 - Managers</t>
  </si>
  <si>
    <t>DT-3 Transfers Rolando, dias 26/11, 11/12 y 13/12 F.Fijo Oper. Al 28-11-2025</t>
  </si>
  <si>
    <t>DEL- Reintegro Cargas Sociales TA 11-2025 - Servicios</t>
  </si>
  <si>
    <t>DT-Honorarios Karina mucama/camarera (Periodo del 26/11 al 13/12) F.Fijo Oper. Al 28-11-2025</t>
  </si>
  <si>
    <t>DT-Honorarios Alejandro manager ( (Periodo del 26/11 al 13/12) F.Fijo Oper. Al 28-11-2025</t>
  </si>
  <si>
    <t>DT- Maintenance Fees CC Monthly Fee 11/2025</t>
  </si>
  <si>
    <t>DT-Matias Guia 2 Full Day y 3 Half Day, dias 02/12, 6/12, 10/12,12/12 y 13/12 F.Fijo Oper. Al 28-11-</t>
  </si>
  <si>
    <t>DEL- Reintegro Sueldos TA 11-2025 - Servicios</t>
  </si>
  <si>
    <t>DT- Fee Noel 11-2025</t>
  </si>
  <si>
    <t>TE001500000097</t>
  </si>
  <si>
    <t>Extracción de Caja 001500000097 Obs: Movimiento_Cajas_Bancos_Semana 25-26 al 05-12-2025</t>
  </si>
  <si>
    <t>DT-Certificacion y legalización venta Lancha Pira Ski F.Fijo Oper. Al 05-12-2025</t>
  </si>
  <si>
    <t>000000000089</t>
  </si>
  <si>
    <t>DT-Guarderia La Baie - cuota Noviembre Pagos Depsa Valores. Al 05-12-2025</t>
  </si>
  <si>
    <t>DT-Alexis Carra - Honorarios mantenimiento Noviembre Pagos Depsa Valores. Al 05-12-2025</t>
  </si>
  <si>
    <t>DT-Anticipo  50 % - Latin Gráfica - impresión brochures x 20 unidades F.Fijo Oper. Al 05-12-2025</t>
  </si>
  <si>
    <t>16/11/2025</t>
  </si>
  <si>
    <t>TI001500000072</t>
  </si>
  <si>
    <t>Ingreso a Caja 001500000072 Obs: 16-11-2025 INCOME OF MONEY</t>
  </si>
  <si>
    <t>000000000090</t>
  </si>
  <si>
    <t>TI001500000073</t>
  </si>
  <si>
    <t>Ingreso a Caja 001500000073 Obs: 16-11-2025  Mov Lodge</t>
  </si>
  <si>
    <t>000000000091</t>
  </si>
  <si>
    <t>TI001500000075</t>
  </si>
  <si>
    <t>Ingreso a Caja 001500000075 Obs: Movimiento_Cajas_Bancos_Semana 25-26 al 14-11-2025</t>
  </si>
  <si>
    <t xml:space="preserve">DEL27- 25/26- Nadia anf Michael Holzhey (Gary Lee) - Check #995173 $14,800 ----- comparte con KT4 - </t>
  </si>
  <si>
    <t>000000000092</t>
  </si>
  <si>
    <t>DEL55- 25/26- ROBERT EAMES- Check #875 $8,630 ----- comparte con DEL16 y CL.DU20 - ValleySW- 32 Chec</t>
  </si>
  <si>
    <t>DEL22- 25/26- MATTHEW D DIANDRETH - Check #200 $1,550 ------ comparte con CA.DU22 - ValleySW- 32 Che</t>
  </si>
  <si>
    <t>"DEL16- 25/26- ROBERT EAMES</t>
  </si>
  <si>
    <t>DEL54- 25/26- Ben Archer State Farm - Check #1533 $12,660 ---- comparte con TUC40 - ValleySW- 32 Che</t>
  </si>
  <si>
    <t xml:space="preserve">DEL22- 25/26-  CURT CRAMER - Check #4711 $1,550 ------ comparte con CA.DU22 - ValleySW- 10 Checks $ </t>
  </si>
  <si>
    <t>TI001500000079</t>
  </si>
  <si>
    <t>Ingreso a Caja 001500000079 Obs: Movimiento_Cajas_Bancos_Semana 25-26 al 21-11-2025</t>
  </si>
  <si>
    <t>DT- TriSW- AMEX - Oct 25- REFUND USD TOURIST BCIUDAD AUTONOMA DE BAR- -09/27/2025</t>
  </si>
  <si>
    <t>000000000093</t>
  </si>
  <si>
    <t>TI001500000080</t>
  </si>
  <si>
    <t>Ingreso a Caja 001500000080 Obs: Movimiento_Cajas_Bancos_Semana 25-26 al 21-11-2025</t>
  </si>
  <si>
    <t>DEL13- 25/26- Fly Water Travel - comparte con KT10 - ValleySW- ACH CREDIT CCD CMPY ID: 1611889961 FW</t>
  </si>
  <si>
    <t>000000000094</t>
  </si>
  <si>
    <t>DEL35- 25/26- The Caddis Fly Angling Shop (Bill Cassazza) - Check #0721 $15,281.25 ---- comparte con</t>
  </si>
  <si>
    <t xml:space="preserve">DEL21- 25/26- Warren Chetosky - Comparte con LD.DU23 - ValleySW- WIRE IN GFT 202511140021359 WARREN </t>
  </si>
  <si>
    <t>DEL22- 25/26- Curt Cramer - comparte con CA.DU22 $1550 total - ValleySW- WIRE IN GFT 202511140012666</t>
  </si>
  <si>
    <t>DEL22- 25/26- Curt Cramer - comparte con CA.DU22 $1550 total - ValleySW- WIRE IN GFT 202511130013295</t>
  </si>
  <si>
    <t>TI001500000084</t>
  </si>
  <si>
    <t>Ingreso a Caja 001500000084 Obs: 30-11-2025 INCOME OF MONEY</t>
  </si>
  <si>
    <t>DT - Ingreso pedido de operaciones entregados a Noel el 26/11/2025</t>
  </si>
  <si>
    <t>000000000095</t>
  </si>
  <si>
    <t>TI001500000087</t>
  </si>
  <si>
    <t>Ingreso a Caja 001500000087 Obs: Movimiento_Cajas_Bancos_Semana 25-26 al 28-11-2025</t>
  </si>
  <si>
    <t>DEL- Cobro Vta Lancha Pira Ski 4k Cash FFoper</t>
  </si>
  <si>
    <t>000000000096</t>
  </si>
  <si>
    <t xml:space="preserve">DEL32- 25/26- Brian Eckel - comparte con RST4 - ValleySW- WIRE IN GFT 202511130017647 BRIAN C ECKEL </t>
  </si>
  <si>
    <t>DEL44- 25/26- ValleySW- WIRE IN GFT 202511100028864 LIVE LARGE NOW LLC  FISHING ADVENTURES  THEY ARE</t>
  </si>
  <si>
    <t>DEL19- 25/26- Frontiers (KT $ 38.500,00  + NT $ 15.600,00 + LM $ 12.000,00 + JC $ 5.400,00 + FFDOS $</t>
  </si>
  <si>
    <t>DEL62- 25/26- ARTHUR JOHN STEWART - Pasan $950 de VM14</t>
  </si>
  <si>
    <t>TI001500000096</t>
  </si>
  <si>
    <t>Ingreso a Caja 001500000096 Obs: Movimiento_Cajas_Bancos_Semana 25-26 al 05-12-2025</t>
  </si>
  <si>
    <t>DEL63- 25/26- Alan Boyce - Check #10292 $12,680 --  comparte con CAR28 - ValleySW- 30 Checks $ 156.7</t>
  </si>
  <si>
    <t>000000000097</t>
  </si>
  <si>
    <t>DEL25- 25/26- Kevin Rowland - Check #154 $1,542.50 - ValleySW- 30 Checks $ 156.710,50 -26-11-2025</t>
  </si>
  <si>
    <t>DEL12- 25/26- RICHARD A BARTLETT - Check #1000031 $10,250 ----comparte con PZ1, S9 y DEL12 - ValleyS</t>
  </si>
  <si>
    <t>DEL25- 25/26- Robert J Pease - Check #7266 $1,505 - ValleySW- 30 Checks $ 156.710,50 -26-11-2025</t>
  </si>
  <si>
    <t>Codigo Cuenta</t>
  </si>
  <si>
    <t>Cuenta Contable</t>
  </si>
  <si>
    <t>Saldo - $</t>
  </si>
  <si>
    <t>Saldo - u$s</t>
  </si>
  <si>
    <t>Tipo cambio</t>
  </si>
  <si>
    <t>Modulo</t>
  </si>
  <si>
    <t>Cod Centro Costo</t>
  </si>
  <si>
    <t>gestionid</t>
  </si>
  <si>
    <t>Detalle</t>
  </si>
  <si>
    <t>Observación Adicional</t>
  </si>
  <si>
    <t>Número</t>
  </si>
  <si>
    <t>Ejercicio</t>
  </si>
  <si>
    <t>12021001Maquinarias y Herramientas</t>
  </si>
  <si>
    <t>DEL5257</t>
  </si>
  <si>
    <t>OK EN $ PERO EN USD HAY DIF POR TC DIST A DIST FECHA</t>
  </si>
  <si>
    <t>OK EN USD PERO EN $ HAY DIF POR TC DIST A DIST FECHA</t>
  </si>
  <si>
    <t>DIF INGRESOS EN APP VS ENVIOS DE OFICINA</t>
  </si>
  <si>
    <t>$</t>
  </si>
  <si>
    <t>USD</t>
  </si>
  <si>
    <t>DEL12021001</t>
  </si>
  <si>
    <t>NO VAN EN BUDGET SEGÚN DIEGO</t>
  </si>
  <si>
    <t>Tom Jay</t>
  </si>
  <si>
    <t>Tom Holmes</t>
  </si>
  <si>
    <t>Casch Doyle</t>
  </si>
  <si>
    <t>John Lentz</t>
  </si>
  <si>
    <t>Jamie Pafford-Gresham</t>
  </si>
  <si>
    <t>Melissa Boersema</t>
  </si>
  <si>
    <t>Kelley Butcher</t>
  </si>
  <si>
    <t>David Lee</t>
  </si>
  <si>
    <t>DEL60</t>
  </si>
  <si>
    <t>Johnathen Mckinney</t>
  </si>
  <si>
    <t>DEL20</t>
  </si>
  <si>
    <t>Daniel Irmscher</t>
  </si>
  <si>
    <t>DEL50</t>
  </si>
  <si>
    <t>Catherine Valenzuela</t>
  </si>
  <si>
    <t>DEL42</t>
  </si>
  <si>
    <t>Lance Sparks</t>
  </si>
  <si>
    <t>DEL12</t>
  </si>
  <si>
    <t>Alan Jones</t>
  </si>
  <si>
    <t>DEL47</t>
  </si>
  <si>
    <t>Douglas G Larsen</t>
  </si>
  <si>
    <t>DEL58</t>
  </si>
  <si>
    <t>Elizabeth Jackson</t>
  </si>
  <si>
    <t>DEL6</t>
  </si>
  <si>
    <t>Mark Knipfer</t>
  </si>
  <si>
    <t>DEL38</t>
  </si>
  <si>
    <t>SEPT - NOV</t>
  </si>
  <si>
    <t>DIC</t>
  </si>
  <si>
    <t>31/12/2025</t>
  </si>
  <si>
    <t>TI001500000127</t>
  </si>
  <si>
    <t>Ingreso a Caja 001500000127 Obs: Movimiento_Cajas_Bancos_Semana 25-26 al 09-01-2026</t>
  </si>
  <si>
    <t>DEL18 -25/26-Gary Bennet -CMSW 12-2025- CC x MTP $1,605</t>
  </si>
  <si>
    <t>000000000141</t>
  </si>
  <si>
    <t>TE001500000121</t>
  </si>
  <si>
    <t>Extracción de Caja 001500000121 Obs: Movimiento_Cajas_Bancos_Semana 25-26 al 09-01-2026</t>
  </si>
  <si>
    <t>DEL18 -25/26-Gary Bennet -CMSW 12-2025- CC x MTP $1,605-CC</t>
  </si>
  <si>
    <t>000000000123</t>
  </si>
  <si>
    <t>TI001500000139</t>
  </si>
  <si>
    <t>Ingreso a Caja 001500000139 Obs: Movimiento_Cajas_Bancos_Semana 25-26 al 02-01-2026</t>
  </si>
  <si>
    <t>DEL19- 25/26- Frontiers (KT $ 23.100,00  + FFDOS PA $ 75.000,00)  Total $ 98.100,00</t>
  </si>
  <si>
    <t>000000000146</t>
  </si>
  <si>
    <t>DEL2- 26/27- Mr Goble - Check #6878 $6,090 ---- comparte con S6/PZ4/P8 - ValleySW-  19 Checks $ 162.</t>
  </si>
  <si>
    <t>TI001500000126</t>
  </si>
  <si>
    <t>Ingreso a Caja 001500000126 Obs: Movimiento_Cajas_Bancos_Semana 25-26 al 09-01-2026</t>
  </si>
  <si>
    <t>DEL20-John Ecker-Extras 25-26-ID-40087 -EXtras 25/26- -CMSW 12-2025-</t>
  </si>
  <si>
    <t>000000000140</t>
  </si>
  <si>
    <t>DEL20-John Ecker-Extras 25-26-ID-40087 -EXtras 25/26- -CMSW 12-2025- -CC</t>
  </si>
  <si>
    <t>26/12/2025</t>
  </si>
  <si>
    <t>TI001500000116</t>
  </si>
  <si>
    <t>Ingreso a Caja 001500000116 Obs: Movimiento_Cajas_Bancos_Semana 25-26 al 26-12-2025</t>
  </si>
  <si>
    <t xml:space="preserve">DEL32- 25/26- James Trask - comparte con RST4 25-26 - ValleySW- WIRE IN GFT 202512160009697 JAMES H </t>
  </si>
  <si>
    <t>000000000136</t>
  </si>
  <si>
    <t>DEL34 -25/26-Arden John Curry II -CMSW 12-2025- CC x MTP $8,150 --- comparte con LC2</t>
  </si>
  <si>
    <t>DEL34 -25/26-Arden John Curry II -CMSW 12-2025- CC x MTP $8,150 --- comparte con LC2-CC</t>
  </si>
  <si>
    <t>DEL36 -25/26-Dan Repasky -CMSW 12-2025- CC x MTP $698.50</t>
  </si>
  <si>
    <t>DEL36 -25/26-Dan Repasky -CMSW 12-2025- CC x MTP $698.50-CC</t>
  </si>
  <si>
    <t>DEL41- 25/26- Dr. Andrew M. Crabill - Check #2467 $5,100 --- comparte con CA.DU38 - ValleySW-  19 Ch</t>
  </si>
  <si>
    <t>DEL42-Catherine Valenzuela-Extras 25-26-ID-35432 -EXtras 25/26- -CMSW 12-2025-</t>
  </si>
  <si>
    <t>DEL42-Catherine Valenzuela-Extras 25-26-ID-35432 -EXtras 25/26- -CMSW 12-2025- -CC</t>
  </si>
  <si>
    <t>DEL50-Michael Byers-Extras 25-26-ID-41549 -EXtras 25/26- -CMSW 12-2025-</t>
  </si>
  <si>
    <t>DEL50-Michael Byers-Extras 25-26-ID-41549 -EXtras 25/26- -CMSW 12-2025- -CC</t>
  </si>
  <si>
    <t>DEL6 - Sam Jackson Extras 25-26 - ID 4116 -EXtras 25/26- -CMSW 12-2025-</t>
  </si>
  <si>
    <t>TI001500000134</t>
  </si>
  <si>
    <t>Ingreso a Caja 001500000134 Obs: DEL6 - Sam Jackson Extras 25-26 - ID 4116 -EXtras 25/26- -CMSW 12-2025-</t>
  </si>
  <si>
    <t>000000000144</t>
  </si>
  <si>
    <t>DEL6 - Sam Jackson Extras 25-26 - ID 4116 -EXtras 25/26- -CMSW 12-2025- -CC</t>
  </si>
  <si>
    <t>19/12/2025</t>
  </si>
  <si>
    <t>TE001500000113</t>
  </si>
  <si>
    <t>Extracción de Caja 001500000113 Obs: Movimiento_Cajas_Bancos_Semana 25-26 al 19-12-2025</t>
  </si>
  <si>
    <t>DEL63 25-26- Tony Com x Vtas ValleySW- TONY CAGGIANO LLC - (Sales Commission and Marketing November)</t>
  </si>
  <si>
    <t>000000000118</t>
  </si>
  <si>
    <t>12/12/2025</t>
  </si>
  <si>
    <t>TI001500000108</t>
  </si>
  <si>
    <t>Ingreso a Caja 001500000108 Obs: Movimiento_Cajas_Bancos_Semana 25-26 al 12-12-2025</t>
  </si>
  <si>
    <t xml:space="preserve">DEL64- 25/26- Melvin Morgan - Comparte con CL.DU48 - ValleySW- WIRE IN GFT 202512020025823 COMPLETE </t>
  </si>
  <si>
    <t>000000000134</t>
  </si>
  <si>
    <t>DEL65 -25/26-RSC Industrial Services (PTY) LTD Louis Sacks -CMSW 12-2025- CC x MTP $2,910</t>
  </si>
  <si>
    <t>DEL65 -25/26-RSC Industrial Services (PTY) LTD Louis Sacks -CMSW 12-2025- CC x MTP $2,910-CC</t>
  </si>
  <si>
    <t>TE001500000120</t>
  </si>
  <si>
    <t>Extracción de Caja 001500000120 Obs: 31-12-2025  Mov Lodge</t>
  </si>
  <si>
    <t>DT -  Carnicería</t>
  </si>
  <si>
    <t>000000000122</t>
  </si>
  <si>
    <t>DT -  Noel paga por ayuda en ypf rio lujan</t>
  </si>
  <si>
    <t>14/12/2025</t>
  </si>
  <si>
    <t>TE001500000101</t>
  </si>
  <si>
    <t>Extracción de Caja 001500000101 Obs: 14-12-2025  Mov Lodge</t>
  </si>
  <si>
    <t>DT - 2 mesas de apoyo para los baños de habitaciones huéspedes</t>
  </si>
  <si>
    <t>000000000112</t>
  </si>
  <si>
    <t>07/12/2025</t>
  </si>
  <si>
    <t>TE001500000091</t>
  </si>
  <si>
    <t>Extracción de Caja 001500000091 Obs: 07-12-2025  Mov Lodge</t>
  </si>
  <si>
    <t>000000000087</t>
  </si>
  <si>
    <t>DT - Canastos de mimbre para mesas de apoyo en baños</t>
  </si>
  <si>
    <t>DT - Cerradura para puerta de cocina</t>
  </si>
  <si>
    <t>DT - Ciudad electric bombitas luz</t>
  </si>
  <si>
    <t>DT - Ciudad electric insumos para electricista Juan</t>
  </si>
  <si>
    <t>DT - Comida Noel</t>
  </si>
  <si>
    <t>DT - Compra coto Noel</t>
  </si>
  <si>
    <t>DT - Compra de bidones de agua</t>
  </si>
  <si>
    <t>DT - Compra de bolsas de rolito</t>
  </si>
  <si>
    <t>DT - Compra Noel artículos de pesca, señuelos, anzuelos, boyas, cables de acero</t>
  </si>
  <si>
    <t>DT - Compras almacén</t>
  </si>
  <si>
    <t>DT - Compras almacén fondeadero Noel</t>
  </si>
  <si>
    <t>DT - Compras súper chino Noel</t>
  </si>
  <si>
    <t>DT - Compras supermercado coto</t>
  </si>
  <si>
    <t>DT - Helado</t>
  </si>
  <si>
    <t>DT - Indumentaria de trabajo para Alexis</t>
  </si>
  <si>
    <t>TI001500000098</t>
  </si>
  <si>
    <t>Ingreso a Caja 001500000098 Obs: 14-12-2025 INCOME OF MONEY</t>
  </si>
  <si>
    <t>000000000131</t>
  </si>
  <si>
    <t>TI001500000117</t>
  </si>
  <si>
    <t>Ingreso a Caja 001500000117 Obs: 31-12-2025 INCOME OF MONEY</t>
  </si>
  <si>
    <t>000000000137</t>
  </si>
  <si>
    <t>TI001500000118</t>
  </si>
  <si>
    <t>Ingreso a Caja 001500000118 Obs: 31-12-2025 INCOME OF MONEY</t>
  </si>
  <si>
    <t>000000000138</t>
  </si>
  <si>
    <t>TI001500000099</t>
  </si>
  <si>
    <t>Ingreso a Caja 001500000099 Obs: 14-12-2025 INCOME OF MONEY</t>
  </si>
  <si>
    <t>DT - Ingreso pedido de operaciones, la suma de los sobres que completan el pedido del 21/11. Tema vi</t>
  </si>
  <si>
    <t>000000000132</t>
  </si>
  <si>
    <t>DT - Lavadero las marias</t>
  </si>
  <si>
    <t>DT - Mantenimiento auto Noel aire acondicionado</t>
  </si>
  <si>
    <t>DT - Nafta generadores</t>
  </si>
  <si>
    <t>DT - Nafta generadores lodge</t>
  </si>
  <si>
    <t>DT - Noel compra mesa de apoyo para living principal huéspedes</t>
  </si>
  <si>
    <t>TE001500000100</t>
  </si>
  <si>
    <t>Extracción de Caja 001500000100 Obs: 14-12-2025  Mov Lodge</t>
  </si>
  <si>
    <t>DT - Noel compra mueble mesa de apoyo para living de huéspedes</t>
  </si>
  <si>
    <t>000000000111</t>
  </si>
  <si>
    <t>DT - Noel le paga a Alexis por 1 Transfer realizado</t>
  </si>
  <si>
    <t>DT - Noel paga a Alexis casero por remolcar lancha del Lodge hasta la guardería náutica</t>
  </si>
  <si>
    <t>TE001500000092</t>
  </si>
  <si>
    <t>Extracción de Caja 001500000092 Obs: 07-12-2025  Mov Lodge</t>
  </si>
  <si>
    <t>DT - Noel paga a Gabriel mecánico por reemplazo de batería de lancha Lodge</t>
  </si>
  <si>
    <t>000000000088</t>
  </si>
  <si>
    <t>DT - Noel paga a mecánico Gabriel por reemplazo de batería de lancha</t>
  </si>
  <si>
    <t>DT - Noel paga en Baie por ayuda de carga y descarga</t>
  </si>
  <si>
    <t>DT - Noel paga por ayuda de carga y descarga en guardería</t>
  </si>
  <si>
    <t>DT - Noel pago Remis para hacer compras</t>
  </si>
  <si>
    <t>DT - Pago a Ecosec por servicio de lavado de blanqueria</t>
  </si>
  <si>
    <t>DT - Pago a gasista</t>
  </si>
  <si>
    <t>TE001500000119</t>
  </si>
  <si>
    <t>Extracción de Caja 001500000119 Obs: 31-12-2025  Mov Lodge</t>
  </si>
  <si>
    <t>DT - Pago a Karina por 6 full day (le incluyo 10 usd que le debia de la vez anterior)</t>
  </si>
  <si>
    <t>000000000121</t>
  </si>
  <si>
    <t>DT - Pago a Lucia por ayuda en cocina</t>
  </si>
  <si>
    <t>DT - Pago a rolando por llevarse basura del Lodge</t>
  </si>
  <si>
    <t>DT - Pago adicional a Alexis por hacer compras</t>
  </si>
  <si>
    <t>DT - Pago camioneta de Remis Madero para dia de compras</t>
  </si>
  <si>
    <t>DT - Pago complementario lucia ayuda cocina</t>
  </si>
  <si>
    <t>DT - Pago complemento a Matías guía en pesos por falta de cambio en usd</t>
  </si>
  <si>
    <t>DT - Pago salario Andrés del 26/11 al 13/12</t>
  </si>
  <si>
    <t>DT - Pago salario Andrés por 6 full day</t>
  </si>
  <si>
    <t>DT - Pago salario Karina del 26/11 al 13/12</t>
  </si>
  <si>
    <t>DT - Pago salario Matías guía 4fd y 2 HD</t>
  </si>
  <si>
    <t>DT - Pago salario mío por 24 full day, incluyendo una guiada realizada. (Se me deben 237 usd de esto</t>
  </si>
  <si>
    <t>DT - Panadería</t>
  </si>
  <si>
    <t>DT - Pescadería avenida cazón, 2kg de abadejo</t>
  </si>
  <si>
    <t>DT - Pico manguera para riego</t>
  </si>
  <si>
    <t>DT - Pintura para mesas nuevas de apoyo en hab de huéspedes</t>
  </si>
  <si>
    <t>DT - Recarga x 4 garrafas</t>
  </si>
  <si>
    <t>DT - Reflectores que iluminan laguna nueva</t>
  </si>
  <si>
    <t>DT - Regadera</t>
  </si>
  <si>
    <t>DT - Reposición de artículos de pesca, multifilamento</t>
  </si>
  <si>
    <t>DT - Repuesto calefon cocina</t>
  </si>
  <si>
    <t>DT - Repuesto calefon cocina casa Terwin</t>
  </si>
  <si>
    <t>DT - Repuestos calefon cocina</t>
  </si>
  <si>
    <t>DT - Rolando logística residuos y blanqueria</t>
  </si>
  <si>
    <t>DT - Servicio de lavandería de blanqueria</t>
  </si>
  <si>
    <t>DT - Servicio de logística blanqueria Lodge</t>
  </si>
  <si>
    <t>DT - Supermercado mitre</t>
  </si>
  <si>
    <t>DT - Vivero plantas</t>
  </si>
  <si>
    <t>TE001500000111</t>
  </si>
  <si>
    <t>Extracción de Caja 001500000111 Obs: Movimiento_Cajas_Bancos_Semana 25-26 al 19-12-2025</t>
  </si>
  <si>
    <t>DT- F.Fijo Oper. Al 19-12-2025</t>
  </si>
  <si>
    <t>000000000116</t>
  </si>
  <si>
    <t>TE001500000135</t>
  </si>
  <si>
    <t>Extracción de Caja 001500000135 Obs: Movimiento_Cajas_Bancos_Semana 25-26 al 02-01-2026</t>
  </si>
  <si>
    <t>DT- Fee Noel 12-2025</t>
  </si>
  <si>
    <t>000000000128</t>
  </si>
  <si>
    <t>TE001500000114</t>
  </si>
  <si>
    <t>Extracción de Caja 001500000114 Obs: Movimiento_Cajas_Bancos_Semana 25-26 al 26-12-2025</t>
  </si>
  <si>
    <t>DT- Maintenance Fees CC Monthly Fee 12/2025</t>
  </si>
  <si>
    <t>000000000119</t>
  </si>
  <si>
    <t>DT-Alexis Carra - SAC DIC 25 - mantenimiento Pagos Frank Garrahan-. Al 19-12-2025</t>
  </si>
  <si>
    <t>TE001500000106</t>
  </si>
  <si>
    <t>Extracción de Caja 001500000106 Obs: Movimiento_Cajas_Bancos_Semana 25-26 al 12-12-2025</t>
  </si>
  <si>
    <t>DT-Caja lodge F.Fijo Oper. Al 12-12-2025</t>
  </si>
  <si>
    <t>000000000115</t>
  </si>
  <si>
    <t>TE001500000115</t>
  </si>
  <si>
    <t>Extracción de Caja 001500000115 Obs: Movimiento_Cajas_Bancos_Semana 25-26 al 26-12-2025</t>
  </si>
  <si>
    <t>DT-Compra 1 par de zuecos gastronomicos - Andres F.Fijo Oper. Al 26-12-2025</t>
  </si>
  <si>
    <t>000000000120</t>
  </si>
  <si>
    <t>TE001500000104</t>
  </si>
  <si>
    <t>Extracción de Caja 001500000104 Obs: Movimiento_Cajas_Bancos_Semana 25-26 al 12-12-2025</t>
  </si>
  <si>
    <t>DT-Compra carniceria - mes diciembre Pagos Depsa Valores. Al 12-12-2025</t>
  </si>
  <si>
    <t>000000000113</t>
  </si>
  <si>
    <t>DT-Compra verduleria - mes diciembre Pagos Depsa Valores. Al 12-12-2025</t>
  </si>
  <si>
    <t>DT-Flete Pira Jagua (itati - Bella vista - Bs As) 930km Pagos Frank Garrahan-. Al 19-12-2025</t>
  </si>
  <si>
    <t>DT-Mano de obra reemplazo de manguera de nafta de lancha del lodge Pagos Depsa Valores. Al 12-12-202</t>
  </si>
  <si>
    <t>DT-Reembolso Viaticos Luis Chua - supervisión Delta  26/11 al 5/12 F.Fijo Oper. Al 26-12-2025</t>
  </si>
  <si>
    <t>TE001500000137</t>
  </si>
  <si>
    <t>Extracción de Caja 001500000137 Obs: Movimiento_Cajas_Bancos_Semana 25-26 al 02-01-2026</t>
  </si>
  <si>
    <t>DT-Saldo pendiente por aumento de cuota Diciembre - guarderia La Baie F.Fijo Oper. Al 02-02-2026</t>
  </si>
  <si>
    <t>000000000130</t>
  </si>
  <si>
    <t>DT-Servicio de transfer 9 al 29/11 - Swann Talbott F.Fijo Oper. Al 12-12-2025</t>
  </si>
  <si>
    <t>DT-Supervisión Luis Chua - 26/11 al 5/12 F.Fijo Oper. Al 02-02-2026</t>
  </si>
  <si>
    <t>DT-Supervisión Luis Chua 26/11 al 5/12 - 10 dias a 80 usd F.Fijo Oper. Al 26-12-2025</t>
  </si>
  <si>
    <t>DT-TriSW Fee CC 12-2025</t>
  </si>
  <si>
    <t>11020101</t>
  </si>
  <si>
    <t>Deudores por ventas</t>
  </si>
  <si>
    <t>VENTAS</t>
  </si>
  <si>
    <t>VF000000002775B</t>
  </si>
  <si>
    <t>Asiento de VENTAS (01/09/2025 - 31/08/2026)</t>
  </si>
  <si>
    <t>F B 000000002775</t>
  </si>
  <si>
    <t>Ref. nota de Venta: DEL20
Obs.:07-12-2025_CLIENTES</t>
  </si>
  <si>
    <t>000000000100</t>
  </si>
  <si>
    <t>VF000000002776B</t>
  </si>
  <si>
    <t>F B 000000002776</t>
  </si>
  <si>
    <t>Ref. nota de Venta: DEL42
Obs.:07-12-2025_CLIENTES</t>
  </si>
  <si>
    <t>000000000101</t>
  </si>
  <si>
    <t>4117</t>
  </si>
  <si>
    <t>Ingreso Traslado Aero - Lodge</t>
  </si>
  <si>
    <t>VF000000002779B</t>
  </si>
  <si>
    <t>F B 000000002779</t>
  </si>
  <si>
    <t>Ref. nota de Venta: DEL42
Obs.:14-12-2025_CLIENTES</t>
  </si>
  <si>
    <t>000000000104</t>
  </si>
  <si>
    <t>VF000000002777B</t>
  </si>
  <si>
    <t>F B 000000002777</t>
  </si>
  <si>
    <t>Ref. nota de Venta: DEL50
Obs.:07-12-2025_CLIENTES</t>
  </si>
  <si>
    <t>000000000102</t>
  </si>
  <si>
    <t>VF000000002778B</t>
  </si>
  <si>
    <t>F B 000000002778</t>
  </si>
  <si>
    <t>000000000103</t>
  </si>
  <si>
    <t>VF000000003173B</t>
  </si>
  <si>
    <t>F B 000000003173</t>
  </si>
  <si>
    <t>Ref. nota de Venta: DEL6
Obs.:31-12-2025_CLIENTES</t>
  </si>
  <si>
    <t>000000000147</t>
  </si>
  <si>
    <t>06/12/2025</t>
  </si>
  <si>
    <t>TA001500000093</t>
  </si>
  <si>
    <t>Canje de Valores 001500000093 Obs: DT - Noel cambia usd 200 a 1410 en tigre exchange</t>
  </si>
  <si>
    <t>000000000074</t>
  </si>
  <si>
    <t>TA001500000094</t>
  </si>
  <si>
    <t>Canje de Valores 001500000094 Obs: DT - Noel cambia usd 100 a 1400 en tigre exchange</t>
  </si>
  <si>
    <t>000000000075</t>
  </si>
  <si>
    <t>COBRANZAS</t>
  </si>
  <si>
    <t>VR000000002780</t>
  </si>
  <si>
    <t>Asiento de COBRANZAS (01/09/2025 - 31/08/2026)</t>
  </si>
  <si>
    <t>Recibo: 000000002780Cliente: MT41320 Obs: 07-12-2025  COBRANZAS CLIENTES</t>
  </si>
  <si>
    <t>000000000098</t>
  </si>
  <si>
    <t>VR000000002781</t>
  </si>
  <si>
    <t>Recibo: 000000002781Cliente: MT35715 Obs: 14-12-2025  COBRANZAS CLIENTES</t>
  </si>
  <si>
    <t>000000000099</t>
  </si>
  <si>
    <t>13/12/2025</t>
  </si>
  <si>
    <t>TA001500000102</t>
  </si>
  <si>
    <t>Canje de Valores 001500000102 Obs: DT - Noel cambia usd 400 a $1350</t>
  </si>
  <si>
    <t>000000000105</t>
  </si>
  <si>
    <t>VR000000003466</t>
  </si>
  <si>
    <t>Recibo: 000000003466Cliente: MT35432 Obs: DEL42-Catherine Valenzuela-Extras 25-26-ID-35432 -EXtras 25/26- -CMSW 12-2025-</t>
  </si>
  <si>
    <t>000000000149</t>
  </si>
  <si>
    <t>VR000000003467</t>
  </si>
  <si>
    <t>Recibo: 000000003467Cliente: MT41549 Obs: DEL50-Michael Byers-Extras 25-26-ID-41549 -EXtras 25/26- -CMSW 12-2025-</t>
  </si>
  <si>
    <t>000000000150</t>
  </si>
  <si>
    <t>VR000000003468</t>
  </si>
  <si>
    <t>Recibo: 000000003468Cliente: MT41549 Obs: DEL50-Michael Byers-Extras 25-26-ID-41549 -EXtras 25/26- -CMSW 12-2025-</t>
  </si>
  <si>
    <t>000000000151</t>
  </si>
  <si>
    <t>VR000000003469</t>
  </si>
  <si>
    <t>Recibo: 000000003469Cliente: MT41116 Obs: DEL6 - Sam Jackson Extras 25-26 - ID 4116 -EXtras 25/26- -CMSW 12-2025-</t>
  </si>
  <si>
    <t>000000000152</t>
  </si>
  <si>
    <t>VR000000003507</t>
  </si>
  <si>
    <t>Recibo: 000000003507Cliente: MT40085 Obs: DEL20-John Ecker-Extras 25-26-ID-40087 -EXtras 25/26- -CMSW 12-2025-</t>
  </si>
  <si>
    <t>000000000153</t>
  </si>
  <si>
    <t>05/12/2025</t>
  </si>
  <si>
    <t>TA001500000095</t>
  </si>
  <si>
    <t>Canje de Valores 001500000095 Obs: DEL-Cambio $ 800,000</t>
  </si>
  <si>
    <t>000000000076</t>
  </si>
  <si>
    <t>TA001500000103</t>
  </si>
  <si>
    <t>Canje de Valores 001500000103 Obs: DEL-Cambio $ 2,300,000</t>
  </si>
  <si>
    <t>000000000106</t>
  </si>
  <si>
    <t>TA001500000109</t>
  </si>
  <si>
    <t>Canje de Valores 001500000109 Obs: DEL-Cambio $ 6,100,000</t>
  </si>
  <si>
    <t>000000000107</t>
  </si>
  <si>
    <t>TA001500000132</t>
  </si>
  <si>
    <t>Canje de Valores 001500000132 Obs: Reversión de documento</t>
  </si>
  <si>
    <t>000000000109</t>
  </si>
  <si>
    <t>TA001500000133</t>
  </si>
  <si>
    <t>Canje de Valores 001500000133 Obs: DEL-Cambio $ 6,100,000</t>
  </si>
  <si>
    <t>000000000110</t>
  </si>
  <si>
    <t>ENE</t>
  </si>
  <si>
    <t>02/01/2026</t>
  </si>
  <si>
    <t>TE001500000136</t>
  </si>
  <si>
    <t>Extracción de Caja 001500000136 Obs: Movimiento_Cajas_Bancos_Semana 25-26 al 02-01-2026</t>
  </si>
  <si>
    <t>"DEL39- 25/26- Douglas Ahlgrim</t>
  </si>
  <si>
    <t>000000000129</t>
  </si>
  <si>
    <t>31/01/2026</t>
  </si>
  <si>
    <t>TI001500000180</t>
  </si>
  <si>
    <t>Asiento de CAJA (01/09/2025 - 310126)</t>
  </si>
  <si>
    <t>Ingreso a Caja 001500000180 Obs: AJ RECUPERO COMISION TJ</t>
  </si>
  <si>
    <t>AJ RECUPERO COMISION TJ</t>
  </si>
  <si>
    <t>000000000185</t>
  </si>
  <si>
    <t>30/01/2026</t>
  </si>
  <si>
    <t>TE001500000161</t>
  </si>
  <si>
    <t>Extracción de Caja 001500000161 Obs: Reversión de documento</t>
  </si>
  <si>
    <t>DEL- Reintegro Cargas Sociales TA 01-2026 - Managers</t>
  </si>
  <si>
    <t>000000000168</t>
  </si>
  <si>
    <t>TE001500000165</t>
  </si>
  <si>
    <t>Extracción de Caja 001500000165 Obs: Movimiento_Cajas_Bancos_Semana 25-26 al 30-01-2026</t>
  </si>
  <si>
    <t>000000000172</t>
  </si>
  <si>
    <t>TI001500000158</t>
  </si>
  <si>
    <t>Ingreso a Caja 001500000158 Obs: Movimiento_Cajas_Bancos_Semana 25-26 al 30-01-2026</t>
  </si>
  <si>
    <t>000000000180</t>
  </si>
  <si>
    <t>DEL- Reintegro Cargas Sociales TA 01-2026 - Servicios</t>
  </si>
  <si>
    <t>DEL- Reintegro Sueldos TA 01-2026 - Managers</t>
  </si>
  <si>
    <t>DEL- Reintegro Sueldos TA 01-2026 - Servicios</t>
  </si>
  <si>
    <t>TI001500000173</t>
  </si>
  <si>
    <t>Ingreso a Caja 001500000173 Obs: Movimiento_Cajas_Bancos_Semana 25-26 al 13-02-2026</t>
  </si>
  <si>
    <t>DEL10 - John Bastian Extras 25-26 ID 31682 -EXtras 25/26- -CMSW 01-2026-</t>
  </si>
  <si>
    <t>000000000183</t>
  </si>
  <si>
    <t>TE001500000175</t>
  </si>
  <si>
    <t>Extracción de Caja 001500000175 Obs: Movimiento_Cajas_Bancos_Semana 25-26 al 13-02-2026</t>
  </si>
  <si>
    <t>DEL10 - John Bastian Extras 25-26 ID 31682 -EXtras 25/26- -CMSW 01-2026- -CC</t>
  </si>
  <si>
    <t>000000000174</t>
  </si>
  <si>
    <t>DEL11 - Creighton Demuth Extras 25-26 ID 39557 -EXtras 25/26- -CMSW 01-2026-</t>
  </si>
  <si>
    <t>DEL11 - Creighton Demuth Extras 25-26 ID 39557 -EXtras 25/26- -CMSW 01-2026- -CC</t>
  </si>
  <si>
    <t>DEL11 - Jason Abell Extras 25-26 ID: 39288 -EXtras 25/26- -CMSW 01-2026-</t>
  </si>
  <si>
    <t>DEL11 - Jason Abell Extras 25-26 ID: 39288 -EXtras 25/26- -CMSW 01-2026- -CC</t>
  </si>
  <si>
    <t>DEL13-Piers Westerman-Extras 25-26-ID-38240 -EXtras 25/26- -CMSW 01-2026-</t>
  </si>
  <si>
    <t>DEL13-Piers Westerman-Extras 25-26-ID-38240 -EXtras 25/26- -CMSW 01-2026- -CC</t>
  </si>
  <si>
    <t>16/01/2026</t>
  </si>
  <si>
    <t>TI001500000143</t>
  </si>
  <si>
    <t>Ingreso a Caja 001500000143 Obs: Movimiento_Cajas_Bancos_Semana 25-26 al 16-01-2026</t>
  </si>
  <si>
    <t>DEL2- 26/27- Clarke Ohrstrom - Check #1553 $5,445 ---- comparte con S6/PZ4/P8 - ValleySW-  14 Checks</t>
  </si>
  <si>
    <t>000000000175</t>
  </si>
  <si>
    <t>DEL2- 26/27- Clarke Ohrstrom - WT $5,445 ---- comparte con S6/PZ4/P8 - ValleySW- WIRE IN GFT 2026010</t>
  </si>
  <si>
    <t>TI001500000169</t>
  </si>
  <si>
    <t>Ingreso a Caja 001500000169 Obs: Movimiento_Cajas_Bancos_Semana 25-26 al 06-02-2026</t>
  </si>
  <si>
    <t>DEL2- 26/27- PETER GUNN BRAMAN  - comparte con S6/PZ4/P8- ValleySW- WIRE IN GFT 202601290024404 PETE</t>
  </si>
  <si>
    <t>000000000182</t>
  </si>
  <si>
    <t>TI001500000156</t>
  </si>
  <si>
    <t>Ingreso a Caja 001500000156 Obs: Movimiento_Cajas_Bancos_Semana 25-26 al 30-01-2026</t>
  </si>
  <si>
    <t>DEL2- 26/27- Todd Cubbage - Check #2113 $5,445 ---- comparte con P8/PZ4/S6- ValleySW-  15 Checks $ 8</t>
  </si>
  <si>
    <t>000000000178</t>
  </si>
  <si>
    <t>DEL2- 26/27- WRIGHT OHRSTROM - comparte con P8/PZ4/S6 - ValleySW- WIRE IN GFT 202601200032098 1/WRIG</t>
  </si>
  <si>
    <t>DEL23- 25/26- WISE (ROBERT LAYTON) - WT $10,300 ---- comparte von VM17 y KT24 - ValleySW- WIRE IN GF</t>
  </si>
  <si>
    <t>TE001500000141</t>
  </si>
  <si>
    <t>Extracción de Caja 001500000141 Obs: Movimiento_Cajas_Bancos_Semana 25-26 al 16-01-2026</t>
  </si>
  <si>
    <t>DEL25- 25/26 - Sales Com - Capt Bruce - ValleySW- CHECK # 1072 - $ 10.547,00 - CAPT BRUCE CHARD - Sa</t>
  </si>
  <si>
    <t>000000000159</t>
  </si>
  <si>
    <t>DEL29- Dennis Tice Extras 25-26 - ID 40667 -EXtras 25/26- -CMSW 01-2026-</t>
  </si>
  <si>
    <t>DEL29- Dennis Tice Extras 25-26 - ID 40667 -EXtras 25/26- -CMSW 01-2026- -CC</t>
  </si>
  <si>
    <t>09/01/2026</t>
  </si>
  <si>
    <t>TE001500000122</t>
  </si>
  <si>
    <t>Extracción de Caja 001500000122 Obs: Movimiento_Cajas_Bancos_Semana 25-26 al 09-01-2026</t>
  </si>
  <si>
    <t>DEL30- 25/26- Francisco Rodriguez Pasan $5,600 a DEL4 26-27</t>
  </si>
  <si>
    <t>000000000124</t>
  </si>
  <si>
    <t>TI001500000128</t>
  </si>
  <si>
    <t>Ingreso a Caja 001500000128 Obs: Movimiento_Cajas_Bancos_Semana 25-26 al 09-01-2026</t>
  </si>
  <si>
    <t>DEL4- 26/27- 26- Francisco Rodriguez vienen de DEL30- 25/</t>
  </si>
  <si>
    <t>000000000142</t>
  </si>
  <si>
    <t>DEL40- 25/26- Joseph W Fording - Check #2834 $3,230 ----- comparte con CL.DU42 - ValleySW-  24 Check</t>
  </si>
  <si>
    <t xml:space="preserve">DEL45- 25/26- Drew Andreson - $5438,68 Comparte con CA.DU40 - ValleySW- WIRE IN GFT 202601050012266 </t>
  </si>
  <si>
    <t>DEL5- 26/27- Chris Metz - Comparte con PZ6 - ValleySW- WIRE IN GFT 202601300001328 CHRISTOPHER T MET</t>
  </si>
  <si>
    <t>DEL56- 25/26- Thomas A Cohn - Check #2152 $2,900 - ValleySW-  24 Checks $ 113.065,75 -02-01-2026</t>
  </si>
  <si>
    <t>DEL66- 25/26- LINAS VIDAUSKAS - WT $2,450 --- comparte con DEL67 - ValleySW- WIRE IN INTL GFT 202601</t>
  </si>
  <si>
    <t>DEL67- 25/26- LINAS VIDAUSKAS - WT $2,450 --- comparte con DEL66 - ValleySW- WIRE IN INTL GFT 202601</t>
  </si>
  <si>
    <t>DEL69- 25/26- STEPHEN P NEWMAN - ValleySW- WIRE IN GFT 202601200018929 STEPHEN P NEWMAN  /PURP/COMT</t>
  </si>
  <si>
    <t>TI001500000174</t>
  </si>
  <si>
    <t>Ingreso a Caja 001500000174 Obs: Movimiento_Cajas_Bancos_Semana 25-26 al 13-02-2026</t>
  </si>
  <si>
    <t>DEL70 -25/26-Emily Thomas  -CMSW 01-2026- CC x MTP $1,400</t>
  </si>
  <si>
    <t>000000000184</t>
  </si>
  <si>
    <t>DEL70 -25/26-Emily Thomas  -CMSW 01-2026- CC x MTP $1,400-CC</t>
  </si>
  <si>
    <t>DEL71- 25/26- Outrider - comparte con RST9 - ValleySW- ACH CREDIT CTX CMPY ID: S941687665 OUTRIDER L</t>
  </si>
  <si>
    <t>DEL-Pasajes Prana-Servicios DT--DUFFO ANDRES-BUS CHI-RET</t>
  </si>
  <si>
    <t>DEL-Pasajes Prana-Servicios DT--MIÑO KARINA-BUS CHI-RET</t>
  </si>
  <si>
    <t>26/01/2026</t>
  </si>
  <si>
    <t>TE001500000145</t>
  </si>
  <si>
    <t>Extracción de Caja 001500000145 Obs: 26-01-2026  Mov Lodge</t>
  </si>
  <si>
    <t>DT -  Nafta lanchas de Noel y Fabian</t>
  </si>
  <si>
    <t>000000000161</t>
  </si>
  <si>
    <t>12/01/2026</t>
  </si>
  <si>
    <t>TE001500000125</t>
  </si>
  <si>
    <t>Extracción de Caja 001500000125 Obs: 12-01-2026  Mov Lodge</t>
  </si>
  <si>
    <t>DT -  Velas deco Lodge</t>
  </si>
  <si>
    <t>000000000126</t>
  </si>
  <si>
    <t>DT - 2 bolsas de hielo almacén la Baie</t>
  </si>
  <si>
    <t>DT - 2 frascos porta plantas</t>
  </si>
  <si>
    <t>DT - 2 juegos de Sábanas staff</t>
  </si>
  <si>
    <t>DT - 2 micros larga distancia Karina fechas 27/11 y 13/12</t>
  </si>
  <si>
    <t>DT - 20 bidones de agua</t>
  </si>
  <si>
    <t>DT - 3 repasadores</t>
  </si>
  <si>
    <t>TE001500000152</t>
  </si>
  <si>
    <t>Extracción de Caja 001500000152 Obs: 31-01-2026  Mov Lodge</t>
  </si>
  <si>
    <t>DT - Aceite 2t</t>
  </si>
  <si>
    <t>000000000165</t>
  </si>
  <si>
    <t>DT - Adicional a Alexis por cubrir 4 días a Noel</t>
  </si>
  <si>
    <t>DT - Alexis 2 salidas a hacer compras y traer insumos</t>
  </si>
  <si>
    <t>DT - Alexis casero compra de milanesas</t>
  </si>
  <si>
    <t>DT - Alexis corte de pasto y poda con su tío en días de descanso</t>
  </si>
  <si>
    <t>DT - Alexis de hachero durante 1 servicio de 9 pax</t>
  </si>
  <si>
    <t>DT - Alimentos dingo y Melchora</t>
  </si>
  <si>
    <t>DT - Almacén mayorista pasos</t>
  </si>
  <si>
    <t>DT - Almuerzo staff ( Andrés, Karina, Noel y yo )</t>
  </si>
  <si>
    <t>DT - Arena que trajo Rolando para la playa del Lodge</t>
  </si>
  <si>
    <t>DT - Artículos de decoración</t>
  </si>
  <si>
    <t>DT - Artículos de decoración, porta velas y porta plantas</t>
  </si>
  <si>
    <t>DT - Artículos de ferretería, cinta aisladora, bolsa de clavos, veneno abejas, pinza pico de loro</t>
  </si>
  <si>
    <t>DT - Artículos de librería</t>
  </si>
  <si>
    <t>DT - Artículos de limpieza-perfumería para back up clientes</t>
  </si>
  <si>
    <t>DT - Ayuda carga y descarga guardería la Baie</t>
  </si>
  <si>
    <t>DT - Bebidas súper chino</t>
  </si>
  <si>
    <t>DT - Bobina de servilletas papel</t>
  </si>
  <si>
    <t>DT - Budines personal desayuno</t>
  </si>
  <si>
    <t>DT - Camioneta día de compras</t>
  </si>
  <si>
    <t>DT - Carbón 10 bolsas</t>
  </si>
  <si>
    <t>DT - Carrefour</t>
  </si>
  <si>
    <t>DT - Carrefour bourbon</t>
  </si>
  <si>
    <t>DT - Carrefour filet de merluza</t>
  </si>
  <si>
    <t>DT - Comida Alexis casero Verduleria</t>
  </si>
  <si>
    <t>DT - Compra de 2 cuadros</t>
  </si>
  <si>
    <t>DT - Compra de bebidas que no hay en mayorista</t>
  </si>
  <si>
    <t>DT - Compra de Hielo</t>
  </si>
  <si>
    <t>DT - Compra maíz ceba</t>
  </si>
  <si>
    <t>DT - Compras vivero</t>
  </si>
  <si>
    <t>DT - Coto</t>
  </si>
  <si>
    <t>DT - Coto destilados</t>
  </si>
  <si>
    <t>DT - Coto gaseosas</t>
  </si>
  <si>
    <t>DT - Fabián ida y vuelta</t>
  </si>
  <si>
    <t>DT - Ferretería,  línea de acero para compuerta laguna, pinceles y diluyente</t>
  </si>
  <si>
    <t>DT - Heladería</t>
  </si>
  <si>
    <t>DT - Ida y vuelta  en Uber a tigre míos</t>
  </si>
  <si>
    <t>DT - Imprenta tigre plastificados de check list personal</t>
  </si>
  <si>
    <t>TI001500000124</t>
  </si>
  <si>
    <t>Ingreso a Caja 001500000124 Obs: 12-01-2026 INCOME OF MONEY</t>
  </si>
  <si>
    <t>000000000139</t>
  </si>
  <si>
    <t>TI001500000131</t>
  </si>
  <si>
    <t>Ingreso a Caja 001500000131 Obs: 12-01-2026 INCOME OF MONEY</t>
  </si>
  <si>
    <t>000000000143</t>
  </si>
  <si>
    <t>TI001500000150</t>
  </si>
  <si>
    <t>Ingreso a Caja 001500000150 Obs: 31-01-2026 INCOME OF MONEY</t>
  </si>
  <si>
    <t>000000000176</t>
  </si>
  <si>
    <t>TI001500000151</t>
  </si>
  <si>
    <t>Ingreso a Caja 001500000151 Obs: 31-01-2026 INCOME OF MONEY</t>
  </si>
  <si>
    <t>000000000177</t>
  </si>
  <si>
    <t>DT - Karina ida y vuelta</t>
  </si>
  <si>
    <t>DT - Lámparas de luz</t>
  </si>
  <si>
    <t>DT - Lancha colectivo ingreso de lucia</t>
  </si>
  <si>
    <t>DT - Lavadero blanquueria</t>
  </si>
  <si>
    <t>DT - Librería</t>
  </si>
  <si>
    <t>TE001500000146</t>
  </si>
  <si>
    <t>Extracción de Caja 001500000146 Obs: 26-01-2026  Mov Lodge</t>
  </si>
  <si>
    <t>DT - Lucia ayudante de cocina 6fd</t>
  </si>
  <si>
    <t>000000000162</t>
  </si>
  <si>
    <t>DT - Mano de obra instalación de ecosonda nuevo en lancha de Noel e instalación del que estaba en la</t>
  </si>
  <si>
    <t>DT - Matías guía por 2 full day y 3 half day</t>
  </si>
  <si>
    <t>DT - Micro Andrés</t>
  </si>
  <si>
    <t>DT - Micro larga distancia Andrés</t>
  </si>
  <si>
    <t>DT - Nachos huéspedes</t>
  </si>
  <si>
    <t>DT - Nafta auto  Noel</t>
  </si>
  <si>
    <t>DT - Nafta generador Noel (no le entregaron ticket o lo perdió )</t>
  </si>
  <si>
    <t>DT - Nafta lancha Fabián</t>
  </si>
  <si>
    <t>DT - Nafta lanchas Noel y Fabian</t>
  </si>
  <si>
    <t>DT - Noel paga en guardería por uso de su espacio para trabajar con la lancha que trajo Fabián guía</t>
  </si>
  <si>
    <t>DT - Pablo guía 3 fd</t>
  </si>
  <si>
    <t>DT - Pablo guía por 7 full day</t>
  </si>
  <si>
    <t>DT - Pago a Alexis por 2 viajes añde compras que realizó</t>
  </si>
  <si>
    <t>TE001500000153</t>
  </si>
  <si>
    <t>Extracción de Caja 001500000153 Obs: 31-01-2026  Mov Lodge</t>
  </si>
  <si>
    <t>DT - Pago a lucia por 4 full day</t>
  </si>
  <si>
    <t>000000000166</t>
  </si>
  <si>
    <t>TE001500000130</t>
  </si>
  <si>
    <t>Extracción de Caja 001500000130 Obs: 12-01-2026  Mov Lodge</t>
  </si>
  <si>
    <t>DT - Pago a Rolando por 8 Transfers</t>
  </si>
  <si>
    <t>000000000127</t>
  </si>
  <si>
    <t>DT - Pago a Rolando por ayudarnos con la carga y descarga día de compras</t>
  </si>
  <si>
    <t>DT - Pago a Rolando por compra de termotanque y repuestos para reemplazar el termotanque de las habi</t>
  </si>
  <si>
    <t>DT - Pago a Rolando por logística de blanqueria, residuos y traer maderas de stock para reparaciónes</t>
  </si>
  <si>
    <t>DT - Pago adicional a Alexis por buscarnos bidones de agua y garrafas</t>
  </si>
  <si>
    <t>DT - Pago adicional a Rolando</t>
  </si>
  <si>
    <t>DT - Pago complementario a lucia por ayuda en cocina</t>
  </si>
  <si>
    <t>DT - Pago complementario lucia por 4 full day 20-usd pago $ a cotización 1475</t>
  </si>
  <si>
    <t>DT - Pago nafta Matías guía</t>
  </si>
  <si>
    <t>DT - Pago por ayuda carga y descarga en la Baie</t>
  </si>
  <si>
    <t>DT - Pago por termotanque nuevo y materiales para su instalación</t>
  </si>
  <si>
    <t>DT - Pago Remis Madero retiro y despacho de blanqueria en guardería</t>
  </si>
  <si>
    <t>DT - Pago Remis Madero si perro refuerzo de compras</t>
  </si>
  <si>
    <t>DT - Pago salario mío que restaba de diciembre</t>
  </si>
  <si>
    <t>DT - Pago salario mío que restaba de diciembre (Proporciónal a 37 usd a cotización 1490)</t>
  </si>
  <si>
    <t>DT - Pago viaticos de Fabián guía según detalle en imagen</t>
  </si>
  <si>
    <t>DT - Pan para personal</t>
  </si>
  <si>
    <t>DT - Papel film y aluminio cocina</t>
  </si>
  <si>
    <t>DT - Papelera</t>
  </si>
  <si>
    <t>DT - Plantas  aromáticas</t>
  </si>
  <si>
    <t>DT - Regreso Andrés y Karina Uber el 31/12</t>
  </si>
  <si>
    <t>DT - Remis Andrés cocinero de retiro a tigre fecha 26/12</t>
  </si>
  <si>
    <t>DT - Remis Karina de retiro a casa Noel</t>
  </si>
  <si>
    <t>DT - Remis Karina ingresó al Lodge 26/12</t>
  </si>
  <si>
    <t>DT - Remis Madero transporte de blanqueria</t>
  </si>
  <si>
    <t>DT - Remises Madero soporte día de compras</t>
  </si>
  <si>
    <t>DT - Reposición 4 garrafas</t>
  </si>
  <si>
    <t>DT - Reposición de 4 garrafas</t>
  </si>
  <si>
    <t>DT - Reposición de garrafas</t>
  </si>
  <si>
    <t>DT - Soporte de teléfono para la lancha del Lodge</t>
  </si>
  <si>
    <t>DT - Súper chino pan</t>
  </si>
  <si>
    <t>DT - Súper chino vinos</t>
  </si>
  <si>
    <t>DT - Supermercado alimentos sin lactosa</t>
  </si>
  <si>
    <t>DT - Supermercado chino</t>
  </si>
  <si>
    <t>DT - Tablas de repuesto que trajo Rolando para reparaciónes menores</t>
  </si>
  <si>
    <t>DT - Tapón bidón de nafta</t>
  </si>
  <si>
    <t>210609</t>
  </si>
  <si>
    <t>Propinas a pagar</t>
  </si>
  <si>
    <t>DT - Típ invoice 2154 de Gray Jackson para staff y guías</t>
  </si>
  <si>
    <t>DT - Uber Andrés cocinero de retiro a casa Noel</t>
  </si>
  <si>
    <t>DT - Uber Andrés hacia casa de Noel</t>
  </si>
  <si>
    <t>DT - Uber de lucia hasta estación de trenes</t>
  </si>
  <si>
    <t>DT - Uber mío ingreso-egreso fechas 6/1 y 8/1</t>
  </si>
  <si>
    <t>DT - Uber míos ida y vuelta</t>
  </si>
  <si>
    <t>DT - Velas para la noche</t>
  </si>
  <si>
    <t>DT - Viaticos lucia</t>
  </si>
  <si>
    <t>DT - Zapatilla para enchufar freezers cocina</t>
  </si>
  <si>
    <t>DT- Fee Noel 01-2026</t>
  </si>
  <si>
    <t>DT- Maintenance Fees CC Monthly Fee 01/2026</t>
  </si>
  <si>
    <t>TE001500000123</t>
  </si>
  <si>
    <t>Extracción de Caja 001500000123 Obs: Movimiento_Cajas_Bancos_Semana 25-26 al 09-01-2026</t>
  </si>
  <si>
    <t>DT-16 paños para 4 habitación - cortiñas black out - Flopy Ganly F.Fijo Oper. Al 09-01-2026</t>
  </si>
  <si>
    <t>000000000125</t>
  </si>
  <si>
    <t>DT-Alexis Carra - Honorarios mantenimiento diciembre Pagos Frank Garrahan  Al 09-01-2026</t>
  </si>
  <si>
    <t>TE001500000170</t>
  </si>
  <si>
    <t>Extracción de Caja 001500000170 Obs: Movimiento_Cajas_Bancos_Semana 25-26 al 06-02-2026</t>
  </si>
  <si>
    <t>DT-Alexis Carra - Honorarios mantenimiento Enero 2026 Pagos Depsa Valores. Al 06-02-2026</t>
  </si>
  <si>
    <t>000000000173</t>
  </si>
  <si>
    <t>TE001500000162</t>
  </si>
  <si>
    <t>Extracción de Caja 001500000162 Obs: Reversión de documento</t>
  </si>
  <si>
    <t>DT-Articulos de pesca Pagos Frank Garrahan. Al 30-01-2026</t>
  </si>
  <si>
    <t>000000000169</t>
  </si>
  <si>
    <t>TE001500000163</t>
  </si>
  <si>
    <t>Extracción de Caja 001500000163 Obs: Movimiento_Cajas_Bancos_Semana 25-26 al 30-01-2026</t>
  </si>
  <si>
    <t>000000000170</t>
  </si>
  <si>
    <t>TI001500000159</t>
  </si>
  <si>
    <t>Ingreso a Caja 001500000159 Obs: Movimiento_Cajas_Bancos_Semana 25-26 al 30-01-2026</t>
  </si>
  <si>
    <t>000000000181</t>
  </si>
  <si>
    <t>DT-Caja Lodge - Enero - Entregado 29-01 Noel F.Fijo Oper. Al 30-01-2026</t>
  </si>
  <si>
    <t>DT-Caja Lodge - Entregago a Noel 29-01 F.Fijo Oper. Al 30-01-2026</t>
  </si>
  <si>
    <t>DT-Caja Lodge - Retira Noel F.Fijo Oper. Al 09-01-2026</t>
  </si>
  <si>
    <t>DT-Caja lodge F.Fijo Oper. Al 09-01-2026</t>
  </si>
  <si>
    <t>DT-Carnes y verduras - ultima semana enero Pagos Depsa Valores. Al 06-02-2026</t>
  </si>
  <si>
    <t>DT-Carnes y verduras segunda quincena de enero Pagos Frank Garrahan. Al 30-01-2026</t>
  </si>
  <si>
    <t>23/01/2026</t>
  </si>
  <si>
    <t>TE001500000148</t>
  </si>
  <si>
    <t>Extracción de Caja 001500000148 Obs: Movimiento_Cajas_Bancos_Semana 25-26 al 23-01-2026</t>
  </si>
  <si>
    <t>DT-Compra 1 termo Stanley 1.5 litros F.Fijo Oper. Al 23-01-2026</t>
  </si>
  <si>
    <t>000000000163</t>
  </si>
  <si>
    <t>DT-Compra 10 chauchas de vainilla  F.Fijo Oper. Al 23-01-2026</t>
  </si>
  <si>
    <t>DT-Compra 2 kilos chocolate fenix semiamargo F.Fijo Oper. Al 23-01-2026</t>
  </si>
  <si>
    <t>DT-Compra 4 sal de aqui 70 grs F.Fijo Oper. Al 23-01-2026</t>
  </si>
  <si>
    <t>DT-Compra 6 sal de aqui 70 grs F.Fijo Oper. Al 09-01-2026</t>
  </si>
  <si>
    <t>TE001500000142</t>
  </si>
  <si>
    <t>Extracción de Caja 001500000142 Obs: Movimiento_Cajas_Bancos_Semana 25-26 al 16-01-2026</t>
  </si>
  <si>
    <t>DT-Compra de articulos de pesca, cables de acero, señuelos,anzuelo y boyas. Pagos Frank Garrahan. Al</t>
  </si>
  <si>
    <t>000000000160</t>
  </si>
  <si>
    <t>DT-Compra licuadora de vaso 1.5 litros F.Fijo Oper. Al 09-01-2026</t>
  </si>
  <si>
    <t>DT-Compra microondas Rca para staff F.Fijo Oper. Al 09-01-2026</t>
  </si>
  <si>
    <t>DT-Compra tabla lazy susan marmol acacia F.Fijo Oper. Al 23-01-2026</t>
  </si>
  <si>
    <t>DT-GPS / Ecosonda + Carta Nautica de Lancha Salminus -retiró Noel F.Fijo Oper. Al 16-01-2026</t>
  </si>
  <si>
    <t>DT-Guarderia La Baie - cuota Enero Pagos Frank Garrahan  Al 09-01-2026</t>
  </si>
  <si>
    <t>DT-Guarderia La Baie - cuota Febrero 2026 Pagos Depsa Valores. Al 06-02-2026</t>
  </si>
  <si>
    <t>TE001500000149</t>
  </si>
  <si>
    <t>Extracción de Caja 001500000149 Obs: Movimiento_Cajas_Bancos_Semana 25-26 al 23-01-2026</t>
  </si>
  <si>
    <t>DT-Honorarios Jeronimo Balinia - fotografo Delta F.Fijo Oper. Al 23-01-2026</t>
  </si>
  <si>
    <t>000000000164</t>
  </si>
  <si>
    <t>DT-Lavado de blanqueria del lodge Pagos Depsa Valores. Al 06-02-2026</t>
  </si>
  <si>
    <t>DT-Lavado de blanqueria del lodge Pagos Frank Garrahan. Al 16-01-2026</t>
  </si>
  <si>
    <t>DT-Mix de Vinos - Pago Bressia Wines F.Fijo Oper. Al 06-02-2026</t>
  </si>
  <si>
    <t>DT-Pedido 1 caja aceite de uva F.Fijo Oper. Al 30-01-2026</t>
  </si>
  <si>
    <t>DT-Pedido Catena - 18 cajas de vino F.Fijo Oper. Al 23-01-2026</t>
  </si>
  <si>
    <t>DT-Reposición 10 perfuminas cedro verbena - the candle shop F.Fijo Oper. Al 16-01-2026</t>
  </si>
  <si>
    <t>DT-Reposicion de articulos de supermercado - primera quincena enero Pagos Frank Garrahan  Al 09-01-2</t>
  </si>
  <si>
    <t>DT-Reposicion de articulos de supermercado - última quincena enero Pagos Frank Garrahan. Al 30-01-20</t>
  </si>
  <si>
    <t>DT-Saldo 50 % - Latin Gráfica - impresión brochures x 20 unidades F.Fijo Oper. Al 16-01-2026</t>
  </si>
  <si>
    <t>DT-Servicio de lavanderia - segunda quincena enero Pagos Frank Garrahan. Al 30-01-2026</t>
  </si>
  <si>
    <t>DT-Servicio de transfer - Swann Talbot 01 al 31/12 F.Fijo Oper. Al 16-01-2026</t>
  </si>
  <si>
    <t>DT-TriSW Fee CC 01-2026</t>
  </si>
  <si>
    <t>15/01/2026</t>
  </si>
  <si>
    <t>VF000000003703B</t>
  </si>
  <si>
    <t>Asiento de VENTAS (01/09/2025 - 31/1/2026)</t>
  </si>
  <si>
    <t>F B 000000003703</t>
  </si>
  <si>
    <t>Ref. nota de Venta: DEL10
Obs.:26-01-2026_CLIENTES</t>
  </si>
  <si>
    <t>000000000195</t>
  </si>
  <si>
    <t>14/01/2026</t>
  </si>
  <si>
    <t>VF000000003704B</t>
  </si>
  <si>
    <t>F B 000000003704</t>
  </si>
  <si>
    <t>000000000196</t>
  </si>
  <si>
    <t>VF000000003705B</t>
  </si>
  <si>
    <t>F B 000000003705</t>
  </si>
  <si>
    <t>Ref. nota de Venta: DEL11
Obs.:26-01-2026_CLIENTES</t>
  </si>
  <si>
    <t>000000000197</t>
  </si>
  <si>
    <t>VF000000003706B</t>
  </si>
  <si>
    <t>F B 000000003706</t>
  </si>
  <si>
    <t>000000000198</t>
  </si>
  <si>
    <t>24/01/2026</t>
  </si>
  <si>
    <t>VF000000003707B</t>
  </si>
  <si>
    <t>F B 000000003707</t>
  </si>
  <si>
    <t>Ref. nota de Venta: DEL13
Obs.:26-01-2026_CLIENTES</t>
  </si>
  <si>
    <t>000000000199</t>
  </si>
  <si>
    <t>VF000000003708B</t>
  </si>
  <si>
    <t>F B 000000003708</t>
  </si>
  <si>
    <t>Ref. nota de Venta: DEL37
Obs.:26-01-2026_CLIENTES</t>
  </si>
  <si>
    <t>000000000200</t>
  </si>
  <si>
    <t>VF000000003326B</t>
  </si>
  <si>
    <t>F B 000000003326</t>
  </si>
  <si>
    <t>Ref. nota de Venta: DEL6
Obs.:12-01-2026_CLIENTES</t>
  </si>
  <si>
    <t>000000000148</t>
  </si>
  <si>
    <t>29/01/2026</t>
  </si>
  <si>
    <t>VF000000004037B</t>
  </si>
  <si>
    <t>F B 000000004037</t>
  </si>
  <si>
    <t>Ref. nota de Venta: DEL70
Obs.:31-01-2026_CLIENTES</t>
  </si>
  <si>
    <t>000000000201</t>
  </si>
  <si>
    <t>TA001500000144</t>
  </si>
  <si>
    <t>Canje de Valores 001500000144 Obs: DT - Cambio 500 usd a 1470</t>
  </si>
  <si>
    <t>000000000155</t>
  </si>
  <si>
    <t>TA001500000154</t>
  </si>
  <si>
    <t>Canje de Valores 001500000154 Obs: DT - Cambio 600 usd a 1445</t>
  </si>
  <si>
    <t>000000000157</t>
  </si>
  <si>
    <t>VR000000003828</t>
  </si>
  <si>
    <t>Asiento de COBRANZAS (01/09/2025 - 310126)</t>
  </si>
  <si>
    <t>Recibo: 000000003828Cliente: MT14914 Obs: Cobranza</t>
  </si>
  <si>
    <t>000000000186</t>
  </si>
  <si>
    <t>VR000000003830</t>
  </si>
  <si>
    <t>Recibo: 000000003830Cliente: MT31682 Obs: 26-01-2026_COBRANZAS_CLIENTES</t>
  </si>
  <si>
    <t>000000000187</t>
  </si>
  <si>
    <t>VR000000004075</t>
  </si>
  <si>
    <t>Recibo: 000000004075Cliente: MT42289 Obs: 31-01-2026_COBRANZAS_CLIENTES</t>
  </si>
  <si>
    <t>000000000188</t>
  </si>
  <si>
    <t>VR000000004459</t>
  </si>
  <si>
    <t>Recibo: 000000004459Cliente: MT39557 Obs: DEL11 - Creighton Demuth Extras 25-26 ID 39557 -EXtras 25/26- -CMSW 01-2026-</t>
  </si>
  <si>
    <t>000000000189</t>
  </si>
  <si>
    <t>VR000000004460</t>
  </si>
  <si>
    <t>Recibo: 000000004460Cliente: MT39288 Obs: DEL11 - Jason Abell Extras 25-26 ID: 39288 -EXtras 25/26- -CMSW 01-2026-</t>
  </si>
  <si>
    <t>000000000190</t>
  </si>
  <si>
    <t>VR000000004461</t>
  </si>
  <si>
    <t>Recibo: 000000004461Cliente: MT38240 Obs: DEL13-Piers Westerman-Extras 25-26-ID-38240 -EXtras 25/26- -CMSW 01-2026-</t>
  </si>
  <si>
    <t>000000000191</t>
  </si>
  <si>
    <t>VR000000004578</t>
  </si>
  <si>
    <t>Recibo: 000000004578Cliente: MT20792 Obs: DEL10 - John Bastian Extras 25-26 ID 31682 -EXtras 25/26- -CMSW 01-2026-</t>
  </si>
  <si>
    <t>000000000192</t>
  </si>
  <si>
    <t>VC000000004579B</t>
  </si>
  <si>
    <t>C B 000000004579</t>
  </si>
  <si>
    <t>000000000193</t>
  </si>
  <si>
    <t>VC000000004580B</t>
  </si>
  <si>
    <t>C B 000000004580</t>
  </si>
  <si>
    <t>000000000194</t>
  </si>
  <si>
    <t>TA001500000129</t>
  </si>
  <si>
    <t>Canje de Valores 001500000129 Obs: DEL-Cambio $ 13,200,000</t>
  </si>
  <si>
    <t>000000000108</t>
  </si>
  <si>
    <t>TA001500000140</t>
  </si>
  <si>
    <t>Canje de Valores 001500000140 Obs: DEL-Cambio $ 600,000</t>
  </si>
  <si>
    <t>000000000154</t>
  </si>
  <si>
    <t>TA001500000147</t>
  </si>
  <si>
    <t>Canje de Valores 001500000147 Obs: DEL-Cambio $ 1,400,000</t>
  </si>
  <si>
    <t>000000000156</t>
  </si>
  <si>
    <t>TA001500000155</t>
  </si>
  <si>
    <t>Canje de Valores 001500000155 Obs: DEL-Cambio $ 10,900,000</t>
  </si>
  <si>
    <t>000000000158</t>
  </si>
  <si>
    <t>VER!!!!</t>
  </si>
  <si>
    <t xml:space="preserve"> Arthur Stewart</t>
  </si>
  <si>
    <t>DEL62</t>
  </si>
  <si>
    <t>Randy Randel</t>
  </si>
  <si>
    <t>DEL10</t>
  </si>
  <si>
    <t>Jason Abell</t>
  </si>
  <si>
    <t>DEL11</t>
  </si>
  <si>
    <t>Didrik Trumpy Martens</t>
  </si>
  <si>
    <t>DEL37</t>
  </si>
  <si>
    <t xml:space="preserve"> Tom Murley</t>
  </si>
  <si>
    <t>DEL19</t>
  </si>
  <si>
    <t>Alan Parchman</t>
  </si>
  <si>
    <t>DEL53</t>
  </si>
  <si>
    <t>Piers Westerman</t>
  </si>
  <si>
    <t>DEL13</t>
  </si>
  <si>
    <t>Mike Strain</t>
  </si>
  <si>
    <t>DEL2</t>
  </si>
  <si>
    <t>James Plumhoff</t>
  </si>
  <si>
    <t>DEL18</t>
  </si>
  <si>
    <t>Kaylee Marshall</t>
  </si>
  <si>
    <t>DEL70</t>
  </si>
  <si>
    <t>Dennis Tice</t>
  </si>
  <si>
    <t>DEL29</t>
  </si>
  <si>
    <t>DT- TriSW- AMEX - =DLOSPOTIFY         CABA                AR- spotify</t>
  </si>
  <si>
    <t>Delta</t>
  </si>
  <si>
    <t>141-BASE2</t>
  </si>
  <si>
    <t>DEL- Reintegro Sueldos TA SAC 12-2025  - Servicios</t>
  </si>
  <si>
    <t>DEL- Reintegro Cargas Sociales TA SAC 12-2025  - Servicios</t>
  </si>
  <si>
    <t>DEL- Reintegro Sueldos TA SAC 12-2025  - Managers</t>
  </si>
  <si>
    <t>DEL- Reintegro Cargas Sociales TA SAC 12-2025  - Managers</t>
  </si>
  <si>
    <t>DEL- Reintegro Sueldos TA 12-2025 - Servicios</t>
  </si>
  <si>
    <t>DEL- Reintegro Cargas Sociales TA 12-2025 - Servicios</t>
  </si>
  <si>
    <t>DEL- Reintegro Sueldos TA 12-2025 - Managers</t>
  </si>
  <si>
    <t>DEL- Reintegro Cargas Sociales TA 12-2025 - Managers</t>
  </si>
  <si>
    <t>AJ EXTRACOBLE REPORTE DHA</t>
  </si>
  <si>
    <t>DEL74</t>
  </si>
  <si>
    <t>Dan Repasky</t>
  </si>
  <si>
    <t>DEL36</t>
  </si>
  <si>
    <t>David Little</t>
  </si>
  <si>
    <t>DEL24</t>
  </si>
  <si>
    <t>Arthur Sandler</t>
  </si>
  <si>
    <t>DEL49</t>
  </si>
  <si>
    <t xml:space="preserve"> Linas Vidauskas</t>
  </si>
  <si>
    <t>DEL67</t>
  </si>
  <si>
    <t>Bob Eames</t>
  </si>
  <si>
    <t>DEL16</t>
  </si>
  <si>
    <t>Ben Fawcett</t>
  </si>
  <si>
    <t>DEL52</t>
  </si>
  <si>
    <t>Greg Herrema</t>
  </si>
  <si>
    <t>DEL7</t>
  </si>
  <si>
    <t>Thomas Hansen</t>
  </si>
  <si>
    <t>DEL9</t>
  </si>
  <si>
    <t>DEL72</t>
  </si>
  <si>
    <t>Bret Bookhamer</t>
  </si>
  <si>
    <t>DEL28</t>
  </si>
  <si>
    <t>Bill Casazza</t>
  </si>
  <si>
    <t>DEL35</t>
  </si>
  <si>
    <t>Tim Quattlebaum</t>
  </si>
  <si>
    <t>DEL33</t>
  </si>
  <si>
    <t>FEB</t>
  </si>
  <si>
    <t>27/02/2026</t>
  </si>
  <si>
    <t>TE001500000194</t>
  </si>
  <si>
    <t>Asiento de CAJA (01/09/2025 - 280226)</t>
  </si>
  <si>
    <t>Extracción de Caja 001500000194 Obs: Movimiento_Cajas_Bancos_Semana 25-26 al 27-02-2026</t>
  </si>
  <si>
    <t>DEL- Reintegro Cargas Sociales TA 02-2026 - Managers</t>
  </si>
  <si>
    <t>000000000220</t>
  </si>
  <si>
    <t>DEL- Reintegro Cargas Sociales TA 02-2026 - Servicios</t>
  </si>
  <si>
    <t>DEL- Reintegro Sueldos TA 02-2026 - Managers</t>
  </si>
  <si>
    <t>DEL- Reintegro Sueldos TA 02-2026 - Servicios</t>
  </si>
  <si>
    <t>28/02/2026</t>
  </si>
  <si>
    <t>TI001500000202</t>
  </si>
  <si>
    <t>Ingreso a Caja 001500000202 Obs: Movimiento_Cajas_Bancos_Semana 25-26 al 06-03-2026</t>
  </si>
  <si>
    <t>DEL16- Guy Wagner Extras 25-26 - ID 341533 -EXtras 25/26- -CMSW 02-2026-</t>
  </si>
  <si>
    <t>000000000229</t>
  </si>
  <si>
    <t>TE001500000199</t>
  </si>
  <si>
    <t>Extracción de Caja 001500000199 Obs: Movimiento_Cajas_Bancos_Semana 25-26 al 06-03-2026</t>
  </si>
  <si>
    <t>DEL16- Guy Wagner Extras 25-26 - ID 341533 -EXtras 25/26- -CMSW 02-2026- -CC</t>
  </si>
  <si>
    <t>000000000222</t>
  </si>
  <si>
    <t>20/02/2026</t>
  </si>
  <si>
    <t>TI001500000184</t>
  </si>
  <si>
    <t>Ingreso a Caja 001500000184 Obs: Movimiento_Cajas_Bancos_Semana 25-26 al 20-02-2026</t>
  </si>
  <si>
    <t>DEL2- 26/27- Everett Boy - con S6/PZ4/P8 - ValleySW-  28 Checks $ 141.542,25 -30-01-2026</t>
  </si>
  <si>
    <t>000000000225</t>
  </si>
  <si>
    <t>TI001500000196</t>
  </si>
  <si>
    <t>Ingreso a Caja 001500000196 Obs: Movimiento_Cajas_Bancos_Semana 25-26 al 27-02-2026</t>
  </si>
  <si>
    <t xml:space="preserve">DEL3- 26/27- FRANCIS W OGDEN - Check #4003 $5,445 ----  comaprte con P9 y S7 - ValleySW-  18 Checks </t>
  </si>
  <si>
    <t>000000000228</t>
  </si>
  <si>
    <t>TI001500000203</t>
  </si>
  <si>
    <t>Ingreso a Caja 001500000203 Obs: Movimiento_Cajas_Bancos_Semana 25-26 al 06-03-2026</t>
  </si>
  <si>
    <t>DEL43- 25/26- George Mitchell - Comparte con LC8- ValleySW- WIRE IN GFT 202602240006161 GEORGE L. MI</t>
  </si>
  <si>
    <t>000000000230</t>
  </si>
  <si>
    <t>DEL43 -25/26-Anthony Mark Everett -CMSW 02-2026- CC x MTP $5,896.75 ----- comparte con LC8</t>
  </si>
  <si>
    <t>DEL43 -25/26-Anthony Mark Everett -CMSW 02-2026- CC x MTP $5,896.75 ----- comparte con LC8-CC</t>
  </si>
  <si>
    <t>DEL6 -26/27-Keith Gaedchens -CMSW 02-2026- CC x MTP $5,785 ---- comparte con CA.DU17</t>
  </si>
  <si>
    <t>DEL6 -26/27-Keith Gaedchens -CMSW 02-2026- CC x MTP $5,785 ---- comparte con CA.DU17 -CC</t>
  </si>
  <si>
    <t>DEL68- 25/26- ValleySW- WIRE IN INTL GFT 202602170005423 THOMAS HOLMES  THOMAS HOLMES EXTR A DAY DEL</t>
  </si>
  <si>
    <t>DEL69- 25/26- ValleySW- WIRE IN GFT 202602110013343 STEPHEN P NEWMAN  /PURP/TRVL</t>
  </si>
  <si>
    <t>DEL7- John Herrema Extras 25-26 - ID 40975 -EXtras 25/26- -CMSW 02-2026-</t>
  </si>
  <si>
    <t>DEL7- John Herrema Extras 25-26 - ID 40975 -EXtras 25/26- -CMSW 02-2026- -CC</t>
  </si>
  <si>
    <t>DEL73- 25/26- R D UPDENKELDER - Check #3971 $1,250 - ValleySW-  16 Checks $  120.487,75 -06-02-2026</t>
  </si>
  <si>
    <t>DEL75- 25/26- Nicole Van Namen - Check #6634 $950 - ValleySW-  18 Checks $ 123.518,85 -23-02-2026</t>
  </si>
  <si>
    <t>DEL76- 25/26- CHRISTINE MCKEE - ValleySW- WIRE IN GFT 202602250015987 CHRISTINE MCKEE  CHRISTINE MCK</t>
  </si>
  <si>
    <t>DEL76- 25/26 CHRISTINE MCKEE - ValleySW- WIRE IN GFT 202602250018137 CHRISTINE MCKEE  CHRISTINE MCKE</t>
  </si>
  <si>
    <t>DEL78 -25/26-Susan Wenzlaff -CMSW 02-2026- CC x MTP $4,275</t>
  </si>
  <si>
    <t>DEL78 -25/26-Susan Wenzlaff -CMSW 02-2026- CC x MTP $4,275-CC</t>
  </si>
  <si>
    <t>DEL80- 25/26- James Sanders - Compare con TUC66 - WIRE IN GFT 202602190024991 CROSSCHECK DEVELOP MEN</t>
  </si>
  <si>
    <t>09/02/2026</t>
  </si>
  <si>
    <t>TE001500000166</t>
  </si>
  <si>
    <t>Extracción de Caja 001500000166 Obs: 09-02-2026  Mov Lodge</t>
  </si>
  <si>
    <t>DT -  Chorizos colorados para cocina huéspedes</t>
  </si>
  <si>
    <t>000000000206</t>
  </si>
  <si>
    <t>DT -  Velas deco noche</t>
  </si>
  <si>
    <t>TE001500000191</t>
  </si>
  <si>
    <t>Extracción de Caja 001500000191 Obs: 28-02-2026  Mov Lodge</t>
  </si>
  <si>
    <t>DT - 10 bolsas de carbón</t>
  </si>
  <si>
    <t>000000000218</t>
  </si>
  <si>
    <t>TE001500000192</t>
  </si>
  <si>
    <t>Extracción de Caja 001500000192 Obs: 28-02-2026  Mov Lodge</t>
  </si>
  <si>
    <t>000000000219</t>
  </si>
  <si>
    <t>TI001500000204</t>
  </si>
  <si>
    <t>Ingreso a Caja 001500000204 Obs: Reversión de documento</t>
  </si>
  <si>
    <t>000000000231</t>
  </si>
  <si>
    <t>16/02/2026</t>
  </si>
  <si>
    <t>TE001500000171</t>
  </si>
  <si>
    <t>Extracción de Caja 001500000171 Obs: 16-02-2026  Mov Lodge</t>
  </si>
  <si>
    <t>DT - 2 garrafas</t>
  </si>
  <si>
    <t>000000000208</t>
  </si>
  <si>
    <t>DT - 2 remeras 1 pantalón 1 bermudas Alexis mantenimiento</t>
  </si>
  <si>
    <t>DT - 5 garrafas</t>
  </si>
  <si>
    <t>DT - 6 garrafas</t>
  </si>
  <si>
    <t>DT - 8 bidones de agua</t>
  </si>
  <si>
    <t>DT - Alexis compra carbón para el Lodge</t>
  </si>
  <si>
    <t>DT - Alimento mascotas</t>
  </si>
  <si>
    <t>DT - Almuerzo día de compras Noel y yo</t>
  </si>
  <si>
    <t>DT - Artículos de ferretería, cetol, tornillos, tanza desmalezadora</t>
  </si>
  <si>
    <t>DT - Ayuda de carga y descarga en guardería la Baie día de compras</t>
  </si>
  <si>
    <t>23/02/2026</t>
  </si>
  <si>
    <t>TE001500000179</t>
  </si>
  <si>
    <t>Extracción de Caja 001500000179 Obs: 23-02-2026  Mov Lodge</t>
  </si>
  <si>
    <t>000000000212</t>
  </si>
  <si>
    <t>DT - Cadena motosierra Lodge</t>
  </si>
  <si>
    <t>DT - Carnicería súper bambi</t>
  </si>
  <si>
    <t>DT - Compra Carrefour</t>
  </si>
  <si>
    <t>DT - Compra de bebidas Carrefour</t>
  </si>
  <si>
    <t>DT - Compra de pinceles y aguarrás</t>
  </si>
  <si>
    <t>DT - Compra destilados</t>
  </si>
  <si>
    <t>DT - Compra mayorista pasos</t>
  </si>
  <si>
    <t>DT - Compra náutica elementos para amortiguar golpes entre lanchas</t>
  </si>
  <si>
    <t>DT - Compras comidas carrefour</t>
  </si>
  <si>
    <t>DT - Compras de velas de noche deco</t>
  </si>
  <si>
    <t>DT - Desmalezadora Lodge repuesto extractor carrete</t>
  </si>
  <si>
    <t>DT - Farmacia, reposición botiquín lanchas de Noel, Pablo, Fabian, Matías y botiquín Lodge</t>
  </si>
  <si>
    <t>DT - Garrafa</t>
  </si>
  <si>
    <t>DT - Garrafa de gas</t>
  </si>
  <si>
    <t>DT - Helados huéspedes</t>
  </si>
  <si>
    <t>DT - Hielo  4 bolsas</t>
  </si>
  <si>
    <t>DT - Hielo para heladoras</t>
  </si>
  <si>
    <t>DT - Hielos</t>
  </si>
  <si>
    <t>DT - Huevos</t>
  </si>
  <si>
    <t>TI001500000188</t>
  </si>
  <si>
    <t>Ingreso a Caja 001500000188 Obs: 28-02-2026 INCOME OF MONEY</t>
  </si>
  <si>
    <t>000000000226</t>
  </si>
  <si>
    <t>TI001500000189</t>
  </si>
  <si>
    <t>Ingreso a Caja 001500000189 Obs: 28-02-2026 INCOME OF MONEY</t>
  </si>
  <si>
    <t>000000000227</t>
  </si>
  <si>
    <t>DT - Luces para guirnaldas</t>
  </si>
  <si>
    <t>DT - Micro cocinero Andrés de chivilcoy retiro</t>
  </si>
  <si>
    <t>DT - Nafta lancha Noel y fabian</t>
  </si>
  <si>
    <t>DT - Nafta lanchas de Noe y Fabian</t>
  </si>
  <si>
    <t>DT - Nafta lanchas Noe y fabian</t>
  </si>
  <si>
    <t>TE001500000178</t>
  </si>
  <si>
    <t>Extracción de Caja 001500000178 Obs: 23-02-2026  Mov Lodge</t>
  </si>
  <si>
    <t>DT - Pago a Matías guía por 3 full day</t>
  </si>
  <si>
    <t>000000000211</t>
  </si>
  <si>
    <t>TE001500000167</t>
  </si>
  <si>
    <t>Extracción de Caja 001500000167 Obs: 09-02-2026  Mov Lodge</t>
  </si>
  <si>
    <t>DT - Pago a Pablo guia por 3 full day + 1 Transfer</t>
  </si>
  <si>
    <t>000000000207</t>
  </si>
  <si>
    <t>DT - Pago a Rolando por 8 transferencias hechos en enero</t>
  </si>
  <si>
    <t>DT - Pago a Rolando por hacernos compras, llevarse residuos del Lodge y llevar y traer blanqueria</t>
  </si>
  <si>
    <t>DT - Pago a Rolando por: primer canilla debajo de casa Noel para limpiar playa, reemplazo de termota</t>
  </si>
  <si>
    <t>DT - Pago adicional a Alexis por llevarse residuos</t>
  </si>
  <si>
    <t>DT - Pago adicional a Alexis por venir a cortar pasto en días de sus vacaciones</t>
  </si>
  <si>
    <t>DT - Pago adicional a Rolando por llevarse residuos y balanqueria hasta Ecosec 2 veces</t>
  </si>
  <si>
    <t>DT - Pago adicional a Rolando por logística de blanqueria, residuos y hacer y traernos compras</t>
  </si>
  <si>
    <t>DT - Pago adicional Alexis, poda grande con motosierra, trajo garrafas y se llevó residuos</t>
  </si>
  <si>
    <t>DT - Pago ayuda carga descarga compras mayoristas en la Baie</t>
  </si>
  <si>
    <t>DT - Pago complementario a Alexis por piezas y desmalezadas durante 2 half day</t>
  </si>
  <si>
    <t>DT - Pago complementario salario Andrés enero</t>
  </si>
  <si>
    <t>DT - Pago complementario salario enero Karina</t>
  </si>
  <si>
    <t>DT - Pago complementario salario mío mes enero</t>
  </si>
  <si>
    <t>DT - Pago en Baie para que levanten lancha de Fabián como favor (el no es cliente) así un mecánico l</t>
  </si>
  <si>
    <t>DT - Pago nafta de las guiadas de Matías guía</t>
  </si>
  <si>
    <t>DT - Pago Remis a Madero por llevar blanqueria a Ecosec</t>
  </si>
  <si>
    <t>DT - Pago Remis Madero camioneta soporte día de compras</t>
  </si>
  <si>
    <t>DT - Pago reparación lancha Noel a laffranchi, panel de metacrilato que cubre el comando de la lanch</t>
  </si>
  <si>
    <t>DT - Pago total a Remis Madero en día de compras por utilitarios para compras mayorista pasos, carne</t>
  </si>
  <si>
    <t>DT - Pago viaticos Karina ida y vuelta</t>
  </si>
  <si>
    <t>DT - Panadería personal</t>
  </si>
  <si>
    <t>DT - Panceta</t>
  </si>
  <si>
    <t>DT - Perfuminas para habitaciones de huéspedes</t>
  </si>
  <si>
    <t>DT - Pescadería rabas</t>
  </si>
  <si>
    <t>DT - Plantas</t>
  </si>
  <si>
    <t>TE001500000190</t>
  </si>
  <si>
    <t>Extracción de Caja 001500000190 Obs: 28-02-2026  Mov Lodge</t>
  </si>
  <si>
    <t>DT - Propina cobrada con tc a guy wagner el 11/2 invoice 2382 para staff y guías</t>
  </si>
  <si>
    <t>000000000217</t>
  </si>
  <si>
    <t>DT - Propinas staff y guías de invoice 2187 y 2188</t>
  </si>
  <si>
    <t>DT - Reparación arranque motosierra Lodge</t>
  </si>
  <si>
    <t>DT - Repuesto difusor perfumes  para habitaciones de huéspedes</t>
  </si>
  <si>
    <t>DT - Repuesto filtro toma de agua de río</t>
  </si>
  <si>
    <t>DT - Repuestos desmalezadora del Lodge, aceite, grasa, cabezal</t>
  </si>
  <si>
    <t>DT - Salario Andrés cocinero  todo enero</t>
  </si>
  <si>
    <t>DT - Salario Karina todo enero</t>
  </si>
  <si>
    <t>DT - Salario mío todo enero</t>
  </si>
  <si>
    <t>DT - Semillas césped</t>
  </si>
  <si>
    <t>DT - Super chino</t>
  </si>
  <si>
    <t>DT - Súper chino lácteos</t>
  </si>
  <si>
    <t>DT - Tablas con pegamento para roedores</t>
  </si>
  <si>
    <t>DT - Transfer realizado por Pablo guía el 16/2</t>
  </si>
  <si>
    <t>DT - Uber Andrés cocinero de retiro a Palermo casa Noel</t>
  </si>
  <si>
    <t>DT - Uber con compras de Carrefour a Baie</t>
  </si>
  <si>
    <t>DT - Uber mío ida y vuelta</t>
  </si>
  <si>
    <t>DT - Velas deco de noche</t>
  </si>
  <si>
    <t>DT - Viaticos Fabián guía</t>
  </si>
  <si>
    <t>DT- Fee Noel 02-2026</t>
  </si>
  <si>
    <t>DT- Maintenance Fees CC Monthly Fee 02/2026</t>
  </si>
  <si>
    <t>TE001500000187</t>
  </si>
  <si>
    <t>Extracción de Caja 001500000187 Obs: Movimiento_Cajas_Bancos_Semana 25-26 al 20-02-2026</t>
  </si>
  <si>
    <t>DT-2 Cámara de Seguridad Solar Gadnic Lente Dual FHD Conexion Inalambrica Panel Solar Visión Nocturn</t>
  </si>
  <si>
    <t>000000000216</t>
  </si>
  <si>
    <t>DT-4 Cajon Cosechero Canasto Plastico Apilable Super Reforzado Vc Negro F.Fijo Oper. Al 20-02-2026</t>
  </si>
  <si>
    <t>DT-4 Pan Lactal 24x10x10 Sin Tapa Cocina Panaderia Pizzeria Molde Gris F.Fijo Oper. Al 20-02-2026</t>
  </si>
  <si>
    <t>TE001500000201</t>
  </si>
  <si>
    <t>Extracción de Caja 001500000201 Obs: Movimiento_Cajas_Bancos_Semana 25-26 al 06-03-2026</t>
  </si>
  <si>
    <t>DT-Alexis Carra - Honorarios mantenimiento Febrero 2026 Pagos Frank Garrahan-  Al 06-03-2026</t>
  </si>
  <si>
    <t>000000000223</t>
  </si>
  <si>
    <t>TE001500000186</t>
  </si>
  <si>
    <t>Extracción de Caja 001500000186 Obs: Movimiento_Cajas_Bancos_Semana 25-26 al 20-02-2026</t>
  </si>
  <si>
    <t>DT-Caja Lodge   F.Fijo Oper. Al 20-02-2026</t>
  </si>
  <si>
    <t>000000000215</t>
  </si>
  <si>
    <t>13/02/2026</t>
  </si>
  <si>
    <t>TE001500000176</t>
  </si>
  <si>
    <t>Extracción de Caja 001500000176 Obs: Movimiento_Cajas_Bancos_Semana 25-26 al 13-02-2026</t>
  </si>
  <si>
    <t>DT-Caja Lodge F.Fijo Oper. Al 13-02-2026</t>
  </si>
  <si>
    <t>000000000209</t>
  </si>
  <si>
    <t>TE001500000195</t>
  </si>
  <si>
    <t>Extracción de Caja 001500000195 Obs: Movimiento_Cajas_Bancos_Semana 25-26 al 27-02-2026</t>
  </si>
  <si>
    <t>DT-Caja Lodge F.Fijo Oper. Al 27-02-2026</t>
  </si>
  <si>
    <t>000000000221</t>
  </si>
  <si>
    <t>TE001500000177</t>
  </si>
  <si>
    <t>Extracción de Caja 001500000177 Obs: Movimiento_Cajas_Bancos_Semana 25-26 al 13-02-2026</t>
  </si>
  <si>
    <t>DT-Carnes y Verduras - Segunda Quincena Enero Pagos Depsa Valores. Al 13-02-2026</t>
  </si>
  <si>
    <t>000000000210</t>
  </si>
  <si>
    <t>DT-Carnes y verduras semana  23-02 Pagos Frank Garrahan-  Al 27-02-2026</t>
  </si>
  <si>
    <t>DT-Compra 1 envasadora al vacio TS 2200+ 2 rollos bolsas al vacio - Turboblender F.Fijo Oper. Al 27-</t>
  </si>
  <si>
    <t xml:space="preserve">DT-Compra 2 Cámara de Seguridad Solar Gadnic Lente Dual FHD Conexion Inalambrica Panel Solar Visión </t>
  </si>
  <si>
    <t>DT-Compra de artículos de pesca 12/2 Pagos Depsa Valores. Al 20-02-2026</t>
  </si>
  <si>
    <t>DT-Compra freidora moretti fryer 8+ 4 cuba gen 11/6 *150 mm - Gastrobaires F.Fijo Oper. Al 27-02-202</t>
  </si>
  <si>
    <t>DT-Guarderia La Baie - cuota Marzo 2026 Pagos Frank Garrahan-  Al 06-03-2026</t>
  </si>
  <si>
    <t>DT-Honorarios Hector Natera por visita Lodges - monitoreo deinversores F.Fijo Oper. Al 06-03-2026</t>
  </si>
  <si>
    <t>DT-Lavado Blanqueria - Segunda Quincena Enero Pagos Depsa Valores. Al 13-02-2026</t>
  </si>
  <si>
    <t>DT-Propina para guías y staff cobrada con TC a John Herrema - Invoice 0002424 F.Fijo Oper. Al 27-02-</t>
  </si>
  <si>
    <t>TI001500000183</t>
  </si>
  <si>
    <t>Ingreso a Caja 001500000183 Obs: Movimiento_Cajas_Bancos_Semana 25-26 al 20-02-2026</t>
  </si>
  <si>
    <t>DT-Recupero Mix de Vinos - Pago Bressia Wines - Rendido FF OP al 6-2-26 F.Fijo Oper. Al 20-02-2026</t>
  </si>
  <si>
    <t>000000000224</t>
  </si>
  <si>
    <t>DT-Servicio de lavanderia - Segunda quincena febrero Pagos Depsa Valores. Al 20-02-2026</t>
  </si>
  <si>
    <t>DT-Servicio de transfer- Swann Talbott - Enero F.Fijo Oper. Al 13-02-2026</t>
  </si>
  <si>
    <t>DT-Servicio de transfer Swann Talbott - Febrero 02 al 24/02 F.Fijo Oper. Al 06-03-2026</t>
  </si>
  <si>
    <t>DT-Servicio Mensajeria Mensual Enlace - Enero F.Fijo Oper. Al 20-02-2026</t>
  </si>
  <si>
    <t>DT-TriSW Fee CC 02-2026</t>
  </si>
  <si>
    <t>VF000000004422B</t>
  </si>
  <si>
    <t>Asiento de VENTAS (01/09/2025 - 28/2/2026)</t>
  </si>
  <si>
    <t>F B 000000004422</t>
  </si>
  <si>
    <t>Ref. nota de Venta: DEL16
Obs.:16-02-2026_CLIENTES</t>
  </si>
  <si>
    <t>000000000234</t>
  </si>
  <si>
    <t>VF000000004826B</t>
  </si>
  <si>
    <t>F B 000000004826</t>
  </si>
  <si>
    <t>Ref. nota de Venta: DEL29
Obs.:23-02-2026_CLIENTES</t>
  </si>
  <si>
    <t>000000000235</t>
  </si>
  <si>
    <t>VF000000004270B</t>
  </si>
  <si>
    <t>F B 000000004270</t>
  </si>
  <si>
    <t>Ref. nota de Venta: DEL36
Obs.:09-02-2026_CLIENTES</t>
  </si>
  <si>
    <t>000000000232</t>
  </si>
  <si>
    <t>VF000000004827B</t>
  </si>
  <si>
    <t>F B 000000004827</t>
  </si>
  <si>
    <t>Ref. nota de Venta: DEL7
Obs.:23-02-2026_CLIENTES</t>
  </si>
  <si>
    <t>000000000236</t>
  </si>
  <si>
    <t>VF000000004271B</t>
  </si>
  <si>
    <t>F B 000000004271</t>
  </si>
  <si>
    <t>Ref. nota de Venta: DEL74
Obs.:09-02-2026_CLIENTES</t>
  </si>
  <si>
    <t>000000000233</t>
  </si>
  <si>
    <t>VF000000004828B</t>
  </si>
  <si>
    <t>F B 000000004828</t>
  </si>
  <si>
    <t>Ref. nota de Venta: DEL9
Obs.:23-02-2026_CLIENTES</t>
  </si>
  <si>
    <t>000000000237</t>
  </si>
  <si>
    <t>06/02/2026</t>
  </si>
  <si>
    <t>TA001500000168</t>
  </si>
  <si>
    <t>Canje de Valores 001500000168 Obs: DEL-Cambio $ 2,500,000</t>
  </si>
  <si>
    <t>000000000202</t>
  </si>
  <si>
    <t>TA001500000172</t>
  </si>
  <si>
    <t>Canje de Valores 001500000172 Obs: DEL-Cambio $ 2,200,000</t>
  </si>
  <si>
    <t>000000000203</t>
  </si>
  <si>
    <t>TA001500000182</t>
  </si>
  <si>
    <t>Canje de Valores 001500000182 Obs: DEL-Cambio $ 1,100,000</t>
  </si>
  <si>
    <t>000000000204</t>
  </si>
  <si>
    <t>TA001500000193</t>
  </si>
  <si>
    <t>Canje de Valores 001500000193 Obs: DEL-Cambio $ 7,100,000</t>
  </si>
  <si>
    <t>000000000205</t>
  </si>
  <si>
    <t>VR000000004342</t>
  </si>
  <si>
    <t>Asiento de COBRANZAS (01/09/2025 - 28/2/2026)</t>
  </si>
  <si>
    <t>Recibo: 000000004342Cliente: MT340912 Obs: 09-02-2026_COBRANZAS_CLIENTES</t>
  </si>
  <si>
    <t>000000000238</t>
  </si>
  <si>
    <t>VR000000004343</t>
  </si>
  <si>
    <t>Recibo: 000000004343Cliente: MT342311 Obs: 09-02-2026_COBRANZAS_CLIENTES</t>
  </si>
  <si>
    <t>000000000239</t>
  </si>
  <si>
    <t>VR000000004914</t>
  </si>
  <si>
    <t>Recibo: 000000004914Cliente: MT035233 Obs: Cobranza</t>
  </si>
  <si>
    <t>000000000240</t>
  </si>
  <si>
    <t>VR000000005725</t>
  </si>
  <si>
    <t>Recibo: 000000005725Cliente: MT341533 Obs: DEL16- Guy Wagner Extras 25-26 - ID 341533 -EXtras 25/26- -CMSW 02-2026-</t>
  </si>
  <si>
    <t>000000000242</t>
  </si>
  <si>
    <t>VR000000005726</t>
  </si>
  <si>
    <t>Recibo: 000000005726Cliente: MT341533 Obs: DEL16- Guy Wagner Extras 25-26 - ID 341533 -EXtras 25/26- -CMSW 02-2026-</t>
  </si>
  <si>
    <t>000000000243</t>
  </si>
  <si>
    <t>VR000000005727</t>
  </si>
  <si>
    <t>Recibo: 000000005727Cliente: MT040975 Obs: DEL7- John Herrema Extras 25-26 - ID 40975 -EXtras 25/26- -CMSW 02-2026-</t>
  </si>
  <si>
    <t>000000000244</t>
  </si>
  <si>
    <t>VR000000005728</t>
  </si>
  <si>
    <t>Recibo: 000000005728Cliente: MT040975 Obs: DEL7- John Herrema Extras 25-26 - ID 40975 -EXtras 25/26- -CMSW 02-2026-</t>
  </si>
  <si>
    <t>000000000245</t>
  </si>
  <si>
    <t>Real</t>
  </si>
  <si>
    <t>Budget</t>
  </si>
  <si>
    <t>Pasa a uniformes</t>
  </si>
  <si>
    <t>Pasar USD 1000 a M y Utiles cambio termotanqui</t>
  </si>
  <si>
    <t>Pasa a Comida</t>
  </si>
  <si>
    <t>Combusible Botes</t>
  </si>
  <si>
    <t>De este movimiento pasar usd 350 a costo transfers</t>
  </si>
  <si>
    <t>Esto es comida</t>
  </si>
  <si>
    <t>Esto es Comida</t>
  </si>
  <si>
    <t>5227Remuneraciones Guías</t>
  </si>
  <si>
    <t>5252Mantenimiento Rep-Lodge</t>
  </si>
  <si>
    <t>5259Combustible y Lub - Leña</t>
  </si>
  <si>
    <t>5263Servicios - Otros Operativos</t>
  </si>
  <si>
    <t>reimputar de Sueldo Guías a costo transfer unos usd 800 de 4 transfers de Pablo</t>
  </si>
  <si>
    <t>280 usd de sueldo guias a Combustible vehículos-botes.</t>
  </si>
  <si>
    <t>Por encima del budget</t>
  </si>
  <si>
    <t>Guardería Lancha. Si bien nos quedamos solo con una lancha, terminamos teniendo varios meses de doble guardería hasta que la entregamos. El budget debería moverse de USD 2200 a USD 3500 para llegar ok al 31-8</t>
  </si>
  <si>
    <t xml:space="preserve">Justos en sueldo servicio. </t>
  </si>
  <si>
    <t>Vamos a estar OK con el budget de Cargas</t>
  </si>
  <si>
    <t>Cargas de Garrafas - aumento real de Gas - Movería el budget a unos 2200 usd para llegar ok al 31-8</t>
  </si>
  <si>
    <t>Vamos a tener ahorro en uniformes</t>
  </si>
  <si>
    <t>MAR</t>
  </si>
  <si>
    <t>13/03/2026</t>
  </si>
  <si>
    <t>Ingreso a Caja</t>
  </si>
  <si>
    <t>TI001500000213</t>
  </si>
  <si>
    <t>Ingreso a Caja 001500000213 Obs: Movimiento_Cajas_Bancos_Semana 25-26 al 13-03-2026</t>
  </si>
  <si>
    <t>"DEL77- 25/26- Double Haul Travel</t>
  </si>
  <si>
    <t>31/03/2026</t>
  </si>
  <si>
    <t>Extracción de Caja</t>
  </si>
  <si>
    <t>TE001500000226</t>
  </si>
  <si>
    <t>Extracción de Caja 001500000226 Obs: Movimiento_Cajas_Bancos_Semana 25-26 al 03-04-2026</t>
  </si>
  <si>
    <t>DEL- Reintegro Cargas Sociales TA 03-2026 - Managers</t>
  </si>
  <si>
    <t>DEL- Reintegro Cargas Sociales TA 03-2026 - Servicios</t>
  </si>
  <si>
    <t>DEL- Reintegro Sueldos TA 03-2026 - Managers</t>
  </si>
  <si>
    <t>DEL- Reintegro Sueldos TA 03-2026 - Servicios</t>
  </si>
  <si>
    <t>DEL61 -25/26- Richard Holland - Check #109 $5,400 ---- comparte con CAR27 - ValleySW-  50 Checks $ 2</t>
  </si>
  <si>
    <t>TI001500000225</t>
  </si>
  <si>
    <t>Ingreso a Caja 001500000225 Obs: Movimiento_Cajas_Bancos_Semana 25-26 al 03-04-2026</t>
  </si>
  <si>
    <t>DEL64- 25/26- Pre Cobro Extras - ID 41644 - comparte con CL.DU48- ValleyFF- WIRE IN GFT 202603190003</t>
  </si>
  <si>
    <t>09/03/2026</t>
  </si>
  <si>
    <t>TE001500000198</t>
  </si>
  <si>
    <t>Extracción de Caja 001500000198 Obs: 09-03-2026  Mov Lodge</t>
  </si>
  <si>
    <t>TE001500000223</t>
  </si>
  <si>
    <t>Extracción de Caja 001500000223 Obs: 31-03-2026  Mov Lodge</t>
  </si>
  <si>
    <t>DT - 10 bananas</t>
  </si>
  <si>
    <t>DT - 15 bidones de agua</t>
  </si>
  <si>
    <t>DT - 15 bidones de agua  potable</t>
  </si>
  <si>
    <t>DT - 3 garrafas</t>
  </si>
  <si>
    <t>DT - 3 garrafas en almacén Alejandro</t>
  </si>
  <si>
    <t>23/03/2026</t>
  </si>
  <si>
    <t>TE001500000214</t>
  </si>
  <si>
    <t>Extracción de Caja 001500000214 Obs: 23-03-2026  Mov Lodge</t>
  </si>
  <si>
    <t>DT - 4 garrafas de gas</t>
  </si>
  <si>
    <t>16/03/2026</t>
  </si>
  <si>
    <t>TE001500000207</t>
  </si>
  <si>
    <t>Extracción de Caja 001500000207 Obs: 16-03-2026  Mov Lodge</t>
  </si>
  <si>
    <t>DT - Aceite de pescado para cebar</t>
  </si>
  <si>
    <t>DT - Aceite y maples de huevos</t>
  </si>
  <si>
    <t>DT - Almuerzo en tigre Noel</t>
  </si>
  <si>
    <t>DT - Artículos de ferretería, pegamentos la gotita, alambre, tornillos, lamparitas</t>
  </si>
  <si>
    <t>DT - Bebidas</t>
  </si>
  <si>
    <t>DT - Bolsas de hielo</t>
  </si>
  <si>
    <t>DT - Carbón</t>
  </si>
  <si>
    <t>DT - Colombraro tapers carnada</t>
  </si>
  <si>
    <t>DT - Compra de 1 pollo entero almacén las Playitas de Alejandro</t>
  </si>
  <si>
    <t>DT - Compra de 2 cremas almacén Alejandro las Playitas</t>
  </si>
  <si>
    <t>DT - Compra de 6 árboles tipo palmeras para la laguna</t>
  </si>
  <si>
    <t>DT - Compra de bombones para la aperturas chocolates dina</t>
  </si>
  <si>
    <t>DT - Compra de helados en tigre heladería orly</t>
  </si>
  <si>
    <t>DT - Compra panadería pan personal</t>
  </si>
  <si>
    <t>DT - Compra panceta súper chino</t>
  </si>
  <si>
    <t>DT - Compra Verduleria Noel</t>
  </si>
  <si>
    <t>DT - Compras jumbo suministros cocina almacén</t>
  </si>
  <si>
    <t>DT - Compras Rolando en carrefour</t>
  </si>
  <si>
    <t>DT - Compras Verduleria</t>
  </si>
  <si>
    <t>DT - Hielo compra Noe</t>
  </si>
  <si>
    <t>DT - Huevos almacén Alejandro</t>
  </si>
  <si>
    <t>TI001500000205</t>
  </si>
  <si>
    <t>Ingreso a Caja 001500000205 Obs: 16-03-2026 INCOME OF MONEY</t>
  </si>
  <si>
    <t>TI001500000206</t>
  </si>
  <si>
    <t>Ingreso a Caja 001500000206 Obs: 16-03-2026  Mov Lodge</t>
  </si>
  <si>
    <t>TI001500000220</t>
  </si>
  <si>
    <t>Ingreso a Caja 001500000220 Obs: 31-03-2026  Mov Lodge</t>
  </si>
  <si>
    <t>TI001500000221</t>
  </si>
  <si>
    <t>Ingreso a Caja 001500000221 Obs: 31-03-2026  Mov Lodge</t>
  </si>
  <si>
    <t>DT - Lácteos sin lactosa</t>
  </si>
  <si>
    <t>DT - Máquina aire adora para carnada viva</t>
  </si>
  <si>
    <t>DT - Nafta almacén Alejandro compra Noel para guiada por Uruguay</t>
  </si>
  <si>
    <t>DT - Nafta compra Noe</t>
  </si>
  <si>
    <t>DT - Nafta compra Noel</t>
  </si>
  <si>
    <t>DT - Nafta lancha Matías guía fechas 09/3 y 18/3</t>
  </si>
  <si>
    <t>DT - Nafta lanchas</t>
  </si>
  <si>
    <t>DT - Nafta lanchas Lodge</t>
  </si>
  <si>
    <t>DT - Nafta ypf compra Noe</t>
  </si>
  <si>
    <t>DT - Nafta ypf Noel</t>
  </si>
  <si>
    <t>DT - Pago a Alexis adicional por ir a buscarnos aguas</t>
  </si>
  <si>
    <t>DT - Pago a Alexis por ir a buscar a almacén las Playitas de Alejandro agua, carbón, gas</t>
  </si>
  <si>
    <t>DT - Pago a Alexis por ir a buscar las garrafas a almacén Alejandro las Playitas</t>
  </si>
  <si>
    <t>DT - Pago a Ana por mermeladas caseras de la isla para huéspedes</t>
  </si>
  <si>
    <t>TE001500000208</t>
  </si>
  <si>
    <t>Extracción de Caja 001500000208 Obs: 16-03-2026  Mov Lodge</t>
  </si>
  <si>
    <t>DT - Pago a Fabián  guía por 9 FD que hizo entre el 15/1 y el 15/2</t>
  </si>
  <si>
    <t>TE001500000222</t>
  </si>
  <si>
    <t>Extracción de Caja 001500000222 Obs: 31-03-2026  Mov Lodge</t>
  </si>
  <si>
    <t>DT - Pago a Lucía cocinera por fechas que cubrió en delta por urgencia de Andrés ( visto con Sofía-M</t>
  </si>
  <si>
    <t>DT - Pago a Matías guía por 3 fd</t>
  </si>
  <si>
    <t>TE001500000197</t>
  </si>
  <si>
    <t>Extracción de Caja 001500000197 Obs: 09-03-2026  Mov Lodge</t>
  </si>
  <si>
    <t>DT - Pago a Pablo guía fechas 20-2//1-3//2-3//3-3//4-3</t>
  </si>
  <si>
    <t>DT - Pago a Pablo guía por 4 fd y 2 HD</t>
  </si>
  <si>
    <t>DT - Pago a Pablo guía por 6 Transfers</t>
  </si>
  <si>
    <t>DT - Pago a Pablo guía Transfers hechos fechas 21-2//24-2(se pagó 250 por desviarse y retirar compra</t>
  </si>
  <si>
    <t>DT - Pago a Rolando 5 Transfers de febrero</t>
  </si>
  <si>
    <t>DT - Pago adicional a Alexis por 2 viajes diferentes en los que fue a buscar garrafas, bidones de ag</t>
  </si>
  <si>
    <t>DT - Pago adicional a Alexis por ir a buscar a Fabián guía a la hostería los Pecanes</t>
  </si>
  <si>
    <t>DT - Pago adicional a Alexis por tarea grande de mover un árbol que instruía todo el río y llevársel</t>
  </si>
  <si>
    <t>DT - Pago adicional a Rolando por hacernos compras de Verduleria, carnicería, almacén , bolsas de ro</t>
  </si>
  <si>
    <t>DT - Pago propina cobrada con tc a john herrema el 16/2 invoice 2424 a staff y guías</t>
  </si>
  <si>
    <t>TE001500000215</t>
  </si>
  <si>
    <t>Extracción de Caja 001500000215 Obs: 23-03-2026  Mov Lodge</t>
  </si>
  <si>
    <t>DT - Pago salario Andrés cocinero mes febrero</t>
  </si>
  <si>
    <t>DT - Pago salario Karina mucama camarera mes febrero</t>
  </si>
  <si>
    <t>DT - Pago salario mío mes febrero</t>
  </si>
  <si>
    <t>DT - Serrucho curvo para podas de ramas a mano</t>
  </si>
  <si>
    <t>DT - Súper chino comida</t>
  </si>
  <si>
    <t>DT - Tostadora nueva para living huéspedes</t>
  </si>
  <si>
    <t>DT - Uber compras (auto de Noel roto)</t>
  </si>
  <si>
    <t>DT - Uber para compras que hizo lucia el día que vino al Lodge a reforzar cocina</t>
  </si>
  <si>
    <t>DT - Uber que se tomó Fabián para hacernos compras</t>
  </si>
  <si>
    <t>DT - Viaticos Fabián guía, salida febrero e ingreso marzo</t>
  </si>
  <si>
    <t>DT- Fee Noel 03-2026</t>
  </si>
  <si>
    <t>DT- Maintenance Fees CC Monthly Fee 03/2026</t>
  </si>
  <si>
    <t>DT- TriSW- AMEX - Marzo 2026- =DLOSPOTIFY         CABA                AR- -02/27/2026</t>
  </si>
  <si>
    <t>DT- TriSW- AMEX - Marzo 2026- =DLOSTARLINK        CABA                AR- -02/23/2026</t>
  </si>
  <si>
    <t>DT-Anticipo 50% - 10 platos 25 cm negro -Luis Goldfarb F.Fijo Oper. Al 27-03-2026</t>
  </si>
  <si>
    <t>TE001500000227</t>
  </si>
  <si>
    <t>Extracción de Caja 001500000227 Obs: Movimiento_Cajas_Bancos_Semana 25-26 al 03-04-2026</t>
  </si>
  <si>
    <t>DT-Anticipo 50% - Uniformes managers - temporada 2026 - Uniformes Express F.Fijo Oper. Al 27-03-2026</t>
  </si>
  <si>
    <t>20/03/2026</t>
  </si>
  <si>
    <t>TE001500000218</t>
  </si>
  <si>
    <t>Extracción de Caja 001500000218 Obs: Movimiento_Cajas_Bancos_Semana 25-26 al 20-03-2026</t>
  </si>
  <si>
    <t>DT-Caja Lodge - enviado viernes 13-03 Guarderia F.Fijo Oper. Al 20-03-2026</t>
  </si>
  <si>
    <t>06/03/2026</t>
  </si>
  <si>
    <t>TE001500000200</t>
  </si>
  <si>
    <t>Extracción de Caja 001500000200 Obs: Movimiento_Cajas_Bancos_Semana 25-26 al 06-03-2026</t>
  </si>
  <si>
    <t>DT-Caja Lodge F.Fijo Oper. Al 06-03-2026</t>
  </si>
  <si>
    <t>TE001500000219</t>
  </si>
  <si>
    <t>Extracción de Caja 001500000219 Obs: Movimiento_Cajas_Bancos_Semana 25-26 al 20-03-2026</t>
  </si>
  <si>
    <t>DT-Caja Lodge F.Fijo Oper. Al 20-03-2026</t>
  </si>
  <si>
    <t>DT-Caja Lodge F.Fijo Oper. Al 27-03-2026</t>
  </si>
  <si>
    <t>DT-Compra carnes y verduras semana  13/3 Pagos Frank Garrahan-  Al 27-03-2026</t>
  </si>
  <si>
    <t>TE001500000210</t>
  </si>
  <si>
    <t>Extracción de Caja 001500000210 Obs: Movimiento_Cajas_Bancos_Semana 25-26 al 13-03-2026</t>
  </si>
  <si>
    <t>DT-Compra de carnes y verduras realizada el dia Viernes 27/2 para cubrir Marzo Pagos Frank Garrahan-</t>
  </si>
  <si>
    <t>DT-Compra marco digital frameo 10.1 F.Fijo Oper. Al 27-03-2026</t>
  </si>
  <si>
    <t>DT-Diseño Tito - uniformes F.Fijo Oper. Al 03-04-2026</t>
  </si>
  <si>
    <t>DT-Mayorista Paso (Periodo del 01/4 al 30/4) Pagos Frank Garrahan-  Al 27-03-2026</t>
  </si>
  <si>
    <t xml:space="preserve">DT-Reposicion articulos de pesca - Compra articulos de pesca realizada por Noel el Sabado 7/3 Pagos </t>
  </si>
  <si>
    <t>DT-Reposición Campera Soft Shell con logo - Temporada 2026 - Elvio Braman F.Fijo Oper. Al 27-03-2026</t>
  </si>
  <si>
    <t>DT-Reposición Chaleco Matelaseado Negro Housekeeping + Chaleco Matelaseado Managers Hombre - Tempora</t>
  </si>
  <si>
    <t>DT-Reposicion de carnes y verduras - semana 27-03 Pagos Depsa Valores-  Al 01-04-2026</t>
  </si>
  <si>
    <t>DT-Reposición uniformes camisas HSK - temporada 2026 - Eileen Folgado F.Fijo Oper. Al 27-03-2026</t>
  </si>
  <si>
    <t>DT-Reposición uniformes cocina - temporada 2026 - Savastano F.Fijo Oper. Al 27-03-2026</t>
  </si>
  <si>
    <t>DT-Service lancha lodge 19/3 Pagos Frank Garrahan-  Al 27-03-2026</t>
  </si>
  <si>
    <t>DT-Servicio de lavado de blanqueria realizado el Martes 10/3 por nuestro proveedor ecosec (grupos de</t>
  </si>
  <si>
    <t>DT-Servicio de lavanderia 17/3 Pagos Frank Garrahan-  Al 27-03-2026</t>
  </si>
  <si>
    <t>DT-Servicio de Mensajeria Mensual Enlace - Febrero F.Fijo Oper. Al 20-03-2026</t>
  </si>
  <si>
    <t>Factura de Venta</t>
  </si>
  <si>
    <t>0001500000021</t>
  </si>
  <si>
    <t>F B 000000005523</t>
  </si>
  <si>
    <t>Ref. nota de Venta: DEL22
Obs.:09-03-2026_CLIENTES</t>
  </si>
  <si>
    <t>000000000250</t>
  </si>
  <si>
    <t>0001500000023</t>
  </si>
  <si>
    <t>F B 000000006320</t>
  </si>
  <si>
    <t>Ref. nota de Venta: DEL25
Obs.:23-03-2026_CLIENTES</t>
  </si>
  <si>
    <t>000000000252</t>
  </si>
  <si>
    <t>0001500000024</t>
  </si>
  <si>
    <t>F B 000000006321</t>
  </si>
  <si>
    <t>000000000253</t>
  </si>
  <si>
    <t>0001500000022</t>
  </si>
  <si>
    <t>F B 000000005969</t>
  </si>
  <si>
    <t>Ref. nota de Venta: DEL78
Obs.:16-03-2026_CLIENTES</t>
  </si>
  <si>
    <t>000000000251</t>
  </si>
  <si>
    <t>Recibo</t>
  </si>
  <si>
    <t>Recibo: 000000005629Cliente: MT341677 Obs: 09-03-2026_COBRANZAS_CLIENTES</t>
  </si>
  <si>
    <t>000000000246</t>
  </si>
  <si>
    <t>Canje de Valores</t>
  </si>
  <si>
    <t>TA001500000209</t>
  </si>
  <si>
    <t>Canje de Valores 001500000209 Obs: DEL-Cambio $ 2,000,000</t>
  </si>
  <si>
    <t>Recibo: 000000006179Cliente: MT042646 Obs: 16-03-2026_COBRANZAS_CLIENTES</t>
  </si>
  <si>
    <t>000000000247</t>
  </si>
  <si>
    <t>TA001500000217</t>
  </si>
  <si>
    <t>Canje de Valores 001500000217 Obs: DEL-Cambio $ 2,700,000</t>
  </si>
  <si>
    <t>22/03/2026</t>
  </si>
  <si>
    <t>TA001500000216</t>
  </si>
  <si>
    <t>Canje de Valores 001500000216 Obs: DT - Cambio 500 usd a $1400</t>
  </si>
  <si>
    <t>Recibo: 000000006382Cliente: MT029253 Obs: 23-03-2026_COBRANZAS_CLIENTES</t>
  </si>
  <si>
    <t>000000000248</t>
  </si>
  <si>
    <t>Recibo: 000000006383Cliente: MT037267 Obs: 23-03-2026_COBRANZAS_CLIENTES</t>
  </si>
  <si>
    <t>000000000249</t>
  </si>
  <si>
    <t>Wilson Griffith</t>
  </si>
  <si>
    <t>DEL59</t>
  </si>
  <si>
    <t>John Mathy</t>
  </si>
  <si>
    <t>DEL22</t>
  </si>
  <si>
    <t>Warren Chetosky</t>
  </si>
  <si>
    <t>DEL21</t>
  </si>
  <si>
    <t>Virgil Bradford</t>
  </si>
  <si>
    <t>DEL23</t>
  </si>
  <si>
    <t>Doug Updenkelder</t>
  </si>
  <si>
    <t>DEL73</t>
  </si>
  <si>
    <t>Jay Jandrin</t>
  </si>
  <si>
    <t>DEL46</t>
  </si>
  <si>
    <t>Dan Wenzlaff</t>
  </si>
  <si>
    <t>DEL78</t>
  </si>
  <si>
    <t>Gary Lee</t>
  </si>
  <si>
    <t>DEL27</t>
  </si>
  <si>
    <t>Kevin Rowland</t>
  </si>
  <si>
    <t>DEL25</t>
  </si>
  <si>
    <t>Alan Boyce</t>
  </si>
  <si>
    <t>DEL63</t>
  </si>
  <si>
    <t>Brian Eliason</t>
  </si>
  <si>
    <t>DEL79</t>
  </si>
  <si>
    <t>Charlie Hohenshelt</t>
  </si>
  <si>
    <t>DEL81</t>
  </si>
  <si>
    <t>DEL68</t>
  </si>
  <si>
    <t>Brian Eckel</t>
  </si>
  <si>
    <t>DEL32</t>
  </si>
  <si>
    <t>Andy Crabill</t>
  </si>
  <si>
    <t>DEL41</t>
  </si>
  <si>
    <t>William Grinde</t>
  </si>
  <si>
    <t>DEL45</t>
  </si>
  <si>
    <t>Rick Engle</t>
  </si>
  <si>
    <t>DEL77</t>
  </si>
  <si>
    <t>Arrival (date) APP</t>
  </si>
  <si>
    <t>Departure (date) APP</t>
  </si>
  <si>
    <t>Arrival (date) Ventas</t>
  </si>
  <si>
    <t>Departure (date) Ventas</t>
  </si>
  <si>
    <t>Se equilibro sueldos Guias con el paso de los meses, se fue devenganlo lo mensual de Noe.</t>
  </si>
  <si>
    <t>Real pasados, sumaria 2K a mantenimiento (1K a Lodge y 1K a Botes)</t>
  </si>
  <si>
    <t>ABR</t>
  </si>
  <si>
    <t>30/04/2026</t>
  </si>
  <si>
    <t>TE001500000262</t>
  </si>
  <si>
    <t>Asiento de CAJA (01/09/2025 - 30042026)</t>
  </si>
  <si>
    <t>Extracción de Caja 001500000262 Obs: AJ REC COMISIONES TJ</t>
  </si>
  <si>
    <t>AJ REC COMISIONES TJ</t>
  </si>
  <si>
    <t>000000000303</t>
  </si>
  <si>
    <t>TE001500000252</t>
  </si>
  <si>
    <t>Extracción de Caja 001500000252 Obs: Movimiento_Cajas_Bancos_Semana 25-26 al 01-05-2026</t>
  </si>
  <si>
    <t>DEL- Reintegro Cargas Sociales TA 04-2026 - Managers</t>
  </si>
  <si>
    <t>000000000299</t>
  </si>
  <si>
    <t>DEL- Reintegro Cargas Sociales TA 04-2026 - Servicios</t>
  </si>
  <si>
    <t>DEL- Reintegro Sueldos TA 04-2026 - Managers</t>
  </si>
  <si>
    <t>DEL- Reintegro Sueldos TA 04-2026 - Servicios</t>
  </si>
  <si>
    <t>24/04/2026</t>
  </si>
  <si>
    <t>TI001500000246</t>
  </si>
  <si>
    <t>Ingreso a Caja 001500000246 Obs: Movimiento_Cajas_Bancos_Semana 25-26 al 24-04-2026</t>
  </si>
  <si>
    <t xml:space="preserve">DEL10- 26/27-Cobro FC A 022-004 $ 1.482.275,00 +FC A 022-005 $ 1.482.275,00  - INFORMATION BA SRL - </t>
  </si>
  <si>
    <t>000000000305</t>
  </si>
  <si>
    <t>TI001500000259</t>
  </si>
  <si>
    <t>Ingreso a Caja 001500000259 Obs: Movimiento_Cajas_Bancos_Semana 25-26 al 08-05-2026</t>
  </si>
  <si>
    <t>DEL11 -26/27-Mark Moorman -CMSW 04-2026- CC x MTP $5,275</t>
  </si>
  <si>
    <t>000000000308</t>
  </si>
  <si>
    <t>TE001500000257</t>
  </si>
  <si>
    <t>Extracción de Caja 001500000257 Obs: Movimiento_Cajas_Bancos_Semana 25-26 al 08-05-2026</t>
  </si>
  <si>
    <t>DEL11 -26/27-Mark Moorman -CMSW 04-2026- CC x MTP $5,275-CC</t>
  </si>
  <si>
    <t>000000000301</t>
  </si>
  <si>
    <t>DEL12 -26/27-David Neithercut -CMSW 04-2026- CC x MTP $1,824.19</t>
  </si>
  <si>
    <t>DEL12 -26/27-David Neithercut -CMSW 04-2026- CC x MTP $1,824.19-CC</t>
  </si>
  <si>
    <t>DEL12 -26/27-Mark Neithercut -CMSW 04-2026- CC x MTP $1,824.19</t>
  </si>
  <si>
    <t>DEL12 -26/27-Mark Neithercut -CMSW 04-2026- CC x MTP $1,824.19-CC</t>
  </si>
  <si>
    <t>DEL12 -26/27-Peter Neithercut -CMSW 04-2026- CC x MTP $1,824.19</t>
  </si>
  <si>
    <t>DEL12 -26/27-Peter Neithercut -CMSW 04-2026- CC x MTP $1,824.19-CC</t>
  </si>
  <si>
    <t>DEL13 -26/27-Andrew P. Schwartz -CMSW 04-2026- CC x MTP $1,723.28 --- comparte con CAR2</t>
  </si>
  <si>
    <t>DEL13 -26/27-Andrew P. Schwartz -CMSW 04-2026- CC x MTP $1,723.28 --- comparte con CAR2-CC</t>
  </si>
  <si>
    <t>DEL13 -26/27-Michael Bakalars -CMSW 04-2026- CC x MTP $3,330 --- comparte con CAR2</t>
  </si>
  <si>
    <t>DEL13 -26/27-Michael Bakalars -CMSW 04-2026- CC x MTP $3,330 --- comparte con CAR2-CC</t>
  </si>
  <si>
    <t>DEL4 -26/27-Francisco Javier Rodriguez -CMSW 04-2026- CC x MTP $1,800</t>
  </si>
  <si>
    <t>DEL4 -26/27-Francisco Javier Rodriguez -CMSW 04-2026- CC x MTP $1,800-CC</t>
  </si>
  <si>
    <t>DEL6 -26/27-Cody Naquin -CMSW 04-2026- CC x MTP $1,910 ---- comparte con CA.DU17</t>
  </si>
  <si>
    <t>DEL6 -26/27-Cody Naquin -CMSW 04-2026- CC x MTP $1,910 ---- comparte con CA.DU17-CC</t>
  </si>
  <si>
    <t>TI001500000261</t>
  </si>
  <si>
    <t>Ingreso a Caja 001500000261 Obs: Movimiento_Cajas_Bancos_Semana 25-26 al 08-05-2026</t>
  </si>
  <si>
    <t>DEL69-Steve Newman-Extras 25-26-ID-342249 -EXtras 25/26- -CMSW 04-2026-</t>
  </si>
  <si>
    <t>000000000309</t>
  </si>
  <si>
    <t>DEL69-Steve Newman-Extras 25-26-ID-342249 -EXtras 25/26- -CMSW 04-2026- -CC</t>
  </si>
  <si>
    <t>DEL75- 25/26- Refund - ValleySW- CHECK # 1092 - $ 950,00 - DEL75 25-26 Refund</t>
  </si>
  <si>
    <t>DEL77-Rick Engle-Extras 25-26-ID-29558 -EXtras 25/26- -CMSW 04-2026-</t>
  </si>
  <si>
    <t>DEL77-Rick Engle-Extras 25-26-ID-29558 -EXtras 25/26- -CMSW 04-2026- -CC</t>
  </si>
  <si>
    <t>DEL9- 26/27-Cobro FC A 022-004 $ 1.482.275,00 +FC A 022-005 $ 1.482.275,00  - INFORMATION BA SRL - T</t>
  </si>
  <si>
    <t>06/04/2026</t>
  </si>
  <si>
    <t>TE001500000229</t>
  </si>
  <si>
    <t>Extracción de Caja 001500000229 Obs: 06-04-2026  Mov Lodge</t>
  </si>
  <si>
    <t>DT - 4 bolsas de carbón</t>
  </si>
  <si>
    <t>000000000284</t>
  </si>
  <si>
    <t>DT - 4 garrafas</t>
  </si>
  <si>
    <t>20/04/2026</t>
  </si>
  <si>
    <t>TE001500000238</t>
  </si>
  <si>
    <t>Extracción de Caja 001500000238 Obs: 20-04-2026  Mov Lodge</t>
  </si>
  <si>
    <t>000000000291</t>
  </si>
  <si>
    <t>TE001500000250</t>
  </si>
  <si>
    <t>Extracción de Caja 001500000250 Obs: 30-04-2026  Mov Lodge</t>
  </si>
  <si>
    <t>DT - Aceite 2t para desmalezadora</t>
  </si>
  <si>
    <t>000000000298</t>
  </si>
  <si>
    <t>DT - Almuerzo staff (Fabián,Noel,Karina, Andrés y yo)</t>
  </si>
  <si>
    <t>13/04/2026</t>
  </si>
  <si>
    <t>TE001500000230</t>
  </si>
  <si>
    <t>Extracción de Caja 001500000230 Obs: 13-04-2026  Mov Lodge</t>
  </si>
  <si>
    <t>000000000285</t>
  </si>
  <si>
    <t>DT - Artículos de ferretería, cabos, formón, bombitas de luz, pegamento para roedores</t>
  </si>
  <si>
    <t>DT - Artículos de ferretería, pinceles, barniz, cinta aisladora, tornillos</t>
  </si>
  <si>
    <t>DT - Ayuda carga y descarga de compras en la Baie</t>
  </si>
  <si>
    <t>DT - Bebidas lodge</t>
  </si>
  <si>
    <t>DT - Boleto de micro Andrés</t>
  </si>
  <si>
    <t>DT - Bolsas de residuos</t>
  </si>
  <si>
    <t>DT - Bolsas de rolito</t>
  </si>
  <si>
    <t>DT - Bombitas de luz</t>
  </si>
  <si>
    <t>DT - Bombones Dina compra Noel para huéspedes</t>
  </si>
  <si>
    <t>DT - Botas para Noel</t>
  </si>
  <si>
    <t>DT - Cebo-carnada</t>
  </si>
  <si>
    <t>DT - Compra artículos de pesca Noel</t>
  </si>
  <si>
    <t>DT - Compra de cerradura y 1 copia de llave adicional para puerta cocina</t>
  </si>
  <si>
    <t>DT - Compra de destilados</t>
  </si>
  <si>
    <t>DT - Compra de servilletas</t>
  </si>
  <si>
    <t>DT - Compra en casa de sanitarios Nicuesa</t>
  </si>
  <si>
    <t>DT - Compra en Nicuesa elementos de plomeria</t>
  </si>
  <si>
    <t>DT - Compra jumbo</t>
  </si>
  <si>
    <t>DT - Compra Nicuesa filtro de partículas para gas envasado más adaptadores y un regulador de presión</t>
  </si>
  <si>
    <t>DT - Compra Noel de artículos para transportar peces vivos</t>
  </si>
  <si>
    <t>DT - Compras de 2 cajas de tornillos para maderas y 3 cajas de pegamento para roedores</t>
  </si>
  <si>
    <t>DT - Compras súper chino</t>
  </si>
  <si>
    <t>DT - Helados</t>
  </si>
  <si>
    <t>DT - Hielo para heladoras día de compras</t>
  </si>
  <si>
    <t>DT - Ida y regreso míos</t>
  </si>
  <si>
    <t>DT - Ida y vuelta mía</t>
  </si>
  <si>
    <t>DT - Ida y vuelta mías tigre-lomas</t>
  </si>
  <si>
    <t>DT - Idea y vuelta mía de tigre a lomas</t>
  </si>
  <si>
    <t>TI001500000247</t>
  </si>
  <si>
    <t>Ingreso a Caja 001500000247 Obs: 30-04-2026 INCOME OF MONEY</t>
  </si>
  <si>
    <t>000000000306</t>
  </si>
  <si>
    <t>TI001500000248</t>
  </si>
  <si>
    <t>Ingreso a Caja 001500000248 Obs: 30-04-2026  Mov Lodge</t>
  </si>
  <si>
    <t>000000000307</t>
  </si>
  <si>
    <t>DT - Pago a Alexis por ir a buscar garrafas, carbón y agua</t>
  </si>
  <si>
    <t>DT - Pago a Alexis por reparar toma de agua de la torre principal (se paga como plus aparte ya que v</t>
  </si>
  <si>
    <t>TE001500000231</t>
  </si>
  <si>
    <t>Extracción de Caja 001500000231 Obs: 13-04-2026  Mov Lodge</t>
  </si>
  <si>
    <t>DT - Pago a Karina por 2 días de marzo que por error no le estaba contabilizando en el pago anterior</t>
  </si>
  <si>
    <t>000000000286</t>
  </si>
  <si>
    <t>DT - Pago a personal de la Baie por ayuda de carga y descarga</t>
  </si>
  <si>
    <t>TE001500000228</t>
  </si>
  <si>
    <t>Extracción de Caja 001500000228 Obs: 06-04-2026  Mov Lodge</t>
  </si>
  <si>
    <t>DT - Pago a Rolando por 5 Transfers</t>
  </si>
  <si>
    <t>000000000283</t>
  </si>
  <si>
    <t>DT - Pago adicional a Alexis por ir a buscar garrafas, carbón y bidones de agua</t>
  </si>
  <si>
    <t>DT - Pago complementario salió Andrés abril</t>
  </si>
  <si>
    <t>DT - Pago complementario sueldo mío marzo por 20 usd</t>
  </si>
  <si>
    <t>DT - Pago Remis compras</t>
  </si>
  <si>
    <t>DT - Pago Remis Noel</t>
  </si>
  <si>
    <t>DT - Pago salario Andrés todo marzo</t>
  </si>
  <si>
    <t>DT - Pago salario Fabián guía por fechas de marzo</t>
  </si>
  <si>
    <t>DT - Pago salario Karina todo marzo</t>
  </si>
  <si>
    <t>TE001500000249</t>
  </si>
  <si>
    <t>Extracción de Caja 001500000249 Obs: 30-04-2026  Mov Lodge</t>
  </si>
  <si>
    <t>DT - Pago salario mío abril</t>
  </si>
  <si>
    <t>000000000297</t>
  </si>
  <si>
    <t>DT - Pago salario mío complementario</t>
  </si>
  <si>
    <t>DT - Pago salario mío todo marzo</t>
  </si>
  <si>
    <t>DT - Pago salió Andrés cocinero abril</t>
  </si>
  <si>
    <t>DT - Pago salió Karina abril</t>
  </si>
  <si>
    <t>DT - Pago Uber Andrés de retiro a tigre</t>
  </si>
  <si>
    <t>DT - Pago Uber compras</t>
  </si>
  <si>
    <t>DT - Paneras de mimbre x 2</t>
  </si>
  <si>
    <t>DT - Papelería, resma a4 y rollo aluminio para cocina</t>
  </si>
  <si>
    <t>DT - Pescadería filet de Brotola</t>
  </si>
  <si>
    <t>TE001500000239</t>
  </si>
  <si>
    <t>Extracción de Caja 001500000239 Obs: 20-04-2026  Mov Lodge</t>
  </si>
  <si>
    <t>DT - Propina para staff y guías que dejó richard eric engel el 1 de abril invoice 02973</t>
  </si>
  <si>
    <t>000000000292</t>
  </si>
  <si>
    <t>DT - Remis blanqueria Ecosec logística</t>
  </si>
  <si>
    <t>DT - Remis compras (auto de Noel roto)</t>
  </si>
  <si>
    <t>DT - Remis Madero llevar blanqueria a Ecosec</t>
  </si>
  <si>
    <t>DT - Remis Madero para compras mayorista</t>
  </si>
  <si>
    <t>DT - Remis Noel y Fabián</t>
  </si>
  <si>
    <t>DT - Remis y micro de Fabián guía</t>
  </si>
  <si>
    <t>DT - rollos de cocina</t>
  </si>
  <si>
    <t>DT - Supermercado jumbo</t>
  </si>
  <si>
    <t>DT - Uber compras con Noel</t>
  </si>
  <si>
    <t>DT - Uber compras por tigre</t>
  </si>
  <si>
    <t>DT - Uber noel</t>
  </si>
  <si>
    <t>DT - Veneno cucarachas</t>
  </si>
  <si>
    <t>DT - Viaje Noel ida a su casa</t>
  </si>
  <si>
    <t>DT - Viaje Noel regreso</t>
  </si>
  <si>
    <t>DT - Viaticos Karina por 2 veces que entro y salió del Lodge (marzo y abril )</t>
  </si>
  <si>
    <t xml:space="preserve">DT - Visto con Sofía-Noel pago a Lucia por costo de cambio de un aéreo para poder quedarse a cubrir </t>
  </si>
  <si>
    <t>DT- Fee Noel 04-2026</t>
  </si>
  <si>
    <t>DT- Maintenance Fees CC Monthly Fee 04/2026</t>
  </si>
  <si>
    <t>DT- TriSW- AMEX - Abril 2026- =DLOSTARLINK        CABA                AR- -04/19/2026</t>
  </si>
  <si>
    <t>DT- TriSW- AMEX - Abril 2026- DLO*SPOTIFY 99999999CABA- -03/27/2026</t>
  </si>
  <si>
    <t>TE001500000258</t>
  </si>
  <si>
    <t>Extracción de Caja 001500000258 Obs: Movimiento_Cajas_Bancos_Semana 25-26 al 08-05-2026</t>
  </si>
  <si>
    <t>DT-Alexis Carra - Honorarios mantenimiento Abril 2026 Pagos Frank Garrahan-  Al 08-05-2026</t>
  </si>
  <si>
    <t>000000000302</t>
  </si>
  <si>
    <t>TE001500000253</t>
  </si>
  <si>
    <t>Extracción de Caja 001500000253 Obs: Movimiento_Cajas_Bancos_Semana 25-26 al 01-05-2026</t>
  </si>
  <si>
    <t>DT-Anticipo 50% - 5 libros recetas TKG 2026 - Latin Grafica F.Fijo Oper. Al 01-05-2026</t>
  </si>
  <si>
    <t>000000000300</t>
  </si>
  <si>
    <t>10/04/2026</t>
  </si>
  <si>
    <t>TE001500000236</t>
  </si>
  <si>
    <t>Extracción de Caja 001500000236 Obs: Movimiento_Cajas_Bancos_Semana 25-26 al 10-04-2026</t>
  </si>
  <si>
    <t>DT-Caja Lodge -  F.Fijo Oper. Al 10-04-2026</t>
  </si>
  <si>
    <t>000000000290</t>
  </si>
  <si>
    <t>TE001500000234</t>
  </si>
  <si>
    <t>Extracción de Caja 001500000234 Obs: Movimiento_Cajas_Bancos_Semana 25-26 al 10-04-2026</t>
  </si>
  <si>
    <t>DT-Caja Lodge  F.Fijo Oper. Al 10-04-2026</t>
  </si>
  <si>
    <t>000000000288</t>
  </si>
  <si>
    <t>TE001500000244</t>
  </si>
  <si>
    <t>Extracción de Caja 001500000244 Obs: Movimiento_Cajas_Bancos_Semana 25-26 al 24-04-2026</t>
  </si>
  <si>
    <t>DT-Caja Lodge F.Fijo Oper. Al 24-04-2026</t>
  </si>
  <si>
    <t>000000000295</t>
  </si>
  <si>
    <t>TE001500000245</t>
  </si>
  <si>
    <t>Extracción de Caja 001500000245 Obs: Movimiento_Cajas_Bancos_Semana 25-26 al 24-04-2026</t>
  </si>
  <si>
    <t>000000000296</t>
  </si>
  <si>
    <t>DT-Compra 10 litros aceite de oliva  F.Fijo Oper. Al 24-04-2026</t>
  </si>
  <si>
    <t>DT-Compra carnes y verduras segunda quincena Abril Pagos Frank Garrahan-  Al 24-04-2026</t>
  </si>
  <si>
    <t>DT-Envio pizarras tragos CBA - Oficina F.Fijo Oper. Al 24-04-2026</t>
  </si>
  <si>
    <t>DT-Guarderia La Baie - cuota Abril 2026 Pagos Frank Garrahan-  Al 08-05-2026</t>
  </si>
  <si>
    <t>DT-Mayorista Pasos - alimentos - periodo del 1/5 al 25/5 Pagos Frank Garrahan-  Al 24-04-2026</t>
  </si>
  <si>
    <t>DT-Reparaciones auto Noel-Lodge - Kit bujias +alineación +retenes +bulones + aceite+ manguera de ven</t>
  </si>
  <si>
    <t>DT-Reposicion de artículos de pesca segunda semana Abril Pagos Frank Garrahan-  Al 24-04-2026</t>
  </si>
  <si>
    <t>DT-Reposicion de carnes y verduras - semana 3-4 Pagos Frank Garrahan-  Al 06-04-2026</t>
  </si>
  <si>
    <t>17/04/2026</t>
  </si>
  <si>
    <t>TE001500000242</t>
  </si>
  <si>
    <t>Extracción de Caja 001500000242 Obs: Movimiento_Cajas_Bancos_Semana 25-26 al 17-04-2026</t>
  </si>
  <si>
    <t>DT-Reposicion de carnes y verduras fecha 4/4 Pagos Frank Garrahan-  Al 17-04-2026</t>
  </si>
  <si>
    <t>000000000294</t>
  </si>
  <si>
    <t>DT-Reposicion de carnes y verduras segunda quincena Abril Pagos Frank Garrahan-  Al 27-03-2026</t>
  </si>
  <si>
    <t>DT-Servicio de lavanderia - semana 3-4 Pagos Frank Garrahan-  Al 06-04-2026</t>
  </si>
  <si>
    <t>DT-Servicio de lavanderia Abril - segunda quincena Pagos Frank Garrahan-  Al 27-03-2026</t>
  </si>
  <si>
    <t>DT-Servicio de lavanderia fecha 7/4 Pagos Frank Garrahan-  Al 17-04-2026</t>
  </si>
  <si>
    <t>TE001500000241</t>
  </si>
  <si>
    <t>Extracción de Caja 001500000241 Obs: Movimiento_Cajas_Bancos_Semana 25-26 al 17-04-2026</t>
  </si>
  <si>
    <t>DT-Servicio de transfer 01 al 31/03 - Swann Talbott F.Fijo Oper. Al 17-04-2026</t>
  </si>
  <si>
    <t>000000000293</t>
  </si>
  <si>
    <t>DT-Servicio Mensajeria Mensual Enlace - Saldo Marzo F.Fijo Oper. Al 24-04-2026</t>
  </si>
  <si>
    <t>DT-Servicio Mensajeria Mensual, Marzo - Enlace Logistica F.Fijo Oper. Al 17-04-2026</t>
  </si>
  <si>
    <t>DT-TriSW Fee CC 04-2026</t>
  </si>
  <si>
    <t>VF000000007596B</t>
  </si>
  <si>
    <t>Asiento de VENTAS (01/09/2025 - 30/4/2026)</t>
  </si>
  <si>
    <t>F B 000000007596</t>
  </si>
  <si>
    <t>Ref. nota de Venta: DEL69
Obs.:20-04-2026_CLIENTES</t>
  </si>
  <si>
    <t>000000000314</t>
  </si>
  <si>
    <t>VF000000007219B</t>
  </si>
  <si>
    <t>F B 000000007219</t>
  </si>
  <si>
    <t>Ref. nota de Venta: DEL71
Obs.:13-04-2026_CLIENTES</t>
  </si>
  <si>
    <t>000000000313</t>
  </si>
  <si>
    <t>VF000000006914B</t>
  </si>
  <si>
    <t>F B 000000006914</t>
  </si>
  <si>
    <t>Ref. nota de Venta: DEL77
Obs.:06-04-2026_CLIENTES</t>
  </si>
  <si>
    <t>000000000312</t>
  </si>
  <si>
    <t>VR000000007280</t>
  </si>
  <si>
    <t>Asiento de COBRANZAS (01/09/2025 - 30/4/2026)</t>
  </si>
  <si>
    <t>Recibo: 000000007280Cliente: MT042514 Obs: 13-04-2026_COBRANZAS_CLIENTES</t>
  </si>
  <si>
    <t>000000000315</t>
  </si>
  <si>
    <t>VR000000008725</t>
  </si>
  <si>
    <t>Recibo: 000000008725Cliente: MT342249 Obs: DEL69-Steve Newman-Extras 25-26-ID-342249 -EXtras 25/26- -CMSW 04-2026-</t>
  </si>
  <si>
    <t>000000000316</t>
  </si>
  <si>
    <t>VR000000008726</t>
  </si>
  <si>
    <t>Recibo: 000000008726Cliente: MT029558 Obs: DEL77-Rick Engle-Extras 25-26-ID-29558 -EXtras 25/26- -CMSW 04-2026-</t>
  </si>
  <si>
    <t>000000000317</t>
  </si>
  <si>
    <t>03/04/2026</t>
  </si>
  <si>
    <t>TA001500000224</t>
  </si>
  <si>
    <t>Canje de Valores 001500000224 Obs: DEL-Cambio $ 9,600,000</t>
  </si>
  <si>
    <t>000000000279</t>
  </si>
  <si>
    <t>TA001500000232</t>
  </si>
  <si>
    <t>Canje de Valores 001500000232 Obs: DEL-Cambio $ 1,500,000</t>
  </si>
  <si>
    <t>000000000280</t>
  </si>
  <si>
    <t>TA001500000240</t>
  </si>
  <si>
    <t>Canje de Valores 001500000240 Obs: DEL-Cambio $ 500,000</t>
  </si>
  <si>
    <t>000000000281</t>
  </si>
  <si>
    <t>TA001500000243</t>
  </si>
  <si>
    <t>Canje de Valores 001500000243 Obs: DEL-Cambio $ 5,600,000</t>
  </si>
  <si>
    <t>000000000282</t>
  </si>
  <si>
    <t>Rich Hollas</t>
  </si>
  <si>
    <t>DEL71</t>
  </si>
  <si>
    <t>Ben Archer</t>
  </si>
  <si>
    <t>DEL54</t>
  </si>
  <si>
    <t>13/04/26: a la fecha la nota de venta tiene sus posiciones sin cerra en APP lo que genera inconsistencias. Favor, gestionar el cierre "all paid" = "Yes" en App.</t>
  </si>
  <si>
    <t>Steve Newman</t>
  </si>
  <si>
    <t>DEL69</t>
  </si>
  <si>
    <t>Joli Sanders</t>
  </si>
  <si>
    <t>DEL80</t>
  </si>
  <si>
    <t>Joe Fording</t>
  </si>
  <si>
    <t>DEL40</t>
  </si>
  <si>
    <t xml:space="preserve">Seguimos muy bien - mejora en la sistema de compras y pagos </t>
  </si>
  <si>
    <t>Pasados. Generador nuevo queda para temporada 2027</t>
  </si>
  <si>
    <t>Mucho arreglo en el Astillero Laffranchi de lancha USD 2770. En Marzo entro un nuevo service de lancha. Service auto Noel usd 2000</t>
  </si>
  <si>
    <t xml:space="preserve">Mejoró   mucho con el nuevo sistema, incluso seguramente tengamos ahorro. </t>
  </si>
  <si>
    <t>MAY</t>
  </si>
  <si>
    <t>29/05/2026</t>
  </si>
  <si>
    <t>TE001500000275</t>
  </si>
  <si>
    <t>Asiento de CAJA (01/09/2025 - 31052026)</t>
  </si>
  <si>
    <t>Extracción de Caja 001500000275 Obs: Movimiento_Cajas_Bancos_Semana 25-26 al 29-05-2026</t>
  </si>
  <si>
    <t>DT-30% adelanto de Moscas: 240 unidades a $6300  $1.512.000  imputar 25% DT y 75% DT Pagos Depsa Val</t>
  </si>
  <si>
    <t>000000000332</t>
  </si>
  <si>
    <t>31/05/2026</t>
  </si>
  <si>
    <t>TE001500000279</t>
  </si>
  <si>
    <t>Extracción de Caja 001500000279 Obs: Movimiento_Cajas_Bancos_Semana 25-26 al 05-06-2026</t>
  </si>
  <si>
    <t>DT-Alexis Carra - Honorarios mantenimiento Mayo 2026 Pagos Frank Garrahan-  Al 05-06-2026</t>
  </si>
  <si>
    <t>000000000334</t>
  </si>
  <si>
    <t>15/05/2026</t>
  </si>
  <si>
    <t>TE001500000266</t>
  </si>
  <si>
    <t>Extracción de Caja 001500000266 Obs: Movimiento_Cajas_Bancos_Semana 25-26 al 15-05-2026</t>
  </si>
  <si>
    <t>DT-Anticipo 50% - Uniformes managers - temporada 2026 F.Fijo Oper. Al 15-05-2026</t>
  </si>
  <si>
    <t>000000000327</t>
  </si>
  <si>
    <t>DT-Flete lancha la lancha - tigre - bella vista. Pagos Frank Garrahan-  Al 15-05-2026</t>
  </si>
  <si>
    <t>DT-Guarderia La Baie - cuota Mayo 2026 Pagos Frank Garrahan-  Al 05-06-2026</t>
  </si>
  <si>
    <t>DT-Reposicion de carnes y verduras primera quincena Mayo Pagos Depsa Valores-  Al 29-05-2026</t>
  </si>
  <si>
    <t>DT-Reposicion de carnes y verduras primera quincena Mayo Pagos Frank Garrahan-  Al 15-05-2026</t>
  </si>
  <si>
    <t>DT-Servicio de lavanderia mes de Mayo Pagos Depsa Valores-  Al 29-05-2026</t>
  </si>
  <si>
    <t>22/05/2026</t>
  </si>
  <si>
    <t>TE001500000271</t>
  </si>
  <si>
    <t>Extracción de Caja 001500000271 Obs: Movimiento_Cajas_Bancos_Semana 25-26 al 22-05-2026</t>
  </si>
  <si>
    <t>DT-Servicio de Mensajeria Mensual - Abril 2026 F.Fijo Oper. Al 22-05-2026</t>
  </si>
  <si>
    <t>000000000330</t>
  </si>
  <si>
    <t>01/05/2026</t>
  </si>
  <si>
    <t>TA001500000251</t>
  </si>
  <si>
    <t>Canje de Valores 001500000251 Obs: DEL-Cambio $ 3,600,000</t>
  </si>
  <si>
    <t>000000000318</t>
  </si>
  <si>
    <t>08/05/2026</t>
  </si>
  <si>
    <t>TA001500000256</t>
  </si>
  <si>
    <t>Canje de Valores 001500000256 Obs: DEL-Cambio $ 800,000</t>
  </si>
  <si>
    <t>000000000319</t>
  </si>
  <si>
    <t>TA001500000263</t>
  </si>
  <si>
    <t>Canje de Valores 001500000263 Obs: DEL-Cambio $ 3,500,000</t>
  </si>
  <si>
    <t>000000000320</t>
  </si>
  <si>
    <t>TA001500000270</t>
  </si>
  <si>
    <t>Canje de Valores 001500000270 Obs: DEL-Cambio $ 100,000</t>
  </si>
  <si>
    <t>000000000321</t>
  </si>
  <si>
    <t>TA001500000273</t>
  </si>
  <si>
    <t>Canje de Valores 001500000273 Obs: DEL-Cambio $ 700,000</t>
  </si>
  <si>
    <t>000000000322</t>
  </si>
  <si>
    <t>TI001500000272</t>
  </si>
  <si>
    <t>Ingreso a Caja 001500000272 Obs: Movimiento_Cajas_Bancos_Semana 25-26 al 22-05-2026</t>
  </si>
  <si>
    <t>DEL- Cobro 10,5k Días a Karanda alquiler Lancha a USD 150  x día</t>
  </si>
  <si>
    <t>000000000337</t>
  </si>
  <si>
    <t>TE001500000277</t>
  </si>
  <si>
    <t>Extracción de Caja 001500000277 Obs: Movimiento_Cajas_Bancos_Semana 25-26 al 05-06-2026</t>
  </si>
  <si>
    <t>DEL- Reintegro Cargas Sociales TA 05-2026 - Managers</t>
  </si>
  <si>
    <t>000000000333</t>
  </si>
  <si>
    <t>DEL- Reintegro Cargas Sociales TA 05-2026 - Servicios</t>
  </si>
  <si>
    <t>DEL- Reintegro Sueldos TA 05-2026 - Managers</t>
  </si>
  <si>
    <t>DEL- Reintegro Sueldos TA 05-2026 - Servicios</t>
  </si>
  <si>
    <t>TI001500000260</t>
  </si>
  <si>
    <t>Ingreso a Caja 001500000260 Obs: Movimiento_Cajas_Bancos_Semana 25-26 al 08-05-2026</t>
  </si>
  <si>
    <t>DEL13- 26/27- Mark Hansen - Check #5847 $1,665 --- comparte con CAR2 - ValleySW- 17 Checks $ 115.241</t>
  </si>
  <si>
    <t>000000000335</t>
  </si>
  <si>
    <t>DEL14- 26/27- A MOBILE VET INC (Stephen Deibler) - Check #1932 $3,980 - ValleySW- 17 Checks $ 115.24</t>
  </si>
  <si>
    <t>TE001500000265</t>
  </si>
  <si>
    <t>Extracción de Caja 001500000265 Obs: Movimiento_Cajas_Bancos_Semana 25-26 al 15-05-2026</t>
  </si>
  <si>
    <t>DEL14 26-27- Com x Vtas Tony - ValleyFF- TONY CAGGIANO LLC - (Sales Commission and Marketing April 2</t>
  </si>
  <si>
    <t>000000000326</t>
  </si>
  <si>
    <t>DEL16- 26/27- DAVIES KEITH - comparte con KT19 - ValleySW- WIRE IN INTL GFT 202605140001363 DAVIES K</t>
  </si>
  <si>
    <t>DEL17- 26/27- Joe Hefner - con PZ.DU18 - ValleySW- 9 Checks $ 37.600,38 -18-05-2026</t>
  </si>
  <si>
    <t>TI001500000280</t>
  </si>
  <si>
    <t>Ingreso a Caja 001500000280 Obs: Movimiento_Cajas_Bancos_Semana 25-26 al 05-06-2026</t>
  </si>
  <si>
    <t>DEL17 -26/27-Arthur Elmore -CMSW 05-2026- CC x MTP $1,357.50---- comparte con PZ.DU18</t>
  </si>
  <si>
    <t>000000000338</t>
  </si>
  <si>
    <t>DEL17 -26/27-Arthur Elmore -CMSW 05-2026- CC x MTP $1,357.50---- comparte con PZ.DU18-CC</t>
  </si>
  <si>
    <t>DEL17 -26/27-Thomas Hefner -CMSW 05-2026- CC x MTP $2,070 ---- comparte con PZ.DU18</t>
  </si>
  <si>
    <t>DEL17 -26/27-Thomas Hefner -CMSW 05-2026- CC x MTP $2,070 ---- comparte con PZ.DU18-CC</t>
  </si>
  <si>
    <t>DEL3- 26/27- MARK PETRITES - Check #1235 $5,445 ----  comaprte con P9 y S7 - ValleySW- 11 Checks $ 4</t>
  </si>
  <si>
    <t>TI001500000281</t>
  </si>
  <si>
    <t>Ingreso a Caja 001500000281 Obs: Movimiento_Cajas_Bancos_Semana 25-26 al 05-06-2026</t>
  </si>
  <si>
    <t>DEL34-Arden John Curry Ii-Extras 25-26-ID-40147 -EXtras 25/26- -CMSW 05-2026-</t>
  </si>
  <si>
    <t>000000000339</t>
  </si>
  <si>
    <t>DEL34-Arden John Curry Ii-Extras 25-26-ID-40147 -EXtras 25/26- -CMSW 05-2026- -CC</t>
  </si>
  <si>
    <t>TE001500000274</t>
  </si>
  <si>
    <t>Extracción de Caja 001500000274 Obs: Movimiento_Cajas_Bancos_Semana 25-26 al 29-05-2026</t>
  </si>
  <si>
    <t>DT- Fee Noel 05-2026</t>
  </si>
  <si>
    <t>000000000331</t>
  </si>
  <si>
    <t>DT- Maintenance Fees CC Monthly Fee 05/2026</t>
  </si>
  <si>
    <t>DT-Caja Lodge F.Fijo Oper. Al 29-05-2026</t>
  </si>
  <si>
    <t>DT-Servicio de Transfer - Swann Talbott 01 al 23-04 F.Fijo Oper. Al 12-05-2026</t>
  </si>
  <si>
    <t>DT-TriSW Fee CC 05-2026</t>
  </si>
  <si>
    <t>VR000000009925</t>
  </si>
  <si>
    <t>Asiento de COBRANZAS (01/09/2025 - 31/5/2026)</t>
  </si>
  <si>
    <t>Recibo: 000000009925Cliente: MT040147 Obs: DEL34-Arden John Curry Ii-Extras 25-26-ID-40147 -EXtras 25/26- -CMSW 05-2026-</t>
  </si>
  <si>
    <t>000000000341</t>
  </si>
  <si>
    <t>11/05/2026</t>
  </si>
  <si>
    <t>TE001500000254</t>
  </si>
  <si>
    <t>Extracción de Caja 001500000254 Obs: 11-05-2026  Mov Lodge</t>
  </si>
  <si>
    <t>"DT - Vuelta de Tigre a Mercedes Karina mucama (2/5)Ida de Mercedes a Tigre (7/5)"</t>
  </si>
  <si>
    <t>000000000323</t>
  </si>
  <si>
    <t>"DT - Vuelta tigre - Chivilcoy Andrés (2/5)Ida Chivilcoy -Tigre (7/5)Uber compartido con Karina"</t>
  </si>
  <si>
    <t>18/05/2026</t>
  </si>
  <si>
    <t>TE001500000264</t>
  </si>
  <si>
    <t>Extracción de Caja 001500000264 Obs: 18-05-2026  Mov Lodge</t>
  </si>
  <si>
    <t>Alexis poda de árboles en día libre</t>
  </si>
  <si>
    <t>000000000325</t>
  </si>
  <si>
    <t>Colectivo retiro - Chivilcoy x2</t>
  </si>
  <si>
    <t>DT - 1 garrafa</t>
  </si>
  <si>
    <t>DT - 1 viaje Alexis para traer agua y carbón</t>
  </si>
  <si>
    <t>DT - 1 viaje Alexis para traer garrafas</t>
  </si>
  <si>
    <t>DT - Agua y carbón en almacén de la isla</t>
  </si>
  <si>
    <t>DT - Garrafas de gas x5</t>
  </si>
  <si>
    <t>DT - Garrafas x3</t>
  </si>
  <si>
    <t>DT - Ida Lomas - Tigre Lucia</t>
  </si>
  <si>
    <t>DT - Leña</t>
  </si>
  <si>
    <t>DT - Micro de Andrés sin ticket de chivilcoy - retiro para día de compras</t>
  </si>
  <si>
    <t>DT - Micros de Andrés cocinero de chivilcoy-retiro</t>
  </si>
  <si>
    <t>DT - Nafta Noel lancha</t>
  </si>
  <si>
    <t>DT - Pastelería y panaderia</t>
  </si>
  <si>
    <t>25/05/2026</t>
  </si>
  <si>
    <t>TE001500000269</t>
  </si>
  <si>
    <t>Extracción de Caja 001500000269 Obs: 25-05-2026  Mov Lodge</t>
  </si>
  <si>
    <t>DT - Remis blanqueria sucia</t>
  </si>
  <si>
    <t>000000000329</t>
  </si>
  <si>
    <t>DT - Salario Andrés cocinero proporcional a 14usd</t>
  </si>
  <si>
    <t>DT - Uber de retiro a tigre de Andrés cocinero por 3 viajes</t>
  </si>
  <si>
    <t>DT - Uber días de compras (auto de Noel roto)</t>
  </si>
  <si>
    <t>DT - Uber Noel CABA - Tigre</t>
  </si>
  <si>
    <t>DT - Ubers y remises madero día de compras</t>
  </si>
  <si>
    <t>DT - Viaticos de Fabián guía</t>
  </si>
  <si>
    <t>DT - Viaticos Karina abril</t>
  </si>
  <si>
    <t>Remis Lucia Tigre - Lomas</t>
  </si>
  <si>
    <t>Remises Andrés y Karina Tigre Retiro</t>
  </si>
  <si>
    <t>Uber Noel Tigre - CABA</t>
  </si>
  <si>
    <t>TE001500000255</t>
  </si>
  <si>
    <t>Extracción de Caja 001500000255 Obs: 11-05-2026  Mov Lodge</t>
  </si>
  <si>
    <t>DT - Ampliación de los 2 muelles en la laguna por Rolando para facilitar la pesca, agregar un estant</t>
  </si>
  <si>
    <t>000000000324</t>
  </si>
  <si>
    <t>DT - Guiadas Pablo abril 3FD + 3HD</t>
  </si>
  <si>
    <t>TE001500000268</t>
  </si>
  <si>
    <t>Extracción de Caja 001500000268 Obs: 25-05-2026  Mov Lodge</t>
  </si>
  <si>
    <t>DT - Pablo  3 FD</t>
  </si>
  <si>
    <t>000000000328</t>
  </si>
  <si>
    <t>DT - Pablo 5 transfers . 1 abril y 4 mayo</t>
  </si>
  <si>
    <t>DT - Pago a Fabián guía por 3 HD</t>
  </si>
  <si>
    <t>DT - Pago a Pablo por 5 transfers abril</t>
  </si>
  <si>
    <t>DT - Pago a Rolando por 17 Transfers realizados entre el 17/3 y el 2/5</t>
  </si>
  <si>
    <t>DT - Salario Andrés 9FD con huéspedes y 2 FD sin</t>
  </si>
  <si>
    <t>DT - Salario Karina 11FD</t>
  </si>
  <si>
    <t>DT - Salario Lucia 8FD</t>
  </si>
  <si>
    <t>DT - Típ para guías y staff cobradas con tc a steve newman fecha 13/4 invoice 3070</t>
  </si>
  <si>
    <t>VF000000009032B</t>
  </si>
  <si>
    <t>Asiento de VENTAS (01/09/2025 - 31/5/2026)</t>
  </si>
  <si>
    <t>F B 000000009032</t>
  </si>
  <si>
    <t>Ref. nota de Venta: DEL34
Obs.:18-05-2026_CLIENTES</t>
  </si>
  <si>
    <t>000000000340</t>
  </si>
  <si>
    <t>7103</t>
  </si>
  <si>
    <t>Otros Ingresos</t>
  </si>
  <si>
    <t>Melvin Morgan</t>
  </si>
  <si>
    <t>DEL64</t>
  </si>
  <si>
    <t>Arden John Curry Ii</t>
  </si>
  <si>
    <t>DEL34</t>
  </si>
  <si>
    <t>11/05/26: Ventas informa Orden con arraival 10/05 y Departure 11/05. No se registra movimientos en la APP. Favor, corregir según corresponda</t>
  </si>
  <si>
    <t>Kurt Nathan Holland</t>
  </si>
  <si>
    <t>DEL61</t>
  </si>
  <si>
    <t>Christine Mckee</t>
  </si>
  <si>
    <t>DEL76</t>
  </si>
  <si>
    <t>18/05/26: La nota de venta tiene sus posiciones sin cerrar en la APP lo que genera inconsistencias en los reportes y cruces de informacion. Favor, gestionar el cierre con el manager.</t>
  </si>
  <si>
    <t>DT- TriSW- AMEX - Mayo 2026- FCA S.A 99999999    CABA- -05/19/2026</t>
  </si>
  <si>
    <t>DT- TriSW- AMEX - Mayo 2026- =DLOSPOTIFY         CABA                AR- -04/27/2026</t>
  </si>
  <si>
    <t>MOV MAYO EXTRACONTABLES REPORTE DHA 12-06-2026 NO BORRAR!!!</t>
  </si>
  <si>
    <t>NO ESTA EN APP</t>
  </si>
  <si>
    <t>Vamos a pasarnos unos usd 2000 aprox</t>
  </si>
  <si>
    <t>A fin de Marzo ya vehíamos que ibamos a pasarnos unos 2K y es mas o menos lo que va a dar. Ya entramos en off season.</t>
  </si>
  <si>
    <t>Mejoras</t>
  </si>
  <si>
    <t>Costo TRANSFERS</t>
  </si>
  <si>
    <t>OK con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</si>
</sst>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(* #,##0_);_(* \(#,##0\);_(* &quot;-&quot;_);_(@_)"/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&quot;$&quot;\ #,##0.00;\-&quot;$&quot;\ #,##0.00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-* #,##0.00\ _€_-;\-* #,##0.00\ _€_-;_-* &quot;-&quot;??\ _€_-;_-@_-"/>
    <numFmt numFmtId="170" formatCode="_ [$USD]\ * #,##0.00_ ;_ [$USD]\ * \-#,##0.00_ ;_ [$USD]\ * &quot;-&quot;??_ ;_ @_ "/>
    <numFmt numFmtId="171" formatCode="0.0"/>
    <numFmt numFmtId="172" formatCode="_(* #,##0_);_(* \(#,##0\);_(* &quot;-&quot;??_);_(@_)"/>
    <numFmt numFmtId="173" formatCode="dd/mm/yyyy;@"/>
    <numFmt numFmtId="174" formatCode="#,##0_ ;[Red]\(#,##0\)"/>
    <numFmt numFmtId="175" formatCode="_-[$USD]\ * #,##0_-;\-[$USD]\ * #,##0_-;_-[$USD]\ * &quot;-&quot;??_-;_-@_-"/>
    <numFmt numFmtId="176" formatCode="_-* #,##0.00\ &quot;€&quot;_-;\-* #,##0.00\ &quot;€&quot;_-;_-* &quot;-&quot;??\ &quot;€&quot;_-;_-@_-"/>
    <numFmt numFmtId="177" formatCode="_-* #,##0.00&quot; €&quot;_-;\-* #,##0.00&quot; €&quot;_-;_-* \-??&quot; €&quot;_-;_-@_-"/>
    <numFmt numFmtId="178" formatCode="#.##000"/>
    <numFmt numFmtId="179" formatCode="_(* #,##0.00_);_(* \(#,##0.00\);_(* \-??_);_(@_)"/>
    <numFmt numFmtId="180" formatCode="_ * #,##0.00_ ;_ * \-#,##0.00_ ;_ * \-??_ ;_ @_ "/>
    <numFmt numFmtId="181" formatCode="_ [$$-2C0A]\ * #,##0.00_ ;_ [$$-2C0A]\ * \-#,##0.00_ ;_ [$$-2C0A]\ * \-??_ ;_ @_ "/>
    <numFmt numFmtId="182" formatCode="_(&quot;$&quot;* #,##0.00_);_(&quot;$&quot;* \(#,##0.00\);_(&quot;$&quot;* &quot;-&quot;??_);_(@_)"/>
    <numFmt numFmtId="183" formatCode="_ &quot;$ &quot;* #,##0.00_ ;_ &quot;$ &quot;* \-#,##0.00_ ;_ &quot;$ &quot;* \-??_ ;_ @_ "/>
    <numFmt numFmtId="184" formatCode="mmm\-yyyy"/>
    <numFmt numFmtId="185" formatCode="_-&quot;US$&quot;* #,##0.00_-;\-&quot;US$&quot;* #,##0.00_-;_-&quot;US$&quot;* &quot;-&quot;??_-;_-@_-"/>
    <numFmt numFmtId="186" formatCode="#,##0.0"/>
    <numFmt numFmtId="187" formatCode="_ [$$-2C0A]\ * #,##0.00_ ;_ [$$-2C0A]\ * \-#,##0.00_ ;_ [$$-2C0A]\ * &quot;-&quot;??_ ;_ @_ "/>
    <numFmt numFmtId="188" formatCode="dd/mm/yy;@"/>
    <numFmt numFmtId="189" formatCode="&quot;$&quot;\ #,##0.00"/>
    <numFmt numFmtId="190" formatCode="_-* #,##0_-;\-* #,##0_-;_-* &quot;-&quot;??_-;_-@_-"/>
    <numFmt numFmtId="191" formatCode="_ * #,##0_ ;_ * \-#,##0_ ;_ * &quot;-&quot;??_ ;_ @_ 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"/>
      <name val="Arial"/>
      <family val="2"/>
    </font>
    <font>
      <sz val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2"/>
      <name val="Arial"/>
      <family val="2"/>
    </font>
    <font>
      <sz val="2"/>
      <name val="Arial"/>
      <family val="2"/>
    </font>
    <font>
      <u/>
      <sz val="10"/>
      <color indexed="12"/>
      <name val="Times New Roman"/>
      <family val="1"/>
    </font>
    <font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u val="singleAccounting"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u/>
      <sz val="10"/>
      <name val="Arial"/>
      <family val="2"/>
    </font>
    <font>
      <sz val="10"/>
      <name val="Times New Roman"/>
      <family val="1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2"/>
      <color indexed="12"/>
      <name val="Arial"/>
      <family val="2"/>
    </font>
    <font>
      <b/>
      <sz val="11"/>
      <name val="Arial"/>
      <family val="2"/>
    </font>
    <font>
      <u val="singleAccounting"/>
      <sz val="10"/>
      <name val="Arial"/>
      <family val="2"/>
    </font>
    <font>
      <sz val="11"/>
      <color theme="1"/>
      <name val="Arial Nova Cond Light"/>
      <family val="2"/>
    </font>
    <font>
      <sz val="12"/>
      <color rgb="FF006100"/>
      <name val="Calibri"/>
      <family val="2"/>
      <scheme val="minor"/>
    </font>
    <font>
      <sz val="8"/>
      <color theme="1"/>
      <name val="Myriad Pro"/>
      <family val="2"/>
    </font>
    <font>
      <sz val="1"/>
      <color indexed="8"/>
      <name val="Courier"/>
      <family val="3"/>
    </font>
    <font>
      <u/>
      <sz val="7.5"/>
      <color indexed="36"/>
      <name val="Arial"/>
      <family val="2"/>
    </font>
    <font>
      <sz val="9"/>
      <name val="Book Antiqua"/>
      <family val="1"/>
    </font>
    <font>
      <u/>
      <sz val="7.5"/>
      <color indexed="12"/>
      <name val="Arial"/>
      <family val="2"/>
    </font>
    <font>
      <sz val="12"/>
      <color theme="1"/>
      <name val="Calibri"/>
      <family val="2"/>
      <scheme val="minor"/>
    </font>
    <font>
      <sz val="11"/>
      <color indexed="60"/>
      <name val="Calibri"/>
      <family val="2"/>
    </font>
    <font>
      <sz val="10"/>
      <name val="Tahoma"/>
      <family val="2"/>
    </font>
    <font>
      <sz val="9"/>
      <color theme="1"/>
      <name val="Myriad Pro"/>
      <family val="2"/>
    </font>
    <font>
      <sz val="10"/>
      <color theme="0"/>
      <name val="Seravek"/>
      <family val="2"/>
    </font>
    <font>
      <b/>
      <sz val="11"/>
      <color indexed="8"/>
      <name val="Calibri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theme="0"/>
      <name val="Arial"/>
      <family val="2"/>
    </font>
    <font>
      <sz val="11"/>
      <name val="Calibri"/>
      <family val="2"/>
    </font>
    <font>
      <sz val="8"/>
      <color indexed="8"/>
      <name val="Verdana"/>
      <family val="2"/>
    </font>
    <font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-0.499984740745262"/>
        <bgColor theme="0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3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18">
    <xf numFmtId="0" fontId="0" fillId="0" borderId="0"/>
    <xf numFmtId="169" fontId="5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4" fillId="0" borderId="0" applyFont="0" applyFill="0" applyBorder="0" applyAlignment="0" applyProtection="0"/>
    <xf numFmtId="168" fontId="26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26" fillId="0" borderId="0"/>
    <xf numFmtId="0" fontId="5" fillId="0" borderId="0"/>
    <xf numFmtId="9" fontId="18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32" fillId="0" borderId="0"/>
    <xf numFmtId="9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32" fillId="0" borderId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12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40" fillId="14" borderId="32" applyBorder="0">
      <alignment horizontal="left" vertical="center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5" fillId="0" borderId="0" applyFill="0" applyBorder="0" applyAlignment="0" applyProtection="0"/>
    <xf numFmtId="178" fontId="41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38" fontId="43" fillId="0" borderId="0" applyNumberFormat="0" applyProtection="0"/>
    <xf numFmtId="0" fontId="44" fillId="0" borderId="0" applyNumberFormat="0" applyFill="0" applyBorder="0" applyAlignment="0" applyProtection="0">
      <alignment vertical="top"/>
      <protection locked="0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9" fontId="5" fillId="0" borderId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9" fontId="5" fillId="0" borderId="0" applyFill="0" applyBorder="0" applyAlignment="0" applyProtection="0"/>
    <xf numFmtId="43" fontId="6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68" fontId="5" fillId="0" borderId="0" applyFont="0" applyFill="0" applyBorder="0" applyAlignment="0" applyProtection="0"/>
    <xf numFmtId="182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5" fillId="0" borderId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3" fontId="5" fillId="0" borderId="0" applyFill="0" applyBorder="0" applyAlignment="0" applyProtection="0"/>
    <xf numFmtId="44" fontId="45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3" fontId="5" fillId="0" borderId="0" applyFill="0" applyBorder="0" applyAlignment="0" applyProtection="0"/>
    <xf numFmtId="182" fontId="6" fillId="0" borderId="0" applyFont="0" applyFill="0" applyBorder="0" applyAlignment="0" applyProtection="0"/>
    <xf numFmtId="185" fontId="2" fillId="0" borderId="0" applyFont="0" applyFill="0" applyBorder="0" applyAlignment="0" applyProtection="0"/>
    <xf numFmtId="183" fontId="5" fillId="0" borderId="0" applyFill="0" applyBorder="0" applyAlignment="0" applyProtection="0"/>
    <xf numFmtId="167" fontId="45" fillId="0" borderId="0" applyFont="0" applyFill="0" applyBorder="0" applyAlignment="0" applyProtection="0"/>
    <xf numFmtId="183" fontId="5" fillId="0" borderId="0" applyFill="0" applyBorder="0" applyAlignment="0" applyProtection="0"/>
    <xf numFmtId="0" fontId="46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16" borderId="33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8" fillId="0" borderId="32" applyFill="0" applyBorder="0">
      <alignment horizontal="center" vertical="center"/>
    </xf>
    <xf numFmtId="0" fontId="49" fillId="17" borderId="34">
      <alignment horizontal="center" vertical="center"/>
    </xf>
    <xf numFmtId="0" fontId="50" fillId="0" borderId="35" applyNumberFormat="0" applyFill="0" applyAlignment="0" applyProtection="0"/>
    <xf numFmtId="167" fontId="5" fillId="0" borderId="0" applyFont="0" applyFill="0" applyBorder="0" applyAlignment="0" applyProtection="0"/>
    <xf numFmtId="165" fontId="54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54" fillId="0" borderId="0" applyFont="0" applyFill="0" applyBorder="0" applyAlignment="0" applyProtection="0"/>
    <xf numFmtId="0" fontId="54" fillId="0" borderId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</cellStyleXfs>
  <cellXfs count="368">
    <xf numFmtId="0" fontId="0" fillId="0" borderId="0" xfId="0"/>
    <xf numFmtId="169" fontId="0" fillId="0" borderId="0" xfId="1" applyFont="1"/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9" fontId="0" fillId="0" borderId="0" xfId="1" applyFont="1" applyAlignment="1">
      <alignment vertical="center"/>
    </xf>
    <xf numFmtId="14" fontId="0" fillId="2" borderId="0" xfId="0" applyNumberFormat="1" applyFill="1" applyAlignment="1">
      <alignment horizontal="center" vertical="center"/>
    </xf>
    <xf numFmtId="169" fontId="0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6" fillId="4" borderId="0" xfId="12" applyFont="1" applyFill="1" applyAlignment="1">
      <alignment vertical="center"/>
    </xf>
    <xf numFmtId="0" fontId="5" fillId="4" borderId="0" xfId="12" applyFill="1" applyAlignment="1">
      <alignment vertical="center"/>
    </xf>
    <xf numFmtId="0" fontId="5" fillId="4" borderId="0" xfId="12" applyFill="1" applyAlignment="1">
      <alignment horizontal="right" vertical="center"/>
    </xf>
    <xf numFmtId="0" fontId="6" fillId="4" borderId="0" xfId="12" applyFont="1" applyFill="1" applyAlignment="1">
      <alignment horizontal="center" vertical="center"/>
    </xf>
    <xf numFmtId="10" fontId="6" fillId="4" borderId="0" xfId="12" applyNumberFormat="1" applyFont="1" applyFill="1" applyAlignment="1">
      <alignment horizontal="center" vertical="center"/>
    </xf>
    <xf numFmtId="0" fontId="10" fillId="4" borderId="0" xfId="12" applyFont="1" applyFill="1" applyAlignment="1">
      <alignment horizontal="center" vertical="center"/>
    </xf>
    <xf numFmtId="0" fontId="11" fillId="4" borderId="0" xfId="12" applyFont="1" applyFill="1" applyAlignment="1">
      <alignment vertical="center"/>
    </xf>
    <xf numFmtId="41" fontId="6" fillId="4" borderId="0" xfId="12" applyNumberFormat="1" applyFont="1" applyFill="1" applyAlignment="1">
      <alignment horizontal="center" vertical="center"/>
    </xf>
    <xf numFmtId="0" fontId="6" fillId="4" borderId="1" xfId="12" applyFont="1" applyFill="1" applyBorder="1" applyAlignment="1">
      <alignment horizontal="center" vertical="center" wrapText="1"/>
    </xf>
    <xf numFmtId="1" fontId="6" fillId="4" borderId="0" xfId="12" applyNumberFormat="1" applyFont="1" applyFill="1" applyAlignment="1">
      <alignment horizontal="center" vertical="center"/>
    </xf>
    <xf numFmtId="1" fontId="6" fillId="0" borderId="2" xfId="12" applyNumberFormat="1" applyFont="1" applyBorder="1" applyAlignment="1">
      <alignment horizontal="center" vertical="center"/>
    </xf>
    <xf numFmtId="1" fontId="6" fillId="4" borderId="4" xfId="12" applyNumberFormat="1" applyFont="1" applyFill="1" applyBorder="1" applyAlignment="1">
      <alignment horizontal="center" vertical="center"/>
    </xf>
    <xf numFmtId="0" fontId="6" fillId="4" borderId="4" xfId="12" applyFont="1" applyFill="1" applyBorder="1" applyAlignment="1">
      <alignment horizontal="center" vertical="center"/>
    </xf>
    <xf numFmtId="0" fontId="14" fillId="0" borderId="2" xfId="12" applyFont="1" applyBorder="1" applyAlignment="1">
      <alignment vertical="center"/>
    </xf>
    <xf numFmtId="0" fontId="14" fillId="4" borderId="0" xfId="12" applyFont="1" applyFill="1" applyAlignment="1">
      <alignment vertical="center"/>
    </xf>
    <xf numFmtId="0" fontId="5" fillId="0" borderId="2" xfId="12" applyBorder="1" applyAlignment="1">
      <alignment vertical="center"/>
    </xf>
    <xf numFmtId="3" fontId="6" fillId="4" borderId="4" xfId="12" applyNumberFormat="1" applyFont="1" applyFill="1" applyBorder="1" applyAlignment="1">
      <alignment vertical="center"/>
    </xf>
    <xf numFmtId="0" fontId="13" fillId="4" borderId="0" xfId="12" applyFont="1" applyFill="1" applyAlignment="1">
      <alignment vertical="center"/>
    </xf>
    <xf numFmtId="0" fontId="5" fillId="4" borderId="0" xfId="12" applyFill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171" fontId="6" fillId="4" borderId="0" xfId="12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169" fontId="19" fillId="2" borderId="0" xfId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4" fontId="5" fillId="2" borderId="0" xfId="0" applyNumberFormat="1" applyFont="1" applyFill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172" fontId="5" fillId="4" borderId="0" xfId="12" applyNumberFormat="1" applyFill="1" applyAlignment="1">
      <alignment vertical="center"/>
    </xf>
    <xf numFmtId="0" fontId="0" fillId="0" borderId="11" xfId="0" applyBorder="1" applyAlignment="1">
      <alignment vertical="center"/>
    </xf>
    <xf numFmtId="167" fontId="0" fillId="0" borderId="7" xfId="6" applyFont="1" applyBorder="1" applyAlignment="1">
      <alignment vertical="center"/>
    </xf>
    <xf numFmtId="0" fontId="0" fillId="0" borderId="12" xfId="0" applyBorder="1" applyAlignment="1">
      <alignment vertical="center"/>
    </xf>
    <xf numFmtId="167" fontId="0" fillId="0" borderId="13" xfId="6" applyFont="1" applyBorder="1" applyAlignment="1">
      <alignment vertical="center"/>
    </xf>
    <xf numFmtId="167" fontId="6" fillId="8" borderId="7" xfId="6" applyFont="1" applyFill="1" applyBorder="1" applyAlignment="1">
      <alignment vertical="center"/>
    </xf>
    <xf numFmtId="167" fontId="6" fillId="8" borderId="13" xfId="6" applyFont="1" applyFill="1" applyBorder="1" applyAlignment="1">
      <alignment vertical="center"/>
    </xf>
    <xf numFmtId="1" fontId="0" fillId="0" borderId="7" xfId="6" applyNumberFormat="1" applyFont="1" applyBorder="1" applyAlignment="1">
      <alignment vertical="center"/>
    </xf>
    <xf numFmtId="1" fontId="0" fillId="0" borderId="13" xfId="6" applyNumberFormat="1" applyFont="1" applyBorder="1" applyAlignment="1">
      <alignment vertical="center"/>
    </xf>
    <xf numFmtId="0" fontId="5" fillId="0" borderId="14" xfId="0" applyFont="1" applyBorder="1" applyAlignment="1">
      <alignment vertical="center" wrapText="1"/>
    </xf>
    <xf numFmtId="1" fontId="0" fillId="0" borderId="15" xfId="6" applyNumberFormat="1" applyFont="1" applyBorder="1" applyAlignment="1">
      <alignment vertical="center"/>
    </xf>
    <xf numFmtId="167" fontId="0" fillId="0" borderId="15" xfId="6" applyFont="1" applyBorder="1" applyAlignment="1">
      <alignment vertical="center"/>
    </xf>
    <xf numFmtId="167" fontId="6" fillId="8" borderId="15" xfId="6" applyFont="1" applyFill="1" applyBorder="1" applyAlignment="1">
      <alignment vertical="center"/>
    </xf>
    <xf numFmtId="0" fontId="6" fillId="10" borderId="16" xfId="0" applyFont="1" applyFill="1" applyBorder="1" applyAlignment="1">
      <alignment horizontal="center" vertical="center" wrapText="1"/>
    </xf>
    <xf numFmtId="167" fontId="27" fillId="0" borderId="7" xfId="6" applyFont="1" applyBorder="1" applyAlignment="1">
      <alignment vertical="center"/>
    </xf>
    <xf numFmtId="167" fontId="27" fillId="0" borderId="13" xfId="6" applyFont="1" applyBorder="1" applyAlignment="1">
      <alignment vertical="center"/>
    </xf>
    <xf numFmtId="0" fontId="6" fillId="0" borderId="0" xfId="0" applyFont="1"/>
    <xf numFmtId="0" fontId="6" fillId="10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vertical="center"/>
    </xf>
    <xf numFmtId="0" fontId="6" fillId="7" borderId="19" xfId="6" applyNumberFormat="1" applyFont="1" applyFill="1" applyBorder="1" applyAlignment="1">
      <alignment vertical="center"/>
    </xf>
    <xf numFmtId="167" fontId="6" fillId="7" borderId="19" xfId="6" applyFont="1" applyFill="1" applyBorder="1" applyAlignment="1">
      <alignment vertical="center"/>
    </xf>
    <xf numFmtId="169" fontId="6" fillId="3" borderId="1" xfId="1" applyFont="1" applyFill="1" applyBorder="1" applyAlignment="1">
      <alignment horizontal="center" vertical="center"/>
    </xf>
    <xf numFmtId="169" fontId="0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14" fontId="0" fillId="0" borderId="0" xfId="0" applyNumberFormat="1" applyAlignment="1">
      <alignment vertical="center"/>
    </xf>
    <xf numFmtId="0" fontId="26" fillId="0" borderId="0" xfId="11" applyAlignment="1">
      <alignment vertical="center"/>
    </xf>
    <xf numFmtId="167" fontId="6" fillId="7" borderId="20" xfId="6" applyFont="1" applyFill="1" applyBorder="1" applyAlignment="1">
      <alignment vertical="center" wrapText="1"/>
    </xf>
    <xf numFmtId="0" fontId="7" fillId="6" borderId="0" xfId="0" applyFont="1" applyFill="1" applyAlignment="1">
      <alignment vertical="center"/>
    </xf>
    <xf numFmtId="0" fontId="26" fillId="0" borderId="0" xfId="11" applyAlignment="1">
      <alignment vertical="center" wrapText="1"/>
    </xf>
    <xf numFmtId="0" fontId="0" fillId="0" borderId="0" xfId="0" quotePrefix="1" applyAlignment="1">
      <alignment vertical="center"/>
    </xf>
    <xf numFmtId="169" fontId="5" fillId="2" borderId="0" xfId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6" fillId="3" borderId="24" xfId="6" applyFont="1" applyFill="1" applyBorder="1" applyAlignment="1">
      <alignment vertical="center"/>
    </xf>
    <xf numFmtId="170" fontId="6" fillId="5" borderId="16" xfId="6" applyNumberFormat="1" applyFont="1" applyFill="1" applyBorder="1" applyAlignment="1">
      <alignment vertical="center"/>
    </xf>
    <xf numFmtId="167" fontId="6" fillId="2" borderId="8" xfId="6" applyFont="1" applyFill="1" applyBorder="1" applyAlignment="1">
      <alignment vertical="center"/>
    </xf>
    <xf numFmtId="170" fontId="6" fillId="5" borderId="10" xfId="6" applyNumberFormat="1" applyFont="1" applyFill="1" applyBorder="1" applyAlignment="1">
      <alignment vertical="center"/>
    </xf>
    <xf numFmtId="167" fontId="0" fillId="0" borderId="0" xfId="6" applyFont="1" applyAlignment="1">
      <alignment vertical="center"/>
    </xf>
    <xf numFmtId="170" fontId="17" fillId="5" borderId="0" xfId="6" applyNumberFormat="1" applyFont="1" applyFill="1" applyAlignment="1">
      <alignment vertical="center"/>
    </xf>
    <xf numFmtId="14" fontId="6" fillId="2" borderId="18" xfId="0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70" fontId="0" fillId="0" borderId="0" xfId="0" applyNumberFormat="1" applyAlignment="1">
      <alignment vertical="center"/>
    </xf>
    <xf numFmtId="170" fontId="17" fillId="0" borderId="0" xfId="6" applyNumberFormat="1" applyFont="1" applyAlignment="1">
      <alignment vertical="center"/>
    </xf>
    <xf numFmtId="0" fontId="6" fillId="4" borderId="0" xfId="12" applyFont="1" applyFill="1" applyAlignment="1">
      <alignment vertical="center" wrapText="1"/>
    </xf>
    <xf numFmtId="0" fontId="7" fillId="4" borderId="0" xfId="12" applyFont="1" applyFill="1" applyAlignment="1">
      <alignment vertical="center"/>
    </xf>
    <xf numFmtId="0" fontId="0" fillId="0" borderId="0" xfId="0" applyAlignment="1">
      <alignment vertical="center" wrapText="1"/>
    </xf>
    <xf numFmtId="0" fontId="28" fillId="4" borderId="0" xfId="12" applyFont="1" applyFill="1" applyAlignment="1">
      <alignment vertical="center"/>
    </xf>
    <xf numFmtId="0" fontId="27" fillId="4" borderId="0" xfId="12" applyFont="1" applyFill="1" applyAlignment="1">
      <alignment vertical="center"/>
    </xf>
    <xf numFmtId="0" fontId="5" fillId="4" borderId="0" xfId="12" applyFill="1" applyAlignment="1">
      <alignment horizontal="center" vertical="center"/>
    </xf>
    <xf numFmtId="167" fontId="16" fillId="0" borderId="25" xfId="6" applyFont="1" applyBorder="1" applyAlignment="1">
      <alignment vertical="center" wrapText="1"/>
    </xf>
    <xf numFmtId="167" fontId="16" fillId="0" borderId="26" xfId="6" applyFont="1" applyBorder="1" applyAlignment="1">
      <alignment vertical="center" wrapText="1"/>
    </xf>
    <xf numFmtId="0" fontId="6" fillId="10" borderId="24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/>
    </xf>
    <xf numFmtId="167" fontId="6" fillId="8" borderId="27" xfId="6" applyFont="1" applyFill="1" applyBorder="1" applyAlignment="1">
      <alignment vertical="center"/>
    </xf>
    <xf numFmtId="167" fontId="6" fillId="8" borderId="21" xfId="6" applyFont="1" applyFill="1" applyBorder="1" applyAlignment="1">
      <alignment vertical="center"/>
    </xf>
    <xf numFmtId="167" fontId="6" fillId="8" borderId="22" xfId="6" applyFont="1" applyFill="1" applyBorder="1" applyAlignment="1">
      <alignment vertical="center"/>
    </xf>
    <xf numFmtId="167" fontId="6" fillId="8" borderId="23" xfId="6" applyFont="1" applyFill="1" applyBorder="1" applyAlignment="1">
      <alignment vertical="center"/>
    </xf>
    <xf numFmtId="173" fontId="0" fillId="0" borderId="0" xfId="0" applyNumberFormat="1" applyAlignment="1">
      <alignment horizontal="center" vertical="center"/>
    </xf>
    <xf numFmtId="173" fontId="0" fillId="2" borderId="0" xfId="0" applyNumberFormat="1" applyFill="1" applyAlignment="1">
      <alignment horizontal="center" vertical="center"/>
    </xf>
    <xf numFmtId="173" fontId="19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9" fontId="6" fillId="3" borderId="3" xfId="1" applyFont="1" applyFill="1" applyBorder="1" applyAlignment="1">
      <alignment horizontal="center" vertical="center"/>
    </xf>
    <xf numFmtId="0" fontId="4" fillId="0" borderId="0" xfId="0" quotePrefix="1" applyFont="1" applyAlignment="1">
      <alignment vertical="center"/>
    </xf>
    <xf numFmtId="169" fontId="4" fillId="0" borderId="0" xfId="1" applyFont="1" applyFill="1" applyBorder="1" applyAlignment="1" applyProtection="1">
      <alignment vertical="center"/>
    </xf>
    <xf numFmtId="0" fontId="8" fillId="4" borderId="0" xfId="12" applyFont="1" applyFill="1" applyAlignment="1">
      <alignment vertical="center" wrapText="1"/>
    </xf>
    <xf numFmtId="0" fontId="9" fillId="4" borderId="0" xfId="12" applyFont="1" applyFill="1" applyAlignment="1">
      <alignment vertical="center"/>
    </xf>
    <xf numFmtId="0" fontId="33" fillId="4" borderId="0" xfId="12" applyFont="1" applyFill="1" applyAlignment="1">
      <alignment horizontal="center" vertical="center" wrapText="1"/>
    </xf>
    <xf numFmtId="0" fontId="34" fillId="4" borderId="0" xfId="12" applyFont="1" applyFill="1" applyAlignment="1">
      <alignment horizontal="center" vertical="center" wrapText="1"/>
    </xf>
    <xf numFmtId="0" fontId="13" fillId="4" borderId="0" xfId="12" applyFont="1" applyFill="1" applyAlignment="1">
      <alignment vertical="center" wrapText="1"/>
    </xf>
    <xf numFmtId="0" fontId="10" fillId="2" borderId="1" xfId="14" applyFont="1" applyFill="1" applyBorder="1" applyAlignment="1">
      <alignment horizontal="center" vertical="center" wrapText="1"/>
    </xf>
    <xf numFmtId="0" fontId="12" fillId="0" borderId="2" xfId="12" applyFont="1" applyBorder="1" applyAlignment="1">
      <alignment vertical="center" wrapText="1"/>
    </xf>
    <xf numFmtId="0" fontId="12" fillId="4" borderId="1" xfId="12" applyFont="1" applyFill="1" applyBorder="1" applyAlignment="1">
      <alignment horizontal="right" vertical="center" wrapText="1"/>
    </xf>
    <xf numFmtId="1" fontId="6" fillId="0" borderId="2" xfId="12" applyNumberFormat="1" applyFont="1" applyBorder="1" applyAlignment="1">
      <alignment vertical="center" wrapText="1"/>
    </xf>
    <xf numFmtId="0" fontId="6" fillId="4" borderId="1" xfId="12" applyFont="1" applyFill="1" applyBorder="1" applyAlignment="1">
      <alignment horizontal="left" vertical="center" wrapText="1"/>
    </xf>
    <xf numFmtId="172" fontId="35" fillId="0" borderId="2" xfId="18" applyNumberFormat="1" applyFont="1" applyFill="1" applyBorder="1" applyAlignment="1" applyProtection="1">
      <alignment vertical="center" wrapText="1"/>
    </xf>
    <xf numFmtId="1" fontId="13" fillId="4" borderId="4" xfId="12" applyNumberFormat="1" applyFont="1" applyFill="1" applyBorder="1" applyAlignment="1">
      <alignment horizontal="center" vertical="center"/>
    </xf>
    <xf numFmtId="1" fontId="13" fillId="0" borderId="2" xfId="12" applyNumberFormat="1" applyFont="1" applyBorder="1" applyAlignment="1">
      <alignment horizontal="center" vertical="center"/>
    </xf>
    <xf numFmtId="172" fontId="6" fillId="4" borderId="4" xfId="15" applyNumberFormat="1" applyFont="1" applyFill="1" applyBorder="1" applyAlignment="1">
      <alignment vertical="center"/>
    </xf>
    <xf numFmtId="172" fontId="6" fillId="0" borderId="2" xfId="15" applyNumberFormat="1" applyFont="1" applyFill="1" applyBorder="1" applyAlignment="1">
      <alignment vertical="center"/>
    </xf>
    <xf numFmtId="172" fontId="6" fillId="4" borderId="0" xfId="15" applyNumberFormat="1" applyFont="1" applyFill="1" applyBorder="1" applyAlignment="1">
      <alignment vertical="center"/>
    </xf>
    <xf numFmtId="174" fontId="5" fillId="0" borderId="2" xfId="14" applyNumberFormat="1" applyFont="1" applyBorder="1" applyAlignment="1">
      <alignment vertical="center" wrapText="1"/>
    </xf>
    <xf numFmtId="174" fontId="5" fillId="0" borderId="2" xfId="15" applyNumberFormat="1" applyFont="1" applyBorder="1" applyAlignment="1">
      <alignment horizontal="left" vertical="center" wrapText="1"/>
    </xf>
    <xf numFmtId="174" fontId="5" fillId="0" borderId="2" xfId="19" applyNumberFormat="1" applyFont="1" applyBorder="1" applyAlignment="1">
      <alignment horizontal="left" vertical="center" wrapText="1"/>
    </xf>
    <xf numFmtId="172" fontId="30" fillId="0" borderId="2" xfId="18" applyNumberFormat="1" applyFont="1" applyFill="1" applyBorder="1" applyAlignment="1" applyProtection="1">
      <alignment vertical="center" wrapText="1"/>
    </xf>
    <xf numFmtId="172" fontId="29" fillId="4" borderId="4" xfId="15" applyNumberFormat="1" applyFont="1" applyFill="1" applyBorder="1" applyAlignment="1">
      <alignment vertical="center"/>
    </xf>
    <xf numFmtId="172" fontId="20" fillId="0" borderId="2" xfId="15" applyNumberFormat="1" applyFont="1" applyBorder="1" applyAlignment="1">
      <alignment vertical="center"/>
    </xf>
    <xf numFmtId="172" fontId="20" fillId="4" borderId="0" xfId="15" applyNumberFormat="1" applyFont="1" applyFill="1" applyBorder="1" applyAlignment="1">
      <alignment vertical="center"/>
    </xf>
    <xf numFmtId="172" fontId="36" fillId="0" borderId="1" xfId="15" applyNumberFormat="1" applyFont="1" applyFill="1" applyBorder="1" applyAlignment="1">
      <alignment horizontal="center" vertical="center" wrapText="1"/>
    </xf>
    <xf numFmtId="172" fontId="36" fillId="4" borderId="4" xfId="15" applyNumberFormat="1" applyFont="1" applyFill="1" applyBorder="1" applyAlignment="1">
      <alignment vertical="center"/>
    </xf>
    <xf numFmtId="172" fontId="36" fillId="0" borderId="1" xfId="15" applyNumberFormat="1" applyFont="1" applyFill="1" applyBorder="1" applyAlignment="1">
      <alignment vertical="center"/>
    </xf>
    <xf numFmtId="172" fontId="23" fillId="4" borderId="0" xfId="15" applyNumberFormat="1" applyFont="1" applyFill="1" applyBorder="1" applyAlignment="1">
      <alignment vertical="center"/>
    </xf>
    <xf numFmtId="0" fontId="13" fillId="0" borderId="2" xfId="12" applyFont="1" applyBorder="1" applyAlignment="1">
      <alignment vertical="center" wrapText="1"/>
    </xf>
    <xf numFmtId="41" fontId="13" fillId="4" borderId="4" xfId="17" applyFont="1" applyFill="1" applyBorder="1" applyAlignment="1">
      <alignment vertical="center"/>
    </xf>
    <xf numFmtId="174" fontId="7" fillId="0" borderId="2" xfId="19" applyNumberFormat="1" applyFont="1" applyBorder="1" applyAlignment="1">
      <alignment vertical="center" wrapText="1"/>
    </xf>
    <xf numFmtId="41" fontId="6" fillId="4" borderId="4" xfId="17" applyFont="1" applyFill="1" applyBorder="1" applyAlignment="1">
      <alignment vertical="center"/>
    </xf>
    <xf numFmtId="174" fontId="5" fillId="0" borderId="2" xfId="15" applyNumberFormat="1" applyFont="1" applyBorder="1" applyAlignment="1">
      <alignment vertical="center" wrapText="1"/>
    </xf>
    <xf numFmtId="174" fontId="5" fillId="0" borderId="2" xfId="15" applyNumberFormat="1" applyFont="1" applyFill="1" applyBorder="1" applyAlignment="1">
      <alignment vertical="center" wrapText="1"/>
    </xf>
    <xf numFmtId="171" fontId="6" fillId="4" borderId="4" xfId="12" applyNumberFormat="1" applyFont="1" applyFill="1" applyBorder="1" applyAlignment="1">
      <alignment vertical="center"/>
    </xf>
    <xf numFmtId="174" fontId="5" fillId="0" borderId="2" xfId="19" applyNumberFormat="1" applyFont="1" applyBorder="1" applyAlignment="1">
      <alignment vertical="center" wrapText="1"/>
    </xf>
    <xf numFmtId="172" fontId="5" fillId="4" borderId="0" xfId="15" applyNumberFormat="1" applyFont="1" applyFill="1" applyBorder="1" applyAlignment="1">
      <alignment vertical="center"/>
    </xf>
    <xf numFmtId="172" fontId="25" fillId="4" borderId="4" xfId="15" applyNumberFormat="1" applyFont="1" applyFill="1" applyBorder="1" applyAlignment="1">
      <alignment vertical="center"/>
    </xf>
    <xf numFmtId="172" fontId="25" fillId="0" borderId="2" xfId="15" applyNumberFormat="1" applyFont="1" applyFill="1" applyBorder="1" applyAlignment="1">
      <alignment vertical="center"/>
    </xf>
    <xf numFmtId="172" fontId="37" fillId="4" borderId="0" xfId="15" applyNumberFormat="1" applyFont="1" applyFill="1" applyBorder="1" applyAlignment="1">
      <alignment vertical="center"/>
    </xf>
    <xf numFmtId="174" fontId="5" fillId="0" borderId="2" xfId="19" applyNumberFormat="1" applyFont="1" applyBorder="1" applyAlignment="1">
      <alignment horizontal="right" vertical="center" wrapText="1"/>
    </xf>
    <xf numFmtId="172" fontId="5" fillId="4" borderId="4" xfId="15" applyNumberFormat="1" applyFont="1" applyFill="1" applyBorder="1" applyAlignment="1">
      <alignment vertical="center"/>
    </xf>
    <xf numFmtId="3" fontId="7" fillId="4" borderId="4" xfId="12" applyNumberFormat="1" applyFont="1" applyFill="1" applyBorder="1" applyAlignment="1">
      <alignment horizontal="right" vertical="center"/>
    </xf>
    <xf numFmtId="0" fontId="31" fillId="4" borderId="0" xfId="12" applyFont="1" applyFill="1" applyAlignment="1">
      <alignment horizontal="right" vertical="center"/>
    </xf>
    <xf numFmtId="174" fontId="5" fillId="0" borderId="2" xfId="15" applyNumberFormat="1" applyFont="1" applyBorder="1" applyAlignment="1">
      <alignment horizontal="right" vertical="center" wrapText="1"/>
    </xf>
    <xf numFmtId="3" fontId="5" fillId="4" borderId="4" xfId="12" applyNumberFormat="1" applyFill="1" applyBorder="1" applyAlignment="1">
      <alignment horizontal="right" vertical="center"/>
    </xf>
    <xf numFmtId="3" fontId="7" fillId="4" borderId="4" xfId="12" applyNumberFormat="1" applyFont="1" applyFill="1" applyBorder="1" applyAlignment="1">
      <alignment vertical="center"/>
    </xf>
    <xf numFmtId="172" fontId="6" fillId="0" borderId="1" xfId="15" applyNumberFormat="1" applyFont="1" applyFill="1" applyBorder="1" applyAlignment="1">
      <alignment horizontal="center" vertical="center" wrapText="1"/>
    </xf>
    <xf numFmtId="172" fontId="6" fillId="0" borderId="1" xfId="15" applyNumberFormat="1" applyFont="1" applyFill="1" applyBorder="1" applyAlignment="1">
      <alignment vertical="center"/>
    </xf>
    <xf numFmtId="0" fontId="28" fillId="4" borderId="0" xfId="12" applyFont="1" applyFill="1" applyAlignment="1">
      <alignment vertical="center" wrapText="1"/>
    </xf>
    <xf numFmtId="0" fontId="9" fillId="4" borderId="0" xfId="12" applyFont="1" applyFill="1" applyAlignment="1">
      <alignment horizontal="center" vertical="center"/>
    </xf>
    <xf numFmtId="0" fontId="14" fillId="4" borderId="0" xfId="12" applyFont="1" applyFill="1" applyAlignment="1">
      <alignment horizontal="center" vertical="center"/>
    </xf>
    <xf numFmtId="0" fontId="11" fillId="4" borderId="0" xfId="12" applyFont="1" applyFill="1" applyAlignment="1">
      <alignment horizontal="center" vertical="center"/>
    </xf>
    <xf numFmtId="172" fontId="20" fillId="4" borderId="0" xfId="15" applyNumberFormat="1" applyFont="1" applyFill="1" applyBorder="1" applyAlignment="1">
      <alignment horizontal="center" vertical="center"/>
    </xf>
    <xf numFmtId="172" fontId="23" fillId="4" borderId="0" xfId="15" applyNumberFormat="1" applyFont="1" applyFill="1" applyBorder="1" applyAlignment="1">
      <alignment horizontal="center" vertical="center"/>
    </xf>
    <xf numFmtId="172" fontId="37" fillId="4" borderId="0" xfId="15" applyNumberFormat="1" applyFont="1" applyFill="1" applyBorder="1" applyAlignment="1">
      <alignment horizontal="center" vertical="center"/>
    </xf>
    <xf numFmtId="172" fontId="5" fillId="4" borderId="0" xfId="15" applyNumberFormat="1" applyFont="1" applyFill="1" applyBorder="1" applyAlignment="1">
      <alignment horizontal="center" vertical="center"/>
    </xf>
    <xf numFmtId="0" fontId="31" fillId="4" borderId="0" xfId="12" applyFont="1" applyFill="1" applyAlignment="1">
      <alignment horizontal="center" vertical="center"/>
    </xf>
    <xf numFmtId="0" fontId="6" fillId="8" borderId="1" xfId="12" applyFont="1" applyFill="1" applyBorder="1" applyAlignment="1">
      <alignment horizontal="center" vertical="center" wrapText="1"/>
    </xf>
    <xf numFmtId="0" fontId="6" fillId="7" borderId="1" xfId="12" applyFont="1" applyFill="1" applyBorder="1" applyAlignment="1">
      <alignment horizontal="center" vertical="center" wrapText="1"/>
    </xf>
    <xf numFmtId="0" fontId="27" fillId="4" borderId="0" xfId="12" applyFont="1" applyFill="1" applyAlignment="1">
      <alignment horizontal="center" vertical="center"/>
    </xf>
    <xf numFmtId="172" fontId="27" fillId="4" borderId="0" xfId="12" applyNumberFormat="1" applyFont="1" applyFill="1" applyAlignment="1">
      <alignment vertical="center"/>
    </xf>
    <xf numFmtId="0" fontId="5" fillId="0" borderId="0" xfId="22" applyFont="1" applyAlignment="1">
      <alignment vertical="center"/>
    </xf>
    <xf numFmtId="174" fontId="5" fillId="0" borderId="0" xfId="15" applyNumberFormat="1" applyFont="1" applyFill="1" applyBorder="1" applyAlignment="1">
      <alignment vertical="center" wrapText="1"/>
    </xf>
    <xf numFmtId="174" fontId="5" fillId="0" borderId="0" xfId="14" applyNumberFormat="1" applyFont="1" applyAlignment="1">
      <alignment vertical="center" wrapText="1"/>
    </xf>
    <xf numFmtId="0" fontId="13" fillId="0" borderId="0" xfId="12" applyFont="1" applyAlignment="1">
      <alignment vertical="center" wrapText="1"/>
    </xf>
    <xf numFmtId="174" fontId="5" fillId="0" borderId="0" xfId="19" applyNumberFormat="1" applyFont="1" applyAlignment="1">
      <alignment horizontal="right" vertical="center" wrapText="1"/>
    </xf>
    <xf numFmtId="174" fontId="5" fillId="0" borderId="0" xfId="15" applyNumberFormat="1" applyFont="1" applyFill="1" applyBorder="1" applyAlignment="1">
      <alignment horizontal="left" vertical="center" wrapText="1"/>
    </xf>
    <xf numFmtId="174" fontId="5" fillId="0" borderId="0" xfId="15" applyNumberFormat="1" applyFont="1" applyFill="1" applyBorder="1" applyAlignment="1">
      <alignment horizontal="right" vertical="center" wrapText="1"/>
    </xf>
    <xf numFmtId="174" fontId="5" fillId="0" borderId="0" xfId="19" applyNumberFormat="1" applyFont="1" applyAlignment="1">
      <alignment horizontal="left" vertical="center" wrapText="1"/>
    </xf>
    <xf numFmtId="174" fontId="5" fillId="0" borderId="0" xfId="19" applyNumberFormat="1" applyFont="1" applyAlignment="1">
      <alignment vertical="center" wrapText="1"/>
    </xf>
    <xf numFmtId="0" fontId="5" fillId="0" borderId="0" xfId="22" applyFont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0" xfId="22" quotePrefix="1" applyFont="1" applyAlignment="1">
      <alignment vertical="center"/>
    </xf>
    <xf numFmtId="169" fontId="0" fillId="0" borderId="7" xfId="1" applyFont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169" fontId="0" fillId="0" borderId="22" xfId="1" applyFont="1" applyBorder="1" applyAlignment="1">
      <alignment vertical="center"/>
    </xf>
    <xf numFmtId="0" fontId="0" fillId="0" borderId="22" xfId="0" applyBorder="1" applyAlignment="1">
      <alignment vertical="center"/>
    </xf>
    <xf numFmtId="169" fontId="0" fillId="0" borderId="13" xfId="1" applyFont="1" applyBorder="1" applyAlignment="1">
      <alignment vertical="center"/>
    </xf>
    <xf numFmtId="169" fontId="0" fillId="0" borderId="23" xfId="1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4" fontId="7" fillId="0" borderId="2" xfId="15" applyNumberFormat="1" applyFont="1" applyBorder="1" applyAlignment="1">
      <alignment horizontal="left" vertical="center" wrapText="1"/>
    </xf>
    <xf numFmtId="174" fontId="25" fillId="0" borderId="2" xfId="19" applyNumberFormat="1" applyFont="1" applyBorder="1" applyAlignment="1">
      <alignment vertical="center" wrapText="1"/>
    </xf>
    <xf numFmtId="0" fontId="5" fillId="0" borderId="0" xfId="0" applyFont="1"/>
    <xf numFmtId="0" fontId="4" fillId="0" borderId="0" xfId="0" quotePrefix="1" applyFont="1"/>
    <xf numFmtId="0" fontId="4" fillId="0" borderId="0" xfId="0" applyFont="1"/>
    <xf numFmtId="169" fontId="4" fillId="0" borderId="0" xfId="1" applyFont="1" applyFill="1" applyBorder="1" applyAlignment="1" applyProtection="1"/>
    <xf numFmtId="169" fontId="0" fillId="8" borderId="7" xfId="1" applyFont="1" applyFill="1" applyBorder="1" applyAlignment="1">
      <alignment vertical="center"/>
    </xf>
    <xf numFmtId="9" fontId="6" fillId="0" borderId="2" xfId="13" applyFont="1" applyBorder="1" applyAlignment="1">
      <alignment horizontal="center" vertical="center"/>
    </xf>
    <xf numFmtId="1" fontId="13" fillId="4" borderId="0" xfId="12" applyNumberFormat="1" applyFont="1" applyFill="1" applyAlignment="1">
      <alignment horizontal="center" vertical="center"/>
    </xf>
    <xf numFmtId="41" fontId="6" fillId="4" borderId="0" xfId="17" applyFont="1" applyFill="1" applyBorder="1" applyAlignment="1">
      <alignment vertical="center"/>
    </xf>
    <xf numFmtId="172" fontId="29" fillId="4" borderId="0" xfId="15" applyNumberFormat="1" applyFont="1" applyFill="1" applyBorder="1" applyAlignment="1">
      <alignment vertical="center"/>
    </xf>
    <xf numFmtId="172" fontId="36" fillId="4" borderId="0" xfId="15" applyNumberFormat="1" applyFont="1" applyFill="1" applyBorder="1" applyAlignment="1">
      <alignment vertical="center"/>
    </xf>
    <xf numFmtId="41" fontId="13" fillId="4" borderId="0" xfId="17" applyFont="1" applyFill="1" applyBorder="1" applyAlignment="1">
      <alignment vertical="center"/>
    </xf>
    <xf numFmtId="172" fontId="25" fillId="4" borderId="0" xfId="15" applyNumberFormat="1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175" fontId="0" fillId="0" borderId="0" xfId="0" applyNumberFormat="1" applyAlignment="1">
      <alignment vertical="center"/>
    </xf>
    <xf numFmtId="9" fontId="6" fillId="8" borderId="2" xfId="13" applyFont="1" applyFill="1" applyBorder="1" applyAlignment="1">
      <alignment vertical="center"/>
    </xf>
    <xf numFmtId="169" fontId="0" fillId="0" borderId="0" xfId="0" applyNumberFormat="1" applyAlignment="1">
      <alignment vertical="center"/>
    </xf>
    <xf numFmtId="172" fontId="20" fillId="0" borderId="2" xfId="15" applyNumberFormat="1" applyFont="1" applyFill="1" applyBorder="1" applyAlignment="1">
      <alignment vertical="center"/>
    </xf>
    <xf numFmtId="0" fontId="3" fillId="0" borderId="0" xfId="11" quotePrefix="1" applyFont="1"/>
    <xf numFmtId="0" fontId="14" fillId="0" borderId="0" xfId="22" applyFont="1" applyAlignment="1">
      <alignment vertical="center"/>
    </xf>
    <xf numFmtId="172" fontId="13" fillId="0" borderId="2" xfId="15" applyNumberFormat="1" applyFont="1" applyFill="1" applyBorder="1" applyAlignment="1">
      <alignment vertical="center"/>
    </xf>
    <xf numFmtId="0" fontId="0" fillId="8" borderId="0" xfId="0" applyFill="1" applyAlignment="1">
      <alignment vertical="center" wrapText="1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4" fontId="7" fillId="6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172" fontId="6" fillId="0" borderId="2" xfId="15" applyNumberFormat="1" applyFont="1" applyFill="1" applyBorder="1" applyAlignment="1">
      <alignment vertical="center" wrapText="1"/>
    </xf>
    <xf numFmtId="10" fontId="6" fillId="4" borderId="0" xfId="12" applyNumberFormat="1" applyFont="1" applyFill="1" applyAlignment="1">
      <alignment horizontal="center" vertical="center" wrapText="1"/>
    </xf>
    <xf numFmtId="0" fontId="14" fillId="4" borderId="0" xfId="12" applyFont="1" applyFill="1" applyAlignment="1">
      <alignment vertical="center" wrapText="1"/>
    </xf>
    <xf numFmtId="1" fontId="6" fillId="0" borderId="2" xfId="12" applyNumberFormat="1" applyFont="1" applyBorder="1" applyAlignment="1">
      <alignment horizontal="center" vertical="center" wrapText="1"/>
    </xf>
    <xf numFmtId="1" fontId="13" fillId="0" borderId="2" xfId="12" applyNumberFormat="1" applyFont="1" applyBorder="1" applyAlignment="1">
      <alignment horizontal="center" vertical="center" wrapText="1"/>
    </xf>
    <xf numFmtId="0" fontId="5" fillId="0" borderId="2" xfId="12" applyBorder="1" applyAlignment="1">
      <alignment vertical="center" wrapText="1"/>
    </xf>
    <xf numFmtId="172" fontId="20" fillId="0" borderId="2" xfId="15" applyNumberFormat="1" applyFont="1" applyBorder="1" applyAlignment="1">
      <alignment vertical="center" wrapText="1"/>
    </xf>
    <xf numFmtId="172" fontId="36" fillId="0" borderId="1" xfId="15" applyNumberFormat="1" applyFont="1" applyFill="1" applyBorder="1" applyAlignment="1">
      <alignment vertical="center" wrapText="1"/>
    </xf>
    <xf numFmtId="0" fontId="14" fillId="0" borderId="2" xfId="12" applyFont="1" applyBorder="1" applyAlignment="1">
      <alignment vertical="center" wrapText="1"/>
    </xf>
    <xf numFmtId="172" fontId="6" fillId="0" borderId="1" xfId="15" applyNumberFormat="1" applyFont="1" applyFill="1" applyBorder="1" applyAlignment="1">
      <alignment vertical="center" wrapText="1"/>
    </xf>
    <xf numFmtId="0" fontId="27" fillId="4" borderId="0" xfId="12" applyFont="1" applyFill="1" applyAlignment="1">
      <alignment vertical="center" wrapText="1"/>
    </xf>
    <xf numFmtId="186" fontId="6" fillId="4" borderId="4" xfId="12" applyNumberFormat="1" applyFont="1" applyFill="1" applyBorder="1" applyAlignment="1">
      <alignment vertical="center"/>
    </xf>
    <xf numFmtId="0" fontId="5" fillId="13" borderId="0" xfId="7" applyFill="1" applyAlignment="1">
      <alignment horizontal="center" vertical="center"/>
    </xf>
    <xf numFmtId="0" fontId="5" fillId="13" borderId="3" xfId="7" applyFill="1" applyBorder="1" applyAlignment="1">
      <alignment horizontal="center" vertical="center"/>
    </xf>
    <xf numFmtId="0" fontId="5" fillId="13" borderId="6" xfId="7" applyFill="1" applyBorder="1" applyAlignment="1">
      <alignment horizontal="center" vertical="center"/>
    </xf>
    <xf numFmtId="0" fontId="5" fillId="13" borderId="5" xfId="7" applyFill="1" applyBorder="1" applyAlignment="1">
      <alignment horizontal="center" vertical="center"/>
    </xf>
    <xf numFmtId="0" fontId="6" fillId="13" borderId="1" xfId="7" applyFont="1" applyFill="1" applyBorder="1" applyAlignment="1">
      <alignment horizontal="center" vertical="center"/>
    </xf>
    <xf numFmtId="187" fontId="6" fillId="13" borderId="1" xfId="7" applyNumberFormat="1" applyFont="1" applyFill="1" applyBorder="1" applyAlignment="1">
      <alignment horizontal="center" vertical="center"/>
    </xf>
    <xf numFmtId="0" fontId="5" fillId="0" borderId="0" xfId="7"/>
    <xf numFmtId="188" fontId="5" fillId="13" borderId="0" xfId="7" applyNumberFormat="1" applyFill="1" applyAlignment="1">
      <alignment horizontal="center" vertical="center"/>
    </xf>
    <xf numFmtId="167" fontId="5" fillId="19" borderId="18" xfId="211" applyFill="1" applyBorder="1" applyAlignment="1" applyProtection="1">
      <alignment horizontal="center" vertical="center"/>
    </xf>
    <xf numFmtId="187" fontId="5" fillId="13" borderId="0" xfId="7" applyNumberFormat="1" applyFill="1" applyAlignment="1">
      <alignment horizontal="center" vertical="center"/>
    </xf>
    <xf numFmtId="189" fontId="5" fillId="13" borderId="0" xfId="7" applyNumberFormat="1" applyFill="1" applyAlignment="1">
      <alignment horizontal="center" vertical="center"/>
    </xf>
    <xf numFmtId="0" fontId="5" fillId="0" borderId="0" xfId="7" applyAlignment="1">
      <alignment horizontal="center" vertical="center"/>
    </xf>
    <xf numFmtId="0" fontId="51" fillId="0" borderId="0" xfId="7" applyFont="1" applyAlignment="1">
      <alignment horizontal="center" vertical="center"/>
    </xf>
    <xf numFmtId="0" fontId="6" fillId="13" borderId="0" xfId="7" applyFont="1" applyFill="1" applyAlignment="1">
      <alignment horizontal="center" vertical="center"/>
    </xf>
    <xf numFmtId="0" fontId="12" fillId="13" borderId="0" xfId="7" applyFont="1" applyFill="1" applyAlignment="1">
      <alignment horizontal="center" vertical="center"/>
    </xf>
    <xf numFmtId="0" fontId="52" fillId="7" borderId="36" xfId="7" applyFont="1" applyFill="1" applyBorder="1" applyAlignment="1">
      <alignment horizontal="center" vertical="center"/>
    </xf>
    <xf numFmtId="0" fontId="52" fillId="7" borderId="37" xfId="7" applyFont="1" applyFill="1" applyBorder="1" applyAlignment="1">
      <alignment horizontal="center" vertical="center"/>
    </xf>
    <xf numFmtId="0" fontId="52" fillId="7" borderId="38" xfId="7" applyFont="1" applyFill="1" applyBorder="1" applyAlignment="1">
      <alignment horizontal="center" vertical="center"/>
    </xf>
    <xf numFmtId="187" fontId="6" fillId="20" borderId="8" xfId="7" applyNumberFormat="1" applyFont="1" applyFill="1" applyBorder="1" applyAlignment="1">
      <alignment horizontal="center" vertical="center"/>
    </xf>
    <xf numFmtId="187" fontId="6" fillId="20" borderId="10" xfId="7" applyNumberFormat="1" applyFont="1" applyFill="1" applyBorder="1" applyAlignment="1">
      <alignment horizontal="center" vertical="center"/>
    </xf>
    <xf numFmtId="187" fontId="6" fillId="20" borderId="9" xfId="7" applyNumberFormat="1" applyFont="1" applyFill="1" applyBorder="1" applyAlignment="1">
      <alignment horizontal="center" vertical="center"/>
    </xf>
    <xf numFmtId="0" fontId="6" fillId="21" borderId="1" xfId="7" applyFont="1" applyFill="1" applyBorder="1" applyAlignment="1" applyProtection="1">
      <alignment horizontal="center" vertical="center"/>
      <protection locked="0"/>
    </xf>
    <xf numFmtId="0" fontId="6" fillId="22" borderId="39" xfId="7" applyFont="1" applyFill="1" applyBorder="1" applyAlignment="1">
      <alignment horizontal="center" vertical="center" wrapText="1"/>
    </xf>
    <xf numFmtId="0" fontId="6" fillId="22" borderId="40" xfId="7" applyFont="1" applyFill="1" applyBorder="1" applyAlignment="1">
      <alignment horizontal="center" vertical="center" wrapText="1"/>
    </xf>
    <xf numFmtId="0" fontId="6" fillId="22" borderId="1" xfId="7" applyFont="1" applyFill="1" applyBorder="1" applyAlignment="1">
      <alignment horizontal="center" vertical="center" wrapText="1"/>
    </xf>
    <xf numFmtId="187" fontId="6" fillId="22" borderId="1" xfId="7" applyNumberFormat="1" applyFont="1" applyFill="1" applyBorder="1" applyAlignment="1">
      <alignment horizontal="center" vertical="center" wrapText="1"/>
    </xf>
    <xf numFmtId="187" fontId="6" fillId="23" borderId="1" xfId="7" applyNumberFormat="1" applyFont="1" applyFill="1" applyBorder="1" applyAlignment="1">
      <alignment horizontal="center" vertical="center" wrapText="1"/>
    </xf>
    <xf numFmtId="187" fontId="6" fillId="24" borderId="1" xfId="7" applyNumberFormat="1" applyFont="1" applyFill="1" applyBorder="1" applyAlignment="1">
      <alignment horizontal="center" vertical="center" wrapText="1"/>
    </xf>
    <xf numFmtId="189" fontId="6" fillId="25" borderId="1" xfId="7" applyNumberFormat="1" applyFont="1" applyFill="1" applyBorder="1" applyAlignment="1">
      <alignment horizontal="center" vertical="center" wrapText="1"/>
    </xf>
    <xf numFmtId="0" fontId="6" fillId="13" borderId="1" xfId="7" applyFont="1" applyFill="1" applyBorder="1" applyAlignment="1">
      <alignment horizontal="center" vertical="center" wrapText="1"/>
    </xf>
    <xf numFmtId="0" fontId="5" fillId="0" borderId="0" xfId="7" applyAlignment="1">
      <alignment horizontal="center" vertical="center" wrapText="1"/>
    </xf>
    <xf numFmtId="0" fontId="5" fillId="26" borderId="0" xfId="7" applyFill="1"/>
    <xf numFmtId="0" fontId="53" fillId="26" borderId="0" xfId="7" applyFont="1" applyFill="1"/>
    <xf numFmtId="0" fontId="5" fillId="13" borderId="31" xfId="7" applyFill="1" applyBorder="1" applyAlignment="1">
      <alignment horizontal="center" vertical="center"/>
    </xf>
    <xf numFmtId="0" fontId="6" fillId="13" borderId="7" xfId="7" applyFont="1" applyFill="1" applyBorder="1" applyAlignment="1">
      <alignment horizontal="center" vertical="center"/>
    </xf>
    <xf numFmtId="0" fontId="6" fillId="13" borderId="31" xfId="7" applyFont="1" applyFill="1" applyBorder="1" applyAlignment="1">
      <alignment horizontal="center" vertical="center"/>
    </xf>
    <xf numFmtId="0" fontId="6" fillId="27" borderId="31" xfId="7" applyFont="1" applyFill="1" applyBorder="1" applyAlignment="1">
      <alignment horizontal="center" vertical="center"/>
    </xf>
    <xf numFmtId="187" fontId="6" fillId="27" borderId="31" xfId="7" applyNumberFormat="1" applyFont="1" applyFill="1" applyBorder="1" applyAlignment="1">
      <alignment horizontal="center" vertical="center"/>
    </xf>
    <xf numFmtId="187" fontId="6" fillId="27" borderId="41" xfId="7" applyNumberFormat="1" applyFont="1" applyFill="1" applyBorder="1" applyAlignment="1">
      <alignment horizontal="center" vertical="center"/>
    </xf>
    <xf numFmtId="164" fontId="6" fillId="0" borderId="42" xfId="212" applyNumberFormat="1" applyFont="1" applyFill="1" applyBorder="1" applyAlignment="1" applyProtection="1">
      <alignment vertical="center"/>
    </xf>
    <xf numFmtId="0" fontId="5" fillId="13" borderId="7" xfId="7" applyFill="1" applyBorder="1" applyAlignment="1">
      <alignment horizontal="center" vertical="center"/>
    </xf>
    <xf numFmtId="0" fontId="6" fillId="27" borderId="7" xfId="7" applyFont="1" applyFill="1" applyBorder="1" applyAlignment="1">
      <alignment horizontal="center" vertical="center"/>
    </xf>
    <xf numFmtId="187" fontId="6" fillId="27" borderId="7" xfId="7" applyNumberFormat="1" applyFont="1" applyFill="1" applyBorder="1" applyAlignment="1">
      <alignment horizontal="center" vertical="center"/>
    </xf>
    <xf numFmtId="0" fontId="5" fillId="13" borderId="0" xfId="7" applyFill="1"/>
    <xf numFmtId="188" fontId="6" fillId="21" borderId="1" xfId="7" applyNumberFormat="1" applyFont="1" applyFill="1" applyBorder="1" applyAlignment="1">
      <alignment horizontal="center" vertical="center"/>
    </xf>
    <xf numFmtId="0" fontId="6" fillId="6" borderId="7" xfId="7" applyFont="1" applyFill="1" applyBorder="1" applyAlignment="1">
      <alignment horizontal="center" vertical="center"/>
    </xf>
    <xf numFmtId="187" fontId="6" fillId="6" borderId="7" xfId="7" applyNumberFormat="1" applyFont="1" applyFill="1" applyBorder="1" applyAlignment="1">
      <alignment horizontal="center" vertical="center"/>
    </xf>
    <xf numFmtId="0" fontId="6" fillId="8" borderId="7" xfId="7" applyFont="1" applyFill="1" applyBorder="1" applyAlignment="1">
      <alignment horizontal="center" vertical="center"/>
    </xf>
    <xf numFmtId="168" fontId="6" fillId="8" borderId="7" xfId="213" applyNumberFormat="1" applyFont="1" applyFill="1" applyBorder="1" applyAlignment="1" applyProtection="1">
      <alignment horizontal="center" vertical="center"/>
    </xf>
    <xf numFmtId="0" fontId="5" fillId="28" borderId="0" xfId="7" applyFill="1" applyAlignment="1">
      <alignment horizontal="center" vertical="center"/>
    </xf>
    <xf numFmtId="188" fontId="5" fillId="28" borderId="0" xfId="7" applyNumberFormat="1" applyFill="1" applyAlignment="1">
      <alignment horizontal="center" vertical="center"/>
    </xf>
    <xf numFmtId="190" fontId="5" fillId="28" borderId="0" xfId="214" applyNumberFormat="1" applyFont="1" applyFill="1" applyBorder="1" applyAlignment="1" applyProtection="1">
      <alignment horizontal="center" vertical="center"/>
    </xf>
    <xf numFmtId="190" fontId="5" fillId="28" borderId="0" xfId="7" applyNumberFormat="1" applyFill="1" applyAlignment="1">
      <alignment horizontal="center" vertical="center"/>
    </xf>
    <xf numFmtId="0" fontId="5" fillId="28" borderId="0" xfId="7" applyFill="1" applyAlignment="1">
      <alignment horizontal="center" vertical="center" wrapText="1"/>
    </xf>
    <xf numFmtId="187" fontId="5" fillId="28" borderId="0" xfId="7" applyNumberFormat="1" applyFill="1" applyAlignment="1">
      <alignment horizontal="center" vertical="center"/>
    </xf>
    <xf numFmtId="165" fontId="5" fillId="28" borderId="0" xfId="212" quotePrefix="1" applyFont="1" applyFill="1" applyBorder="1" applyAlignment="1" applyProtection="1">
      <alignment horizontal="center" vertical="center"/>
    </xf>
    <xf numFmtId="165" fontId="5" fillId="28" borderId="0" xfId="212" applyFont="1" applyFill="1" applyBorder="1" applyAlignment="1" applyProtection="1">
      <alignment horizontal="center" vertical="center"/>
    </xf>
    <xf numFmtId="0" fontId="5" fillId="28" borderId="0" xfId="215" applyFont="1" applyFill="1" applyAlignment="1" applyProtection="1">
      <alignment horizontal="center" vertical="center"/>
      <protection locked="0"/>
    </xf>
    <xf numFmtId="165" fontId="5" fillId="0" borderId="0" xfId="212" applyFont="1" applyFill="1" applyBorder="1" applyAlignment="1" applyProtection="1">
      <alignment horizontal="center" vertical="center"/>
    </xf>
    <xf numFmtId="0" fontId="5" fillId="0" borderId="0" xfId="215" applyFont="1" applyAlignment="1">
      <alignment horizontal="center" vertical="center"/>
    </xf>
    <xf numFmtId="0" fontId="54" fillId="0" borderId="0" xfId="215"/>
    <xf numFmtId="0" fontId="28" fillId="28" borderId="0" xfId="7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169" fontId="6" fillId="0" borderId="0" xfId="0" applyNumberFormat="1" applyFont="1" applyAlignment="1">
      <alignment vertical="center"/>
    </xf>
    <xf numFmtId="169" fontId="6" fillId="0" borderId="0" xfId="1" applyFont="1" applyAlignment="1">
      <alignment horizontal="center" vertical="center"/>
    </xf>
    <xf numFmtId="17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9" fontId="6" fillId="0" borderId="7" xfId="1" applyFont="1" applyBorder="1" applyAlignment="1">
      <alignment horizontal="center" vertical="center"/>
    </xf>
    <xf numFmtId="167" fontId="6" fillId="0" borderId="7" xfId="6" applyFont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vertical="center" wrapText="1"/>
    </xf>
    <xf numFmtId="164" fontId="5" fillId="28" borderId="0" xfId="212" quotePrefix="1" applyNumberFormat="1" applyFont="1" applyFill="1" applyBorder="1" applyAlignment="1" applyProtection="1">
      <alignment horizontal="center" vertical="center"/>
    </xf>
    <xf numFmtId="164" fontId="5" fillId="28" borderId="0" xfId="212" applyNumberFormat="1" applyFont="1" applyFill="1" applyBorder="1" applyAlignment="1" applyProtection="1">
      <alignment horizontal="center" vertical="center"/>
    </xf>
    <xf numFmtId="164" fontId="5" fillId="0" borderId="0" xfId="212" applyNumberFormat="1" applyFont="1" applyFill="1" applyBorder="1" applyAlignment="1" applyProtection="1">
      <alignment horizontal="center" vertical="center"/>
    </xf>
    <xf numFmtId="0" fontId="55" fillId="29" borderId="0" xfId="1" applyNumberFormat="1" applyFont="1" applyFill="1" applyAlignment="1">
      <alignment vertical="top" wrapText="1"/>
    </xf>
    <xf numFmtId="169" fontId="0" fillId="0" borderId="0" xfId="1" applyFont="1" applyAlignment="1">
      <alignment vertical="center" wrapText="1"/>
    </xf>
    <xf numFmtId="169" fontId="5" fillId="0" borderId="0" xfId="1" applyFont="1" applyAlignment="1">
      <alignment vertical="center"/>
    </xf>
    <xf numFmtId="169" fontId="55" fillId="29" borderId="0" xfId="1" applyFont="1" applyFill="1" applyAlignment="1">
      <alignment horizontal="right" vertical="top" wrapText="1"/>
    </xf>
    <xf numFmtId="0" fontId="0" fillId="0" borderId="0" xfId="0" applyAlignment="1">
      <alignment horizontal="left" vertical="center"/>
    </xf>
    <xf numFmtId="169" fontId="0" fillId="7" borderId="0" xfId="1" applyFont="1" applyFill="1" applyAlignment="1">
      <alignment vertical="center" wrapText="1"/>
    </xf>
    <xf numFmtId="169" fontId="5" fillId="7" borderId="0" xfId="1" applyFont="1" applyFill="1" applyAlignment="1">
      <alignment vertical="center"/>
    </xf>
    <xf numFmtId="169" fontId="0" fillId="7" borderId="0" xfId="1" applyFont="1" applyFill="1" applyAlignment="1">
      <alignment vertical="center"/>
    </xf>
    <xf numFmtId="0" fontId="0" fillId="7" borderId="0" xfId="0" applyFill="1" applyAlignment="1">
      <alignment vertical="center"/>
    </xf>
    <xf numFmtId="169" fontId="0" fillId="7" borderId="0" xfId="1" applyFont="1" applyFill="1" applyAlignment="1">
      <alignment horizontal="center" vertical="center"/>
    </xf>
    <xf numFmtId="173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169" fontId="27" fillId="0" borderId="0" xfId="1" applyFont="1" applyAlignment="1">
      <alignment vertical="center"/>
    </xf>
    <xf numFmtId="169" fontId="27" fillId="0" borderId="0" xfId="1" applyFont="1" applyAlignment="1">
      <alignment horizontal="center" vertical="center"/>
    </xf>
    <xf numFmtId="173" fontId="27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left" vertical="center" wrapText="1"/>
    </xf>
    <xf numFmtId="168" fontId="28" fillId="0" borderId="0" xfId="52" applyFont="1" applyAlignment="1">
      <alignment horizontal="left" vertical="center" wrapText="1"/>
    </xf>
    <xf numFmtId="0" fontId="28" fillId="0" borderId="0" xfId="0" applyFont="1" applyAlignment="1">
      <alignment vertical="center"/>
    </xf>
    <xf numFmtId="173" fontId="28" fillId="0" borderId="0" xfId="0" applyNumberFormat="1" applyFont="1" applyAlignment="1">
      <alignment horizontal="center" vertical="center"/>
    </xf>
    <xf numFmtId="191" fontId="28" fillId="0" borderId="0" xfId="52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169" fontId="28" fillId="0" borderId="0" xfId="1" applyFont="1" applyAlignment="1">
      <alignment horizontal="center" vertical="center"/>
    </xf>
    <xf numFmtId="0" fontId="28" fillId="8" borderId="0" xfId="0" applyFont="1" applyFill="1" applyAlignment="1">
      <alignment vertical="center" wrapText="1"/>
    </xf>
    <xf numFmtId="0" fontId="28" fillId="0" borderId="0" xfId="0" quotePrefix="1" applyFont="1"/>
    <xf numFmtId="0" fontId="28" fillId="0" borderId="0" xfId="0" applyFont="1"/>
    <xf numFmtId="0" fontId="27" fillId="8" borderId="0" xfId="0" applyFont="1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5" fillId="28" borderId="0" xfId="7" applyFill="1" applyAlignment="1" applyProtection="1">
      <alignment horizontal="center" vertical="center"/>
      <protection locked="0"/>
    </xf>
    <xf numFmtId="165" fontId="6" fillId="0" borderId="42" xfId="212" applyFont="1" applyFill="1" applyBorder="1" applyAlignment="1" applyProtection="1">
      <alignment horizontal="center" vertical="center"/>
    </xf>
    <xf numFmtId="0" fontId="5" fillId="28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169" fontId="28" fillId="0" borderId="0" xfId="1" applyFont="1" applyAlignment="1">
      <alignment vertical="center" wrapText="1"/>
    </xf>
    <xf numFmtId="169" fontId="28" fillId="0" borderId="0" xfId="1" applyFont="1" applyAlignment="1">
      <alignment vertical="center"/>
    </xf>
    <xf numFmtId="16" fontId="28" fillId="0" borderId="0" xfId="0" applyNumberFormat="1" applyFont="1" applyAlignment="1">
      <alignment vertical="center"/>
    </xf>
    <xf numFmtId="0" fontId="28" fillId="0" borderId="0" xfId="22" quotePrefix="1" applyFont="1" applyAlignment="1">
      <alignment vertical="center"/>
    </xf>
    <xf numFmtId="0" fontId="28" fillId="0" borderId="0" xfId="22" applyFont="1" applyAlignment="1">
      <alignment vertical="center"/>
    </xf>
    <xf numFmtId="0" fontId="27" fillId="0" borderId="2" xfId="12" applyFont="1" applyBorder="1" applyAlignment="1">
      <alignment vertical="center" wrapText="1"/>
    </xf>
    <xf numFmtId="0" fontId="56" fillId="0" borderId="2" xfId="12" applyFont="1" applyBorder="1" applyAlignment="1">
      <alignment vertical="center" wrapText="1"/>
    </xf>
    <xf numFmtId="165" fontId="0" fillId="0" borderId="0" xfId="0" applyNumberFormat="1" applyAlignment="1">
      <alignment vertical="center"/>
    </xf>
    <xf numFmtId="14" fontId="5" fillId="28" borderId="0" xfId="7" applyNumberFormat="1" applyFill="1" applyAlignment="1">
      <alignment horizontal="center" vertical="center"/>
    </xf>
    <xf numFmtId="190" fontId="28" fillId="28" borderId="0" xfId="214" applyNumberFormat="1" applyFont="1" applyFill="1" applyBorder="1" applyAlignment="1" applyProtection="1">
      <alignment horizontal="center" vertical="center"/>
    </xf>
    <xf numFmtId="167" fontId="6" fillId="9" borderId="3" xfId="6" applyFont="1" applyFill="1" applyBorder="1" applyAlignment="1">
      <alignment horizontal="center" vertical="center"/>
    </xf>
    <xf numFmtId="167" fontId="6" fillId="9" borderId="5" xfId="6" applyFont="1" applyFill="1" applyBorder="1" applyAlignment="1">
      <alignment horizontal="center" vertical="center"/>
    </xf>
    <xf numFmtId="167" fontId="6" fillId="3" borderId="3" xfId="6" applyFont="1" applyFill="1" applyBorder="1" applyAlignment="1">
      <alignment horizontal="center" vertical="center"/>
    </xf>
    <xf numFmtId="167" fontId="6" fillId="3" borderId="5" xfId="6" applyFont="1" applyFill="1" applyBorder="1" applyAlignment="1">
      <alignment horizontal="center" vertical="center"/>
    </xf>
    <xf numFmtId="0" fontId="10" fillId="2" borderId="3" xfId="12" applyFont="1" applyFill="1" applyBorder="1" applyAlignment="1">
      <alignment horizontal="center" vertical="center"/>
    </xf>
    <xf numFmtId="0" fontId="10" fillId="2" borderId="6" xfId="12" applyFont="1" applyFill="1" applyBorder="1" applyAlignment="1">
      <alignment horizontal="center" vertical="center"/>
    </xf>
    <xf numFmtId="0" fontId="10" fillId="2" borderId="5" xfId="12" applyFont="1" applyFill="1" applyBorder="1" applyAlignment="1">
      <alignment horizontal="center" vertical="center"/>
    </xf>
    <xf numFmtId="0" fontId="6" fillId="0" borderId="3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/>
    </xf>
    <xf numFmtId="0" fontId="6" fillId="0" borderId="5" xfId="12" applyFont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</cellXfs>
  <cellStyles count="218">
    <cellStyle name="20% - Énfasis1 2" xfId="28" xr:uid="{00000000-0005-0000-0000-000000000000}"/>
    <cellStyle name="20% - Énfasis1 2 2" xfId="216" xr:uid="{00000000-0005-0000-0000-000001000000}"/>
    <cellStyle name="20% - Énfasis3 2" xfId="217" xr:uid="{00000000-0005-0000-0000-000002000000}"/>
    <cellStyle name="Buena 2" xfId="29" xr:uid="{00000000-0005-0000-0000-000003000000}"/>
    <cellStyle name="Bueno 2" xfId="30" xr:uid="{00000000-0005-0000-0000-000004000000}"/>
    <cellStyle name="cod y variedad" xfId="31" xr:uid="{00000000-0005-0000-0000-000005000000}"/>
    <cellStyle name="Euro" xfId="32" xr:uid="{00000000-0005-0000-0000-000006000000}"/>
    <cellStyle name="Euro 2" xfId="33" xr:uid="{00000000-0005-0000-0000-000007000000}"/>
    <cellStyle name="Euro 2 2" xfId="34" xr:uid="{00000000-0005-0000-0000-000008000000}"/>
    <cellStyle name="Euro 2 2 2" xfId="35" xr:uid="{00000000-0005-0000-0000-000009000000}"/>
    <cellStyle name="Euro 2 3" xfId="36" xr:uid="{00000000-0005-0000-0000-00000A000000}"/>
    <cellStyle name="Euro 2 3 2" xfId="37" xr:uid="{00000000-0005-0000-0000-00000B000000}"/>
    <cellStyle name="Euro 2 4" xfId="38" xr:uid="{00000000-0005-0000-0000-00000C000000}"/>
    <cellStyle name="Euro 2 4 2" xfId="39" xr:uid="{00000000-0005-0000-0000-00000D000000}"/>
    <cellStyle name="Euro 2 5" xfId="40" xr:uid="{00000000-0005-0000-0000-00000E000000}"/>
    <cellStyle name="Euro 3" xfId="41" xr:uid="{00000000-0005-0000-0000-00000F000000}"/>
    <cellStyle name="Euro 3 2" xfId="42" xr:uid="{00000000-0005-0000-0000-000010000000}"/>
    <cellStyle name="Euro 4" xfId="43" xr:uid="{00000000-0005-0000-0000-000011000000}"/>
    <cellStyle name="Euro 4 2" xfId="44" xr:uid="{00000000-0005-0000-0000-000012000000}"/>
    <cellStyle name="Euro 5" xfId="45" xr:uid="{00000000-0005-0000-0000-000013000000}"/>
    <cellStyle name="Euro 5 2" xfId="46" xr:uid="{00000000-0005-0000-0000-000014000000}"/>
    <cellStyle name="Euro 6" xfId="47" xr:uid="{00000000-0005-0000-0000-000015000000}"/>
    <cellStyle name="F3" xfId="48" xr:uid="{00000000-0005-0000-0000-000016000000}"/>
    <cellStyle name="Followed Hyperlink" xfId="49" xr:uid="{00000000-0005-0000-0000-000017000000}"/>
    <cellStyle name="form" xfId="50" xr:uid="{00000000-0005-0000-0000-000018000000}"/>
    <cellStyle name="Hipervínculo 2" xfId="18" xr:uid="{00000000-0005-0000-0000-000019000000}"/>
    <cellStyle name="Hyperlink" xfId="51" xr:uid="{00000000-0005-0000-0000-00001A000000}"/>
    <cellStyle name="Millares" xfId="1" builtinId="3"/>
    <cellStyle name="Millares [0] 2" xfId="17" xr:uid="{00000000-0005-0000-0000-00001C000000}"/>
    <cellStyle name="Millares 10" xfId="52" xr:uid="{00000000-0005-0000-0000-00001D000000}"/>
    <cellStyle name="Millares 10 2" xfId="53" xr:uid="{00000000-0005-0000-0000-00001E000000}"/>
    <cellStyle name="Millares 11" xfId="54" xr:uid="{00000000-0005-0000-0000-00001F000000}"/>
    <cellStyle name="Millares 12" xfId="55" xr:uid="{00000000-0005-0000-0000-000020000000}"/>
    <cellStyle name="Millares 13" xfId="56" xr:uid="{00000000-0005-0000-0000-000021000000}"/>
    <cellStyle name="Millares 14" xfId="57" xr:uid="{00000000-0005-0000-0000-000022000000}"/>
    <cellStyle name="Millares 15" xfId="58" xr:uid="{00000000-0005-0000-0000-000023000000}"/>
    <cellStyle name="Millares 16" xfId="59" xr:uid="{00000000-0005-0000-0000-000024000000}"/>
    <cellStyle name="Millares 17" xfId="60" xr:uid="{00000000-0005-0000-0000-000025000000}"/>
    <cellStyle name="Millares 18" xfId="61" xr:uid="{00000000-0005-0000-0000-000026000000}"/>
    <cellStyle name="Millares 19" xfId="62" xr:uid="{00000000-0005-0000-0000-000027000000}"/>
    <cellStyle name="Millares 2" xfId="2" xr:uid="{00000000-0005-0000-0000-000028000000}"/>
    <cellStyle name="Millares 2 2" xfId="15" xr:uid="{00000000-0005-0000-0000-000029000000}"/>
    <cellStyle name="Millares 2 2 2" xfId="63" xr:uid="{00000000-0005-0000-0000-00002A000000}"/>
    <cellStyle name="Millares 2 2 2 2" xfId="64" xr:uid="{00000000-0005-0000-0000-00002B000000}"/>
    <cellStyle name="Millares 2 2 3" xfId="65" xr:uid="{00000000-0005-0000-0000-00002C000000}"/>
    <cellStyle name="Millares 2 3" xfId="25" xr:uid="{00000000-0005-0000-0000-00002D000000}"/>
    <cellStyle name="Millares 2 3 2" xfId="66" xr:uid="{00000000-0005-0000-0000-00002E000000}"/>
    <cellStyle name="Millares 2 4" xfId="67" xr:uid="{00000000-0005-0000-0000-00002F000000}"/>
    <cellStyle name="Millares 2 4 2" xfId="68" xr:uid="{00000000-0005-0000-0000-000030000000}"/>
    <cellStyle name="Millares 2 5" xfId="69" xr:uid="{00000000-0005-0000-0000-000031000000}"/>
    <cellStyle name="Millares 2 6" xfId="213" xr:uid="{00000000-0005-0000-0000-000032000000}"/>
    <cellStyle name="Millares 20" xfId="70" xr:uid="{00000000-0005-0000-0000-000033000000}"/>
    <cellStyle name="Millares 21" xfId="71" xr:uid="{00000000-0005-0000-0000-000034000000}"/>
    <cellStyle name="Millares 22" xfId="214" xr:uid="{00000000-0005-0000-0000-000035000000}"/>
    <cellStyle name="Millares 3" xfId="3" xr:uid="{00000000-0005-0000-0000-000036000000}"/>
    <cellStyle name="Millares 3 2" xfId="72" xr:uid="{00000000-0005-0000-0000-000037000000}"/>
    <cellStyle name="Millares 3 2 2" xfId="73" xr:uid="{00000000-0005-0000-0000-000038000000}"/>
    <cellStyle name="Millares 3 3" xfId="74" xr:uid="{00000000-0005-0000-0000-000039000000}"/>
    <cellStyle name="Millares 4" xfId="4" xr:uid="{00000000-0005-0000-0000-00003A000000}"/>
    <cellStyle name="Millares 4 2" xfId="75" xr:uid="{00000000-0005-0000-0000-00003B000000}"/>
    <cellStyle name="Millares 4 2 2" xfId="76" xr:uid="{00000000-0005-0000-0000-00003C000000}"/>
    <cellStyle name="Millares 4 3" xfId="77" xr:uid="{00000000-0005-0000-0000-00003D000000}"/>
    <cellStyle name="Millares 5" xfId="5" xr:uid="{00000000-0005-0000-0000-00003E000000}"/>
    <cellStyle name="Millares 5 2" xfId="78" xr:uid="{00000000-0005-0000-0000-00003F000000}"/>
    <cellStyle name="Millares 5 2 2" xfId="79" xr:uid="{00000000-0005-0000-0000-000040000000}"/>
    <cellStyle name="Millares 5 3" xfId="80" xr:uid="{00000000-0005-0000-0000-000041000000}"/>
    <cellStyle name="Millares 6" xfId="21" xr:uid="{00000000-0005-0000-0000-000042000000}"/>
    <cellStyle name="Millares 6 2" xfId="81" xr:uid="{00000000-0005-0000-0000-000043000000}"/>
    <cellStyle name="Millares 7" xfId="27" xr:uid="{00000000-0005-0000-0000-000044000000}"/>
    <cellStyle name="Millares 8" xfId="23" xr:uid="{00000000-0005-0000-0000-000045000000}"/>
    <cellStyle name="Millares 9" xfId="82" xr:uid="{00000000-0005-0000-0000-000046000000}"/>
    <cellStyle name="Moneda" xfId="6" builtinId="4"/>
    <cellStyle name="Moneda 2" xfId="24" xr:uid="{00000000-0005-0000-0000-000048000000}"/>
    <cellStyle name="Moneda 2 2" xfId="83" xr:uid="{00000000-0005-0000-0000-000049000000}"/>
    <cellStyle name="Moneda 2 2 2" xfId="84" xr:uid="{00000000-0005-0000-0000-00004A000000}"/>
    <cellStyle name="Moneda 2 2 2 2" xfId="85" xr:uid="{00000000-0005-0000-0000-00004B000000}"/>
    <cellStyle name="Moneda 2 2 3" xfId="86" xr:uid="{00000000-0005-0000-0000-00004C000000}"/>
    <cellStyle name="Moneda 2 3" xfId="87" xr:uid="{00000000-0005-0000-0000-00004D000000}"/>
    <cellStyle name="Moneda 2 3 2" xfId="88" xr:uid="{00000000-0005-0000-0000-00004E000000}"/>
    <cellStyle name="Moneda 2 3 2 2" xfId="89" xr:uid="{00000000-0005-0000-0000-00004F000000}"/>
    <cellStyle name="Moneda 2 3 3" xfId="90" xr:uid="{00000000-0005-0000-0000-000050000000}"/>
    <cellStyle name="Moneda 2 4" xfId="91" xr:uid="{00000000-0005-0000-0000-000051000000}"/>
    <cellStyle name="Moneda 2 4 2" xfId="92" xr:uid="{00000000-0005-0000-0000-000052000000}"/>
    <cellStyle name="Moneda 2 5" xfId="93" xr:uid="{00000000-0005-0000-0000-000053000000}"/>
    <cellStyle name="Moneda 2 5 2" xfId="94" xr:uid="{00000000-0005-0000-0000-000054000000}"/>
    <cellStyle name="Moneda 2 5 2 2" xfId="95" xr:uid="{00000000-0005-0000-0000-000055000000}"/>
    <cellStyle name="Moneda 2 5 3" xfId="96" xr:uid="{00000000-0005-0000-0000-000056000000}"/>
    <cellStyle name="Moneda 2 6" xfId="97" xr:uid="{00000000-0005-0000-0000-000057000000}"/>
    <cellStyle name="Moneda 2 7" xfId="211" xr:uid="{00000000-0005-0000-0000-000058000000}"/>
    <cellStyle name="Moneda 3" xfId="98" xr:uid="{00000000-0005-0000-0000-000059000000}"/>
    <cellStyle name="Moneda 3 2" xfId="99" xr:uid="{00000000-0005-0000-0000-00005A000000}"/>
    <cellStyle name="Moneda 3 2 2" xfId="100" xr:uid="{00000000-0005-0000-0000-00005B000000}"/>
    <cellStyle name="Moneda 3 3" xfId="101" xr:uid="{00000000-0005-0000-0000-00005C000000}"/>
    <cellStyle name="Moneda 3 3 2" xfId="102" xr:uid="{00000000-0005-0000-0000-00005D000000}"/>
    <cellStyle name="Moneda 3 3 2 2" xfId="103" xr:uid="{00000000-0005-0000-0000-00005E000000}"/>
    <cellStyle name="Moneda 3 3 3" xfId="104" xr:uid="{00000000-0005-0000-0000-00005F000000}"/>
    <cellStyle name="Moneda 3 4" xfId="105" xr:uid="{00000000-0005-0000-0000-000060000000}"/>
    <cellStyle name="Moneda 4" xfId="106" xr:uid="{00000000-0005-0000-0000-000061000000}"/>
    <cellStyle name="Moneda 4 2" xfId="107" xr:uid="{00000000-0005-0000-0000-000062000000}"/>
    <cellStyle name="Moneda 4 3" xfId="108" xr:uid="{00000000-0005-0000-0000-000063000000}"/>
    <cellStyle name="Moneda 5" xfId="109" xr:uid="{00000000-0005-0000-0000-000064000000}"/>
    <cellStyle name="Moneda 6" xfId="110" xr:uid="{00000000-0005-0000-0000-000065000000}"/>
    <cellStyle name="Moneda 7" xfId="212" xr:uid="{00000000-0005-0000-0000-000066000000}"/>
    <cellStyle name="Neutral 2" xfId="111" xr:uid="{00000000-0005-0000-0000-000067000000}"/>
    <cellStyle name="Normal" xfId="0" builtinId="0"/>
    <cellStyle name="Normal 10" xfId="112" xr:uid="{00000000-0005-0000-0000-000069000000}"/>
    <cellStyle name="Normal 10 2" xfId="113" xr:uid="{00000000-0005-0000-0000-00006A000000}"/>
    <cellStyle name="Normal 11" xfId="114" xr:uid="{00000000-0005-0000-0000-00006B000000}"/>
    <cellStyle name="Normal 11 2" xfId="115" xr:uid="{00000000-0005-0000-0000-00006C000000}"/>
    <cellStyle name="Normal 12" xfId="116" xr:uid="{00000000-0005-0000-0000-00006D000000}"/>
    <cellStyle name="Normal 13" xfId="117" xr:uid="{00000000-0005-0000-0000-00006E000000}"/>
    <cellStyle name="Normal 14" xfId="118" xr:uid="{00000000-0005-0000-0000-00006F000000}"/>
    <cellStyle name="Normal 15" xfId="119" xr:uid="{00000000-0005-0000-0000-000070000000}"/>
    <cellStyle name="Normal 16" xfId="120" xr:uid="{00000000-0005-0000-0000-000071000000}"/>
    <cellStyle name="Normal 17" xfId="121" xr:uid="{00000000-0005-0000-0000-000072000000}"/>
    <cellStyle name="Normal 18" xfId="122" xr:uid="{00000000-0005-0000-0000-000073000000}"/>
    <cellStyle name="Normal 19" xfId="123" xr:uid="{00000000-0005-0000-0000-000074000000}"/>
    <cellStyle name="Normal 2" xfId="7" xr:uid="{00000000-0005-0000-0000-000075000000}"/>
    <cellStyle name="Normal 2 2" xfId="8" xr:uid="{00000000-0005-0000-0000-000076000000}"/>
    <cellStyle name="Normal 2 2 2" xfId="124" xr:uid="{00000000-0005-0000-0000-000077000000}"/>
    <cellStyle name="Normal 2 2 2 2" xfId="125" xr:uid="{00000000-0005-0000-0000-000078000000}"/>
    <cellStyle name="Normal 2 2 3" xfId="126" xr:uid="{00000000-0005-0000-0000-000079000000}"/>
    <cellStyle name="Normal 2 2 3 2" xfId="127" xr:uid="{00000000-0005-0000-0000-00007A000000}"/>
    <cellStyle name="Normal 2 2 4" xfId="128" xr:uid="{00000000-0005-0000-0000-00007B000000}"/>
    <cellStyle name="Normal 2 2 4 2" xfId="129" xr:uid="{00000000-0005-0000-0000-00007C000000}"/>
    <cellStyle name="Normal 2 2 4 2 2" xfId="130" xr:uid="{00000000-0005-0000-0000-00007D000000}"/>
    <cellStyle name="Normal 2 2 4 3" xfId="131" xr:uid="{00000000-0005-0000-0000-00007E000000}"/>
    <cellStyle name="Normal 2 2 5" xfId="132" xr:uid="{00000000-0005-0000-0000-00007F000000}"/>
    <cellStyle name="Normal 2 3" xfId="14" xr:uid="{00000000-0005-0000-0000-000080000000}"/>
    <cellStyle name="Normal 2 3 2" xfId="133" xr:uid="{00000000-0005-0000-0000-000081000000}"/>
    <cellStyle name="Normal 2 3 2 2" xfId="134" xr:uid="{00000000-0005-0000-0000-000082000000}"/>
    <cellStyle name="Normal 2 3 3" xfId="135" xr:uid="{00000000-0005-0000-0000-000083000000}"/>
    <cellStyle name="Normal 2 3 3 2" xfId="136" xr:uid="{00000000-0005-0000-0000-000084000000}"/>
    <cellStyle name="Normal 2 3 4" xfId="137" xr:uid="{00000000-0005-0000-0000-000085000000}"/>
    <cellStyle name="Normal 2 4" xfId="138" xr:uid="{00000000-0005-0000-0000-000086000000}"/>
    <cellStyle name="Normal 2 4 2" xfId="139" xr:uid="{00000000-0005-0000-0000-000087000000}"/>
    <cellStyle name="Normal 2 4 2 2" xfId="140" xr:uid="{00000000-0005-0000-0000-000088000000}"/>
    <cellStyle name="Normal 2 4 3" xfId="141" xr:uid="{00000000-0005-0000-0000-000089000000}"/>
    <cellStyle name="Normal 2 5" xfId="142" xr:uid="{00000000-0005-0000-0000-00008A000000}"/>
    <cellStyle name="Normal 2 5 2" xfId="143" xr:uid="{00000000-0005-0000-0000-00008B000000}"/>
    <cellStyle name="Normal 2 5 2 2" xfId="144" xr:uid="{00000000-0005-0000-0000-00008C000000}"/>
    <cellStyle name="Normal 2 5 3" xfId="145" xr:uid="{00000000-0005-0000-0000-00008D000000}"/>
    <cellStyle name="Normal 2 6" xfId="146" xr:uid="{00000000-0005-0000-0000-00008E000000}"/>
    <cellStyle name="Normal 2 6 2" xfId="147" xr:uid="{00000000-0005-0000-0000-00008F000000}"/>
    <cellStyle name="Normal 2 7" xfId="148" xr:uid="{00000000-0005-0000-0000-000090000000}"/>
    <cellStyle name="Normal 2 8" xfId="149" xr:uid="{00000000-0005-0000-0000-000091000000}"/>
    <cellStyle name="Normal 20" xfId="150" xr:uid="{00000000-0005-0000-0000-000092000000}"/>
    <cellStyle name="Normal 21" xfId="151" xr:uid="{00000000-0005-0000-0000-000093000000}"/>
    <cellStyle name="Normal 22" xfId="152" xr:uid="{00000000-0005-0000-0000-000094000000}"/>
    <cellStyle name="Normal 23" xfId="153" xr:uid="{00000000-0005-0000-0000-000095000000}"/>
    <cellStyle name="Normal 24" xfId="154" xr:uid="{00000000-0005-0000-0000-000096000000}"/>
    <cellStyle name="Normal 25" xfId="155" xr:uid="{00000000-0005-0000-0000-000097000000}"/>
    <cellStyle name="Normal 26" xfId="156" xr:uid="{00000000-0005-0000-0000-000098000000}"/>
    <cellStyle name="Normal 27" xfId="157" xr:uid="{00000000-0005-0000-0000-000099000000}"/>
    <cellStyle name="Normal 28" xfId="158" xr:uid="{00000000-0005-0000-0000-00009A000000}"/>
    <cellStyle name="Normal 29" xfId="159" xr:uid="{00000000-0005-0000-0000-00009B000000}"/>
    <cellStyle name="Normal 3" xfId="9" xr:uid="{00000000-0005-0000-0000-00009C000000}"/>
    <cellStyle name="Normal 3 2" xfId="160" xr:uid="{00000000-0005-0000-0000-00009D000000}"/>
    <cellStyle name="Normal 3 2 2" xfId="161" xr:uid="{00000000-0005-0000-0000-00009E000000}"/>
    <cellStyle name="Normal 3 3" xfId="162" xr:uid="{00000000-0005-0000-0000-00009F000000}"/>
    <cellStyle name="Normal 3 3 2" xfId="163" xr:uid="{00000000-0005-0000-0000-0000A0000000}"/>
    <cellStyle name="Normal 3 4" xfId="164" xr:uid="{00000000-0005-0000-0000-0000A1000000}"/>
    <cellStyle name="Normal 3 4 2" xfId="165" xr:uid="{00000000-0005-0000-0000-0000A2000000}"/>
    <cellStyle name="Normal 3 5" xfId="166" xr:uid="{00000000-0005-0000-0000-0000A3000000}"/>
    <cellStyle name="Normal 3 5 2" xfId="167" xr:uid="{00000000-0005-0000-0000-0000A4000000}"/>
    <cellStyle name="Normal 3 6" xfId="168" xr:uid="{00000000-0005-0000-0000-0000A5000000}"/>
    <cellStyle name="Normal 30" xfId="169" xr:uid="{00000000-0005-0000-0000-0000A6000000}"/>
    <cellStyle name="Normal 31" xfId="170" xr:uid="{00000000-0005-0000-0000-0000A7000000}"/>
    <cellStyle name="Normal 32" xfId="171" xr:uid="{00000000-0005-0000-0000-0000A8000000}"/>
    <cellStyle name="Normal 33" xfId="172" xr:uid="{00000000-0005-0000-0000-0000A9000000}"/>
    <cellStyle name="Normal 34" xfId="173" xr:uid="{00000000-0005-0000-0000-0000AA000000}"/>
    <cellStyle name="Normal 35" xfId="174" xr:uid="{00000000-0005-0000-0000-0000AB000000}"/>
    <cellStyle name="Normal 36" xfId="215" xr:uid="{00000000-0005-0000-0000-0000AC000000}"/>
    <cellStyle name="Normal 4" xfId="10" xr:uid="{00000000-0005-0000-0000-0000AD000000}"/>
    <cellStyle name="Normal 4 2" xfId="175" xr:uid="{00000000-0005-0000-0000-0000AE000000}"/>
    <cellStyle name="Normal 5" xfId="11" xr:uid="{00000000-0005-0000-0000-0000AF000000}"/>
    <cellStyle name="Normal 5 2" xfId="176" xr:uid="{00000000-0005-0000-0000-0000B0000000}"/>
    <cellStyle name="Normal 5 3" xfId="177" xr:uid="{00000000-0005-0000-0000-0000B1000000}"/>
    <cellStyle name="Normal 5 3 2" xfId="178" xr:uid="{00000000-0005-0000-0000-0000B2000000}"/>
    <cellStyle name="Normal 5 4" xfId="179" xr:uid="{00000000-0005-0000-0000-0000B3000000}"/>
    <cellStyle name="Normal 6" xfId="26" xr:uid="{00000000-0005-0000-0000-0000B4000000}"/>
    <cellStyle name="Normal 6 2" xfId="180" xr:uid="{00000000-0005-0000-0000-0000B5000000}"/>
    <cellStyle name="Normal 6 2 2" xfId="181" xr:uid="{00000000-0005-0000-0000-0000B6000000}"/>
    <cellStyle name="Normal 6 3" xfId="182" xr:uid="{00000000-0005-0000-0000-0000B7000000}"/>
    <cellStyle name="Normal 7" xfId="183" xr:uid="{00000000-0005-0000-0000-0000B8000000}"/>
    <cellStyle name="Normal 7 2" xfId="184" xr:uid="{00000000-0005-0000-0000-0000B9000000}"/>
    <cellStyle name="Normal 7 2 2" xfId="185" xr:uid="{00000000-0005-0000-0000-0000BA000000}"/>
    <cellStyle name="Normal 7 2 2 2" xfId="186" xr:uid="{00000000-0005-0000-0000-0000BB000000}"/>
    <cellStyle name="Normal 7 2 3" xfId="187" xr:uid="{00000000-0005-0000-0000-0000BC000000}"/>
    <cellStyle name="Normal 7 3" xfId="188" xr:uid="{00000000-0005-0000-0000-0000BD000000}"/>
    <cellStyle name="Normal 7 3 2" xfId="189" xr:uid="{00000000-0005-0000-0000-0000BE000000}"/>
    <cellStyle name="Normal 7 3 2 2" xfId="190" xr:uid="{00000000-0005-0000-0000-0000BF000000}"/>
    <cellStyle name="Normal 7 3 3" xfId="191" xr:uid="{00000000-0005-0000-0000-0000C0000000}"/>
    <cellStyle name="Normal 7 4" xfId="192" xr:uid="{00000000-0005-0000-0000-0000C1000000}"/>
    <cellStyle name="Normal 7 4 2" xfId="193" xr:uid="{00000000-0005-0000-0000-0000C2000000}"/>
    <cellStyle name="Normal 8" xfId="194" xr:uid="{00000000-0005-0000-0000-0000C3000000}"/>
    <cellStyle name="Normal 8 2" xfId="195" xr:uid="{00000000-0005-0000-0000-0000C4000000}"/>
    <cellStyle name="Normal 9" xfId="196" xr:uid="{00000000-0005-0000-0000-0000C5000000}"/>
    <cellStyle name="Normal 9 2" xfId="197" xr:uid="{00000000-0005-0000-0000-0000C6000000}"/>
    <cellStyle name="Normal_Bairs_Abaco_Temp_March_15_2010" xfId="19" xr:uid="{00000000-0005-0000-0000-0000C7000000}"/>
    <cellStyle name="Normal_Budget 2008-09 NUEVO AJUSTADO enero 14" xfId="12" xr:uid="{00000000-0005-0000-0000-0000C8000000}"/>
    <cellStyle name="Normal_Report_Anual_Capital_Trabajo_Temp_2008-2009" xfId="22" xr:uid="{00000000-0005-0000-0000-0000C9000000}"/>
    <cellStyle name="Notas 2" xfId="198" xr:uid="{00000000-0005-0000-0000-0000CA000000}"/>
    <cellStyle name="Porcentaje" xfId="13" builtinId="5"/>
    <cellStyle name="Porcentaje 2" xfId="16" xr:uid="{00000000-0005-0000-0000-0000CB000000}"/>
    <cellStyle name="Porcentaje 2 2" xfId="199" xr:uid="{00000000-0005-0000-0000-0000CC000000}"/>
    <cellStyle name="Porcentaje 2 2 2" xfId="200" xr:uid="{00000000-0005-0000-0000-0000CD000000}"/>
    <cellStyle name="Porcentaje 2 3" xfId="201" xr:uid="{00000000-0005-0000-0000-0000CE000000}"/>
    <cellStyle name="Porcentaje 2 3 2" xfId="202" xr:uid="{00000000-0005-0000-0000-0000CF000000}"/>
    <cellStyle name="Porcentaje 2 4" xfId="203" xr:uid="{00000000-0005-0000-0000-0000D0000000}"/>
    <cellStyle name="Porcentaje 2 4 2" xfId="204" xr:uid="{00000000-0005-0000-0000-0000D1000000}"/>
    <cellStyle name="Porcentaje 2 5" xfId="205" xr:uid="{00000000-0005-0000-0000-0000D2000000}"/>
    <cellStyle name="Porcentaje 3" xfId="20" xr:uid="{00000000-0005-0000-0000-0000D3000000}"/>
    <cellStyle name="Porcentaje 3 2" xfId="206" xr:uid="{00000000-0005-0000-0000-0000D4000000}"/>
    <cellStyle name="Porcentaje 4" xfId="207" xr:uid="{00000000-0005-0000-0000-0000D5000000}"/>
    <cellStyle name="precios" xfId="208" xr:uid="{00000000-0005-0000-0000-0000D7000000}"/>
    <cellStyle name="titulos" xfId="209" xr:uid="{00000000-0005-0000-0000-0000D8000000}"/>
    <cellStyle name="Total 2" xfId="210" xr:uid="{00000000-0005-0000-0000-0000D900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66"/>
      </font>
      <fill>
        <patternFill>
          <bgColor rgb="FF0070C0"/>
        </patternFill>
      </fill>
    </dxf>
    <dxf>
      <font>
        <b/>
        <i/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rgb="FFFF0000"/>
      </font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b/>
        <i val="0"/>
        <color rgb="FFFFFF0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V1078"/>
  <sheetViews>
    <sheetView zoomScale="70" zoomScaleNormal="70" workbookViewId="0">
      <pane xSplit="6" ySplit="10" topLeftCell="R335" activePane="bottomRight" state="frozen"/>
      <selection pane="topRight" activeCell="G1" sqref="G1"/>
      <selection pane="bottomLeft" activeCell="A11" sqref="A11"/>
      <selection pane="bottomRight" activeCell="R346" sqref="R346"/>
    </sheetView>
  </sheetViews>
  <sheetFormatPr baseColWidth="10" defaultColWidth="10.83203125" defaultRowHeight="13"/>
  <cols>
    <col min="1" max="1" width="42.83203125" style="9" bestFit="1" customWidth="1"/>
    <col min="2" max="2" width="33" style="5" bestFit="1" customWidth="1"/>
    <col min="3" max="3" width="10.83203125" style="5"/>
    <col min="4" max="4" width="13.1640625" style="34" bestFit="1" customWidth="1"/>
    <col min="5" max="5" width="33.1640625" style="88" customWidth="1"/>
    <col min="6" max="6" width="10.5" style="36" customWidth="1"/>
    <col min="7" max="7" width="39.5" style="5" bestFit="1" customWidth="1"/>
    <col min="8" max="8" width="15.33203125" style="5" customWidth="1"/>
    <col min="9" max="9" width="22.5" style="62" customWidth="1"/>
    <col min="10" max="10" width="19.1640625" style="62" customWidth="1"/>
    <col min="11" max="11" width="20.1640625" style="62" customWidth="1"/>
    <col min="12" max="12" width="13.1640625" style="100" customWidth="1"/>
    <col min="13" max="13" width="18.83203125" style="5" customWidth="1"/>
    <col min="14" max="14" width="12.5" style="34" customWidth="1"/>
    <col min="15" max="15" width="28.1640625" style="5" customWidth="1"/>
    <col min="16" max="16" width="40.5" style="5" customWidth="1"/>
    <col min="17" max="17" width="115.5" style="5" customWidth="1"/>
    <col min="18" max="18" width="100.83203125" style="5" bestFit="1" customWidth="1"/>
    <col min="19" max="19" width="22.83203125" style="5" customWidth="1"/>
    <col min="20" max="20" width="29.5" style="5" customWidth="1"/>
    <col min="21" max="21" width="38.83203125" style="5" bestFit="1" customWidth="1"/>
    <col min="22" max="22" width="35.5" style="5" hidden="1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+SUMIF($E$10:$E$371,H4,$I$10:$I$371)</f>
        <v>13187448</v>
      </c>
      <c r="J4" s="298">
        <f>+SUMIF($E$10:$E$371,H4,$J$10:$J$371)</f>
        <v>9389.8586017875386</v>
      </c>
      <c r="K4" s="299">
        <f>+I4/J4</f>
        <v>1404.4352060306337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ROUND(SUM(I10:I1080),0)</f>
        <v>0</v>
      </c>
      <c r="J7" s="104">
        <f>ROUND(SUM(J10:J1080),0)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SUM(I10:I371)</f>
        <v>97836924.420000032</v>
      </c>
      <c r="J9" s="104">
        <f>SUM(J10:J371)</f>
        <v>69488.431189172319</v>
      </c>
      <c r="L9" s="62"/>
      <c r="M9" s="62"/>
      <c r="N9" s="62"/>
    </row>
    <row r="10" spans="1:40" ht="32">
      <c r="A10" s="215" t="s">
        <v>329</v>
      </c>
      <c r="B10" s="12" t="s">
        <v>81</v>
      </c>
      <c r="C10" s="9"/>
      <c r="D10" s="12" t="s">
        <v>71</v>
      </c>
      <c r="E10" s="12" t="s">
        <v>72</v>
      </c>
      <c r="F10" s="37" t="s">
        <v>1151</v>
      </c>
      <c r="G10" s="7" t="s">
        <v>1152</v>
      </c>
      <c r="H10" s="7"/>
      <c r="I10" s="8" t="s">
        <v>1153</v>
      </c>
      <c r="J10" s="8" t="s">
        <v>1154</v>
      </c>
      <c r="K10" s="71" t="s">
        <v>1155</v>
      </c>
      <c r="L10" s="101" t="s">
        <v>16</v>
      </c>
      <c r="M10" s="7" t="s">
        <v>1156</v>
      </c>
      <c r="N10" s="7" t="s">
        <v>1157</v>
      </c>
      <c r="O10" s="7" t="s">
        <v>1158</v>
      </c>
      <c r="P10" s="7" t="s">
        <v>1159</v>
      </c>
      <c r="Q10" s="7" t="s">
        <v>102</v>
      </c>
      <c r="R10" s="7" t="s">
        <v>1160</v>
      </c>
      <c r="S10" s="7" t="s">
        <v>1161</v>
      </c>
      <c r="T10" s="7" t="s">
        <v>1162</v>
      </c>
      <c r="U10" s="7"/>
      <c r="V10" s="7"/>
      <c r="W10" s="7"/>
      <c r="X10" s="8"/>
      <c r="Y10" s="7"/>
      <c r="Z10" s="7"/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2" spans="1:40" customFormat="1" ht="28">
      <c r="A12" s="300">
        <v>12020103</v>
      </c>
      <c r="B12">
        <v>5226</v>
      </c>
      <c r="D12" s="214" t="s">
        <v>383</v>
      </c>
      <c r="E12" s="212" t="str">
        <f>+VLOOKUP(F12,Resumen_Base!$B$6:$F$69,5,0)</f>
        <v>Fixed Asset's Payments (Investments) Mejoras/equipamiento Lodge</v>
      </c>
      <c r="F12" s="179" t="s">
        <v>46</v>
      </c>
      <c r="G12" s="168" t="s">
        <v>47</v>
      </c>
      <c r="H12" s="5" t="str">
        <f t="shared" ref="H12:H75" si="0">+D12&amp;F12</f>
        <v>DEL12020103</v>
      </c>
      <c r="I12" s="62">
        <v>100000</v>
      </c>
      <c r="J12" s="62">
        <v>66.6666666666667</v>
      </c>
      <c r="K12" s="62">
        <v>1500</v>
      </c>
      <c r="L12" s="100" t="s">
        <v>858</v>
      </c>
      <c r="M12" s="5" t="s">
        <v>452</v>
      </c>
      <c r="N12" s="34" t="s">
        <v>464</v>
      </c>
      <c r="O12" s="5" t="s">
        <v>880</v>
      </c>
      <c r="P12" s="5" t="s">
        <v>597</v>
      </c>
      <c r="Q12" s="5" t="s">
        <v>881</v>
      </c>
      <c r="R12" s="5" t="s">
        <v>887</v>
      </c>
      <c r="S12" s="5" t="s">
        <v>882</v>
      </c>
      <c r="T12" s="5" t="s">
        <v>445</v>
      </c>
      <c r="U12" s="5"/>
      <c r="V12" s="5"/>
      <c r="W12" s="5"/>
      <c r="X12" s="5"/>
      <c r="Y12" s="5"/>
      <c r="Z12" s="5"/>
      <c r="AA12" s="5"/>
    </row>
    <row r="13" spans="1:40" customFormat="1" ht="28">
      <c r="A13" s="300">
        <v>12020103</v>
      </c>
      <c r="B13">
        <v>5226</v>
      </c>
      <c r="D13" s="214" t="s">
        <v>383</v>
      </c>
      <c r="E13" s="212" t="str">
        <f>+VLOOKUP(F13,Resumen_Base!$B$6:$F$69,5,0)</f>
        <v>Fixed Asset's Payments (Investments) Mejoras/equipamiento Lodge</v>
      </c>
      <c r="F13" s="179" t="s">
        <v>46</v>
      </c>
      <c r="G13" s="168" t="s">
        <v>47</v>
      </c>
      <c r="H13" s="5" t="str">
        <f t="shared" si="0"/>
        <v>DEL12020103</v>
      </c>
      <c r="I13" s="62">
        <v>15000</v>
      </c>
      <c r="J13" s="62">
        <v>10.791366906474799</v>
      </c>
      <c r="K13" s="62">
        <v>1390</v>
      </c>
      <c r="L13" s="100" t="s">
        <v>628</v>
      </c>
      <c r="M13" s="5" t="s">
        <v>452</v>
      </c>
      <c r="N13" s="34" t="s">
        <v>464</v>
      </c>
      <c r="O13" s="5" t="s">
        <v>629</v>
      </c>
      <c r="P13" s="5" t="s">
        <v>597</v>
      </c>
      <c r="Q13" s="5" t="s">
        <v>630</v>
      </c>
      <c r="R13" s="5" t="s">
        <v>650</v>
      </c>
      <c r="S13" s="5" t="s">
        <v>632</v>
      </c>
      <c r="T13" s="5" t="s">
        <v>445</v>
      </c>
      <c r="U13" s="5"/>
      <c r="V13" s="5"/>
      <c r="W13" s="5"/>
      <c r="X13" s="5"/>
      <c r="Y13" s="5"/>
      <c r="Z13" s="5"/>
      <c r="AA13" s="5"/>
    </row>
    <row r="14" spans="1:40" customFormat="1" ht="28">
      <c r="A14" s="300">
        <v>12020103</v>
      </c>
      <c r="B14">
        <v>5226</v>
      </c>
      <c r="D14" s="214" t="s">
        <v>383</v>
      </c>
      <c r="E14" s="212" t="str">
        <f>+VLOOKUP(F14,Resumen_Base!$B$6:$F$69,5,0)</f>
        <v>Fixed Asset's Payments (Investments) Mejoras/equipamiento Lodge</v>
      </c>
      <c r="F14" s="179" t="s">
        <v>46</v>
      </c>
      <c r="G14" s="168" t="s">
        <v>47</v>
      </c>
      <c r="H14" s="5" t="str">
        <f t="shared" si="0"/>
        <v>DEL12020103</v>
      </c>
      <c r="I14" s="62">
        <v>300000</v>
      </c>
      <c r="J14" s="62">
        <v>200</v>
      </c>
      <c r="K14" s="62">
        <v>1500</v>
      </c>
      <c r="L14" s="100" t="s">
        <v>858</v>
      </c>
      <c r="M14" s="5" t="s">
        <v>452</v>
      </c>
      <c r="N14" s="34" t="s">
        <v>464</v>
      </c>
      <c r="O14" s="5" t="s">
        <v>859</v>
      </c>
      <c r="P14" s="5" t="s">
        <v>597</v>
      </c>
      <c r="Q14" s="5" t="s">
        <v>860</v>
      </c>
      <c r="R14" s="5" t="s">
        <v>865</v>
      </c>
      <c r="S14" s="5" t="s">
        <v>862</v>
      </c>
      <c r="T14" s="5" t="s">
        <v>445</v>
      </c>
      <c r="U14" s="5"/>
      <c r="V14" s="5"/>
      <c r="W14" s="5"/>
      <c r="X14" s="5"/>
      <c r="Y14" s="5"/>
      <c r="Z14" s="5"/>
      <c r="AA14" s="5"/>
    </row>
    <row r="15" spans="1:40" customFormat="1" ht="28">
      <c r="D15" s="214" t="s">
        <v>383</v>
      </c>
      <c r="E15" s="212" t="str">
        <f>+VLOOKUP(F15,Resumen_Base!$B$6:$F$69,5,0)</f>
        <v>Fixed Asset's Payments (Investments) Mejoras/equipamiento Lodge</v>
      </c>
      <c r="F15" s="36" t="s">
        <v>46</v>
      </c>
      <c r="G15" s="5" t="s">
        <v>47</v>
      </c>
      <c r="H15" s="5" t="str">
        <f t="shared" si="0"/>
        <v>DEL12020103</v>
      </c>
      <c r="I15" s="62">
        <v>7800000</v>
      </c>
      <c r="J15" s="62">
        <v>6000</v>
      </c>
      <c r="K15" s="62">
        <v>1300</v>
      </c>
      <c r="L15" s="100" t="s">
        <v>463</v>
      </c>
      <c r="M15" s="5" t="s">
        <v>452</v>
      </c>
      <c r="N15" s="34" t="s">
        <v>464</v>
      </c>
      <c r="O15" s="5" t="s">
        <v>540</v>
      </c>
      <c r="P15" s="5" t="s">
        <v>454</v>
      </c>
      <c r="Q15" s="5" t="s">
        <v>541</v>
      </c>
      <c r="R15" s="5" t="s">
        <v>542</v>
      </c>
      <c r="S15" s="5" t="s">
        <v>543</v>
      </c>
      <c r="T15" s="5" t="s">
        <v>445</v>
      </c>
      <c r="U15" s="5"/>
      <c r="V15" s="5"/>
      <c r="W15" s="5"/>
      <c r="X15" s="5"/>
      <c r="Y15" s="5"/>
      <c r="Z15" s="5"/>
      <c r="AA15" s="5"/>
    </row>
    <row r="16" spans="1:40" customFormat="1" ht="28">
      <c r="D16" s="214" t="s">
        <v>383</v>
      </c>
      <c r="E16" s="212" t="str">
        <f>+VLOOKUP(F16,Resumen_Base!$B$6:$F$69,5,0)</f>
        <v>Fixed Asset's Payments (Investments) Mejoras/equipamiento Lodge</v>
      </c>
      <c r="F16" s="36" t="s">
        <v>46</v>
      </c>
      <c r="G16" s="5" t="s">
        <v>47</v>
      </c>
      <c r="H16" s="5" t="str">
        <f t="shared" si="0"/>
        <v>DEL12020103</v>
      </c>
      <c r="I16" s="62">
        <v>100000</v>
      </c>
      <c r="J16" s="62">
        <v>70.921985815602795</v>
      </c>
      <c r="K16" s="62">
        <v>1410</v>
      </c>
      <c r="L16" s="100" t="s">
        <v>678</v>
      </c>
      <c r="M16" s="5" t="s">
        <v>452</v>
      </c>
      <c r="N16" s="34" t="s">
        <v>464</v>
      </c>
      <c r="O16" s="5" t="s">
        <v>683</v>
      </c>
      <c r="P16" s="5" t="s">
        <v>597</v>
      </c>
      <c r="Q16" s="5" t="s">
        <v>684</v>
      </c>
      <c r="R16" s="5" t="s">
        <v>695</v>
      </c>
      <c r="S16" s="5" t="s">
        <v>685</v>
      </c>
      <c r="T16" s="5" t="s">
        <v>445</v>
      </c>
      <c r="U16" s="5"/>
      <c r="V16" s="5"/>
      <c r="W16" s="5"/>
      <c r="X16" s="5"/>
      <c r="Y16" s="5"/>
      <c r="Z16" s="5"/>
      <c r="AA16" s="5"/>
    </row>
    <row r="17" spans="1:27" customFormat="1" ht="28">
      <c r="D17" s="214" t="s">
        <v>383</v>
      </c>
      <c r="E17" s="212" t="str">
        <f>+VLOOKUP(F17,Resumen_Base!$B$6:$F$69,5,0)</f>
        <v>Fixed Asset's Payments (Investments) Mejoras/equipamiento Lodge</v>
      </c>
      <c r="F17" s="36" t="s">
        <v>46</v>
      </c>
      <c r="G17" s="5" t="s">
        <v>47</v>
      </c>
      <c r="H17" s="5" t="str">
        <f t="shared" si="0"/>
        <v>DEL12020103</v>
      </c>
      <c r="I17" s="62">
        <v>2860000</v>
      </c>
      <c r="J17" s="62">
        <v>2000</v>
      </c>
      <c r="K17" s="62">
        <v>1430</v>
      </c>
      <c r="L17" s="100" t="s">
        <v>751</v>
      </c>
      <c r="M17" s="5" t="s">
        <v>452</v>
      </c>
      <c r="N17" s="34" t="s">
        <v>464</v>
      </c>
      <c r="O17" s="5" t="s">
        <v>774</v>
      </c>
      <c r="P17" s="5" t="s">
        <v>597</v>
      </c>
      <c r="Q17" s="5" t="s">
        <v>775</v>
      </c>
      <c r="R17" s="5" t="s">
        <v>776</v>
      </c>
      <c r="S17" s="5" t="s">
        <v>777</v>
      </c>
      <c r="T17" s="5" t="s">
        <v>445</v>
      </c>
      <c r="U17" s="5"/>
      <c r="V17" s="5"/>
      <c r="W17" s="5"/>
      <c r="X17" s="5"/>
      <c r="Y17" s="5"/>
      <c r="Z17" s="5"/>
      <c r="AA17" s="5"/>
    </row>
    <row r="18" spans="1:27" customFormat="1" ht="28">
      <c r="D18" s="214" t="s">
        <v>383</v>
      </c>
      <c r="E18" s="212" t="str">
        <f>+VLOOKUP(F18,Resumen_Base!$B$6:$F$69,5,0)</f>
        <v>Fixed Asset's Payments (Investments) Mejoras/equipamiento Lodge</v>
      </c>
      <c r="F18" s="36" t="s">
        <v>46</v>
      </c>
      <c r="G18" s="5" t="s">
        <v>47</v>
      </c>
      <c r="H18" s="5" t="str">
        <f t="shared" si="0"/>
        <v>DEL12020103</v>
      </c>
      <c r="I18" s="62">
        <v>300000</v>
      </c>
      <c r="J18" s="62">
        <v>215.82733812949601</v>
      </c>
      <c r="K18" s="62">
        <v>1390</v>
      </c>
      <c r="L18" s="100" t="s">
        <v>628</v>
      </c>
      <c r="M18" s="5" t="s">
        <v>452</v>
      </c>
      <c r="N18" s="34" t="s">
        <v>464</v>
      </c>
      <c r="O18" s="5" t="s">
        <v>629</v>
      </c>
      <c r="P18" s="5" t="s">
        <v>597</v>
      </c>
      <c r="Q18" s="5" t="s">
        <v>630</v>
      </c>
      <c r="R18" s="5" t="s">
        <v>668</v>
      </c>
      <c r="S18" s="5" t="s">
        <v>632</v>
      </c>
      <c r="T18" s="5" t="s">
        <v>445</v>
      </c>
      <c r="U18" s="5"/>
      <c r="V18" s="5"/>
      <c r="W18" s="5"/>
      <c r="X18" s="5"/>
      <c r="Y18" s="5"/>
      <c r="Z18" s="5"/>
      <c r="AA18" s="5"/>
    </row>
    <row r="19" spans="1:27" customFormat="1" ht="28">
      <c r="D19" s="214" t="s">
        <v>383</v>
      </c>
      <c r="E19" s="212" t="str">
        <f>+VLOOKUP(F19,Resumen_Base!$B$6:$F$69,5,0)</f>
        <v>Fixed Asset's Payments (Investments) Mejoras/equipamiento Lodge</v>
      </c>
      <c r="F19" s="36" t="s">
        <v>46</v>
      </c>
      <c r="G19" s="5" t="s">
        <v>47</v>
      </c>
      <c r="H19" s="5" t="str">
        <f t="shared" si="0"/>
        <v>DEL12020103</v>
      </c>
      <c r="I19" s="62">
        <v>450000</v>
      </c>
      <c r="J19" s="62">
        <v>316.90140845070403</v>
      </c>
      <c r="K19" s="62">
        <v>1420</v>
      </c>
      <c r="L19" s="100" t="s">
        <v>1030</v>
      </c>
      <c r="M19" s="5" t="s">
        <v>452</v>
      </c>
      <c r="N19" s="34" t="s">
        <v>464</v>
      </c>
      <c r="O19" s="5" t="s">
        <v>1031</v>
      </c>
      <c r="P19" s="5" t="s">
        <v>597</v>
      </c>
      <c r="Q19" s="5" t="s">
        <v>1032</v>
      </c>
      <c r="R19" s="5" t="s">
        <v>1065</v>
      </c>
      <c r="S19" s="5" t="s">
        <v>1033</v>
      </c>
      <c r="T19" s="5" t="s">
        <v>445</v>
      </c>
      <c r="U19" s="5"/>
      <c r="V19" s="5"/>
      <c r="W19" s="5"/>
      <c r="X19" s="5"/>
      <c r="Y19" s="5"/>
      <c r="Z19" s="5"/>
      <c r="AA19" s="5"/>
    </row>
    <row r="20" spans="1:27" customFormat="1" ht="28">
      <c r="D20" s="214" t="s">
        <v>383</v>
      </c>
      <c r="E20" s="212" t="str">
        <f>+VLOOKUP(F20,Resumen_Base!$B$6:$F$69,5,0)</f>
        <v>Fixed Asset's Payments (Investments) Mejoras/equipamiento Lodge</v>
      </c>
      <c r="F20" s="36" t="s">
        <v>46</v>
      </c>
      <c r="G20" s="5" t="s">
        <v>47</v>
      </c>
      <c r="H20" s="5" t="str">
        <f t="shared" si="0"/>
        <v>DEL12020103</v>
      </c>
      <c r="I20" s="62">
        <v>1050000</v>
      </c>
      <c r="J20" s="62">
        <v>700</v>
      </c>
      <c r="K20" s="62">
        <v>1500</v>
      </c>
      <c r="L20" s="100" t="s">
        <v>858</v>
      </c>
      <c r="M20" s="5" t="s">
        <v>452</v>
      </c>
      <c r="N20" s="34" t="s">
        <v>464</v>
      </c>
      <c r="O20" s="5" t="s">
        <v>859</v>
      </c>
      <c r="P20" s="5" t="s">
        <v>597</v>
      </c>
      <c r="Q20" s="5" t="s">
        <v>860</v>
      </c>
      <c r="R20" s="5" t="s">
        <v>869</v>
      </c>
      <c r="S20" s="5" t="s">
        <v>862</v>
      </c>
      <c r="T20" s="5" t="s">
        <v>445</v>
      </c>
      <c r="U20" s="5"/>
      <c r="V20" s="5"/>
      <c r="W20" s="5"/>
      <c r="X20" s="5"/>
      <c r="Y20" s="5"/>
      <c r="Z20" s="5"/>
      <c r="AA20" s="5"/>
    </row>
    <row r="21" spans="1:27" customFormat="1" ht="28">
      <c r="D21" s="214" t="s">
        <v>383</v>
      </c>
      <c r="E21" s="212" t="str">
        <f>+VLOOKUP(F21,Resumen_Base!$B$6:$F$69,5,0)</f>
        <v>Fixed Asset's Payments (Investments) Mejoras/equipamiento Lodge</v>
      </c>
      <c r="F21" s="36" t="s">
        <v>46</v>
      </c>
      <c r="G21" s="5" t="s">
        <v>47</v>
      </c>
      <c r="H21" s="5" t="str">
        <f t="shared" si="0"/>
        <v>DEL12020103</v>
      </c>
      <c r="I21" s="62">
        <v>620000</v>
      </c>
      <c r="J21" s="62">
        <v>446.04316546762601</v>
      </c>
      <c r="K21" s="62">
        <v>1390</v>
      </c>
      <c r="L21" s="100" t="s">
        <v>628</v>
      </c>
      <c r="M21" s="5" t="s">
        <v>452</v>
      </c>
      <c r="N21" s="34" t="s">
        <v>464</v>
      </c>
      <c r="O21" s="5" t="s">
        <v>629</v>
      </c>
      <c r="P21" s="5" t="s">
        <v>597</v>
      </c>
      <c r="Q21" s="5" t="s">
        <v>630</v>
      </c>
      <c r="R21" s="5" t="s">
        <v>648</v>
      </c>
      <c r="S21" s="5" t="s">
        <v>632</v>
      </c>
      <c r="T21" s="5" t="s">
        <v>445</v>
      </c>
      <c r="U21" s="5"/>
      <c r="V21" s="5"/>
      <c r="W21" s="5"/>
      <c r="X21" s="5"/>
      <c r="Y21" s="5"/>
      <c r="Z21" s="5"/>
      <c r="AA21" s="5"/>
    </row>
    <row r="22" spans="1:27" customFormat="1" ht="28">
      <c r="D22" s="214" t="s">
        <v>383</v>
      </c>
      <c r="E22" s="212" t="str">
        <f>+VLOOKUP(F22,Resumen_Base!$B$6:$F$69,5,0)</f>
        <v>Fixed Asset's Payments (Investments) Mejoras/equipamiento Lodge</v>
      </c>
      <c r="F22" s="36" t="s">
        <v>46</v>
      </c>
      <c r="G22" s="5" t="s">
        <v>47</v>
      </c>
      <c r="H22" s="5" t="str">
        <f t="shared" si="0"/>
        <v>DEL12020103</v>
      </c>
      <c r="I22" s="62">
        <v>150000</v>
      </c>
      <c r="J22" s="62">
        <v>107.91366906474801</v>
      </c>
      <c r="K22" s="62">
        <v>1390</v>
      </c>
      <c r="L22" s="100" t="s">
        <v>628</v>
      </c>
      <c r="M22" s="5" t="s">
        <v>452</v>
      </c>
      <c r="N22" s="34" t="s">
        <v>464</v>
      </c>
      <c r="O22" s="5" t="s">
        <v>629</v>
      </c>
      <c r="P22" s="5" t="s">
        <v>597</v>
      </c>
      <c r="Q22" s="5" t="s">
        <v>630</v>
      </c>
      <c r="R22" s="5" t="s">
        <v>669</v>
      </c>
      <c r="S22" s="5" t="s">
        <v>632</v>
      </c>
      <c r="T22" s="5" t="s">
        <v>445</v>
      </c>
      <c r="U22" s="5"/>
      <c r="V22" s="5"/>
      <c r="W22" s="5"/>
      <c r="X22" s="5"/>
      <c r="Y22" s="5"/>
      <c r="Z22" s="5"/>
      <c r="AA22" s="5"/>
    </row>
    <row r="23" spans="1:27" customFormat="1" ht="28">
      <c r="D23" s="214" t="s">
        <v>383</v>
      </c>
      <c r="E23" s="212" t="str">
        <f>+VLOOKUP(F23,Resumen_Base!$B$6:$F$69,5,0)</f>
        <v>Fixed Asset's Payments (Investments) Mejoras/equipamiento Lodge</v>
      </c>
      <c r="F23" s="36" t="s">
        <v>46</v>
      </c>
      <c r="G23" s="5" t="s">
        <v>47</v>
      </c>
      <c r="H23" s="5" t="str">
        <f t="shared" si="0"/>
        <v>DEL12020103</v>
      </c>
      <c r="I23" s="62">
        <v>9000</v>
      </c>
      <c r="J23" s="62">
        <v>6.2937062937062898</v>
      </c>
      <c r="K23" s="62">
        <v>1430</v>
      </c>
      <c r="L23" s="100" t="s">
        <v>751</v>
      </c>
      <c r="M23" s="5" t="s">
        <v>452</v>
      </c>
      <c r="N23" s="34" t="s">
        <v>464</v>
      </c>
      <c r="O23" s="5" t="s">
        <v>752</v>
      </c>
      <c r="P23" s="5" t="s">
        <v>597</v>
      </c>
      <c r="Q23" s="5" t="s">
        <v>753</v>
      </c>
      <c r="R23" s="5" t="s">
        <v>772</v>
      </c>
      <c r="S23" s="5" t="s">
        <v>755</v>
      </c>
      <c r="T23" s="5" t="s">
        <v>445</v>
      </c>
      <c r="U23" s="5"/>
      <c r="V23" s="5"/>
      <c r="W23" s="5"/>
      <c r="X23" s="5"/>
      <c r="Y23" s="5"/>
      <c r="Z23" s="5"/>
      <c r="AA23" s="5"/>
    </row>
    <row r="24" spans="1:27" customFormat="1" ht="28">
      <c r="D24" s="214" t="s">
        <v>383</v>
      </c>
      <c r="E24" s="212" t="str">
        <f>+VLOOKUP(F24,Resumen_Base!$B$6:$F$69,5,0)</f>
        <v>Fixed Asset's Payments (Investments) Mejoras/equipamiento Lodge</v>
      </c>
      <c r="F24" s="36" t="s">
        <v>46</v>
      </c>
      <c r="G24" s="5" t="s">
        <v>47</v>
      </c>
      <c r="H24" s="5" t="str">
        <f t="shared" si="0"/>
        <v>DEL12020103</v>
      </c>
      <c r="I24" s="62">
        <v>76600</v>
      </c>
      <c r="J24" s="62">
        <v>51.066666666666698</v>
      </c>
      <c r="K24" s="62">
        <v>1500</v>
      </c>
      <c r="L24" s="100" t="s">
        <v>858</v>
      </c>
      <c r="M24" s="5" t="s">
        <v>452</v>
      </c>
      <c r="N24" s="34" t="s">
        <v>464</v>
      </c>
      <c r="O24" s="5" t="s">
        <v>880</v>
      </c>
      <c r="P24" s="5" t="s">
        <v>597</v>
      </c>
      <c r="Q24" s="5" t="s">
        <v>881</v>
      </c>
      <c r="R24" s="5" t="s">
        <v>896</v>
      </c>
      <c r="S24" s="5" t="s">
        <v>882</v>
      </c>
      <c r="T24" s="5" t="s">
        <v>445</v>
      </c>
      <c r="U24" s="5"/>
      <c r="V24" s="5"/>
      <c r="W24" s="5"/>
      <c r="X24" s="5"/>
      <c r="Y24" s="5"/>
      <c r="Z24" s="5"/>
      <c r="AA24" s="5"/>
    </row>
    <row r="25" spans="1:27" customFormat="1" ht="28">
      <c r="D25" s="214" t="s">
        <v>383</v>
      </c>
      <c r="E25" s="212" t="str">
        <f>+VLOOKUP(F25,Resumen_Base!$B$6:$F$69,5,0)</f>
        <v>Fixed Asset's Payments (Investments) Mejoras/equipamiento Lodge</v>
      </c>
      <c r="F25" s="36" t="s">
        <v>46</v>
      </c>
      <c r="G25" s="5" t="s">
        <v>47</v>
      </c>
      <c r="H25" s="5" t="str">
        <f t="shared" si="0"/>
        <v>DEL12020103</v>
      </c>
      <c r="I25" s="62">
        <v>42000</v>
      </c>
      <c r="J25" s="62">
        <v>29.370629370629398</v>
      </c>
      <c r="K25" s="62">
        <v>1430</v>
      </c>
      <c r="L25" s="100" t="s">
        <v>751</v>
      </c>
      <c r="M25" s="5" t="s">
        <v>452</v>
      </c>
      <c r="N25" s="34" t="s">
        <v>464</v>
      </c>
      <c r="O25" s="5" t="s">
        <v>752</v>
      </c>
      <c r="P25" s="5" t="s">
        <v>597</v>
      </c>
      <c r="Q25" s="5" t="s">
        <v>753</v>
      </c>
      <c r="R25" s="5" t="s">
        <v>770</v>
      </c>
      <c r="S25" s="5" t="s">
        <v>755</v>
      </c>
      <c r="T25" s="5" t="s">
        <v>445</v>
      </c>
      <c r="U25" s="5"/>
      <c r="V25" s="5"/>
      <c r="W25" s="5"/>
      <c r="X25" s="5"/>
      <c r="Y25" s="5"/>
      <c r="Z25" s="5"/>
      <c r="AA25" s="5"/>
    </row>
    <row r="26" spans="1:27" customFormat="1" ht="28">
      <c r="D26" s="214" t="s">
        <v>383</v>
      </c>
      <c r="E26" s="212" t="str">
        <f>+VLOOKUP(F26,Resumen_Base!$B$6:$F$69,5,0)</f>
        <v>Fixed Asset's Payments (Investments) Mejoras/equipamiento Lodge</v>
      </c>
      <c r="F26" s="36" t="s">
        <v>46</v>
      </c>
      <c r="G26" s="5" t="s">
        <v>47</v>
      </c>
      <c r="H26" s="5" t="str">
        <f t="shared" si="0"/>
        <v>DEL12020103</v>
      </c>
      <c r="I26" s="62">
        <v>150000</v>
      </c>
      <c r="J26" s="62">
        <v>102.739726027397</v>
      </c>
      <c r="K26" s="62">
        <v>1460</v>
      </c>
      <c r="L26" s="100" t="s">
        <v>914</v>
      </c>
      <c r="M26" s="5" t="s">
        <v>452</v>
      </c>
      <c r="N26" s="34" t="s">
        <v>464</v>
      </c>
      <c r="O26" s="5" t="s">
        <v>935</v>
      </c>
      <c r="P26" s="5" t="s">
        <v>597</v>
      </c>
      <c r="Q26" s="5" t="s">
        <v>936</v>
      </c>
      <c r="R26" s="5" t="s">
        <v>941</v>
      </c>
      <c r="S26" s="5" t="s">
        <v>938</v>
      </c>
      <c r="T26" s="5" t="s">
        <v>445</v>
      </c>
      <c r="U26" s="5"/>
      <c r="V26" s="5"/>
      <c r="W26" s="5"/>
      <c r="X26" s="5"/>
      <c r="Y26" s="5"/>
      <c r="Z26" s="5"/>
      <c r="AA26" s="5"/>
    </row>
    <row r="27" spans="1:27" customFormat="1" ht="28">
      <c r="D27" s="214" t="s">
        <v>383</v>
      </c>
      <c r="E27" s="212" t="str">
        <f>+VLOOKUP(F27,Resumen_Base!$B$6:$F$69,5,0)</f>
        <v>Fixed Asset's Payments (Investments) Mejoras/equipamiento Lodge</v>
      </c>
      <c r="F27" s="36" t="s">
        <v>46</v>
      </c>
      <c r="G27" s="5" t="s">
        <v>47</v>
      </c>
      <c r="H27" s="5" t="str">
        <f t="shared" si="0"/>
        <v>DEL12020103</v>
      </c>
      <c r="I27" s="62">
        <v>3000000</v>
      </c>
      <c r="J27" s="62">
        <v>2000</v>
      </c>
      <c r="K27" s="62">
        <v>1500</v>
      </c>
      <c r="L27" s="100" t="s">
        <v>914</v>
      </c>
      <c r="M27" s="5" t="s">
        <v>452</v>
      </c>
      <c r="N27" s="34" t="s">
        <v>464</v>
      </c>
      <c r="O27" s="5" t="s">
        <v>922</v>
      </c>
      <c r="P27" s="5" t="s">
        <v>597</v>
      </c>
      <c r="Q27" s="5" t="s">
        <v>923</v>
      </c>
      <c r="R27" s="5" t="s">
        <v>932</v>
      </c>
      <c r="S27" s="5" t="s">
        <v>925</v>
      </c>
      <c r="T27" s="5" t="s">
        <v>445</v>
      </c>
      <c r="U27" s="5"/>
      <c r="V27" s="5"/>
      <c r="W27" s="5"/>
      <c r="X27" s="5"/>
      <c r="Y27" s="5"/>
      <c r="Z27" s="5"/>
      <c r="AA27" s="5"/>
    </row>
    <row r="28" spans="1:27" customFormat="1" ht="28">
      <c r="D28" s="214" t="s">
        <v>383</v>
      </c>
      <c r="E28" s="212" t="str">
        <f>+VLOOKUP(F28,Resumen_Base!$B$6:$F$69,5,0)</f>
        <v>Fixed Asset's Payments (Investments) Mejoras/equipamiento Lodge</v>
      </c>
      <c r="F28" s="36" t="s">
        <v>46</v>
      </c>
      <c r="G28" s="5" t="s">
        <v>47</v>
      </c>
      <c r="H28" s="5" t="str">
        <f t="shared" si="0"/>
        <v>DEL12020103</v>
      </c>
      <c r="I28" s="62">
        <v>1800000</v>
      </c>
      <c r="J28" s="62">
        <v>1200</v>
      </c>
      <c r="K28" s="62">
        <v>1500</v>
      </c>
      <c r="L28" s="100" t="s">
        <v>914</v>
      </c>
      <c r="M28" s="5" t="s">
        <v>452</v>
      </c>
      <c r="N28" s="34" t="s">
        <v>464</v>
      </c>
      <c r="O28" s="5" t="s">
        <v>922</v>
      </c>
      <c r="P28" s="5" t="s">
        <v>597</v>
      </c>
      <c r="Q28" s="5" t="s">
        <v>923</v>
      </c>
      <c r="R28" s="5" t="s">
        <v>930</v>
      </c>
      <c r="S28" s="5" t="s">
        <v>925</v>
      </c>
      <c r="T28" s="5" t="s">
        <v>445</v>
      </c>
      <c r="U28" s="5"/>
      <c r="V28" s="5"/>
      <c r="W28" s="5"/>
      <c r="X28" s="5"/>
      <c r="Y28" s="5"/>
      <c r="Z28" s="5"/>
      <c r="AA28" s="5"/>
    </row>
    <row r="29" spans="1:27" customFormat="1" ht="28">
      <c r="D29" s="214" t="s">
        <v>383</v>
      </c>
      <c r="E29" s="212" t="str">
        <f>+VLOOKUP(F29,Resumen_Base!$B$6:$F$69,5,0)</f>
        <v>Fixed Asset's Payments (Investments) Mejoras/equipamiento Lodge</v>
      </c>
      <c r="F29" s="36" t="s">
        <v>46</v>
      </c>
      <c r="G29" s="5" t="s">
        <v>47</v>
      </c>
      <c r="H29" s="5" t="str">
        <f t="shared" si="0"/>
        <v>DEL12020103</v>
      </c>
      <c r="I29" s="62">
        <v>450000</v>
      </c>
      <c r="J29" s="62">
        <v>300</v>
      </c>
      <c r="K29" s="62">
        <v>1500</v>
      </c>
      <c r="L29" s="100" t="s">
        <v>854</v>
      </c>
      <c r="M29" s="5" t="s">
        <v>452</v>
      </c>
      <c r="N29" s="34" t="s">
        <v>464</v>
      </c>
      <c r="O29" s="5" t="s">
        <v>870</v>
      </c>
      <c r="P29" s="5" t="s">
        <v>597</v>
      </c>
      <c r="Q29" s="5" t="s">
        <v>871</v>
      </c>
      <c r="R29" s="5" t="s">
        <v>876</v>
      </c>
      <c r="S29" s="5" t="s">
        <v>873</v>
      </c>
      <c r="T29" s="5" t="s">
        <v>445</v>
      </c>
      <c r="U29" s="5"/>
      <c r="V29" s="5"/>
      <c r="W29" s="5"/>
      <c r="X29" s="5"/>
      <c r="Y29" s="5"/>
      <c r="Z29" s="5"/>
      <c r="AA29" s="5"/>
    </row>
    <row r="30" spans="1:27" customFormat="1" ht="28">
      <c r="D30" s="214" t="s">
        <v>383</v>
      </c>
      <c r="E30" s="212" t="str">
        <f>+VLOOKUP(F30,Resumen_Base!$B$6:$F$69,5,0)</f>
        <v>Fixed Asset's Payments (Investments) Mejoras/equipamiento Lodge</v>
      </c>
      <c r="F30" s="36" t="s">
        <v>46</v>
      </c>
      <c r="G30" s="5" t="s">
        <v>47</v>
      </c>
      <c r="H30" s="5" t="str">
        <f t="shared" si="0"/>
        <v>DEL12020103</v>
      </c>
      <c r="I30" s="62">
        <v>150000</v>
      </c>
      <c r="J30" s="62">
        <v>102.739726027397</v>
      </c>
      <c r="K30" s="62">
        <v>1460</v>
      </c>
      <c r="L30" s="100" t="s">
        <v>914</v>
      </c>
      <c r="M30" s="5" t="s">
        <v>452</v>
      </c>
      <c r="N30" s="34" t="s">
        <v>464</v>
      </c>
      <c r="O30" s="5" t="s">
        <v>935</v>
      </c>
      <c r="P30" s="5" t="s">
        <v>597</v>
      </c>
      <c r="Q30" s="5" t="s">
        <v>936</v>
      </c>
      <c r="R30" s="5" t="s">
        <v>940</v>
      </c>
      <c r="S30" s="5" t="s">
        <v>938</v>
      </c>
      <c r="T30" s="5" t="s">
        <v>445</v>
      </c>
      <c r="U30" s="5"/>
      <c r="V30" s="5"/>
      <c r="W30" s="5"/>
      <c r="X30" s="5"/>
      <c r="Y30" s="5"/>
      <c r="Z30" s="5"/>
      <c r="AA30" s="5"/>
    </row>
    <row r="31" spans="1:27" customFormat="1" ht="28">
      <c r="A31" s="300">
        <v>12020201</v>
      </c>
      <c r="B31" s="36" t="s">
        <v>31</v>
      </c>
      <c r="D31" s="214" t="s">
        <v>383</v>
      </c>
      <c r="E31" s="212" t="str">
        <f>+VLOOKUP(F31,Resumen_Base!$B$6:$F$69,5,0)</f>
        <v>Fixed Asset's Payments (Investments) Mejoras/equipamiento Lodge</v>
      </c>
      <c r="F31" s="179" t="s">
        <v>48</v>
      </c>
      <c r="G31" s="168" t="s">
        <v>254</v>
      </c>
      <c r="H31" s="5" t="str">
        <f t="shared" si="0"/>
        <v>DEL12020201</v>
      </c>
      <c r="I31" s="62">
        <v>556000</v>
      </c>
      <c r="J31" s="62">
        <v>400</v>
      </c>
      <c r="K31" s="62">
        <v>1390</v>
      </c>
      <c r="L31" s="100" t="s">
        <v>628</v>
      </c>
      <c r="M31" s="5" t="s">
        <v>452</v>
      </c>
      <c r="N31" s="34" t="s">
        <v>464</v>
      </c>
      <c r="O31" s="5" t="s">
        <v>670</v>
      </c>
      <c r="P31" s="5" t="s">
        <v>597</v>
      </c>
      <c r="Q31" s="5" t="s">
        <v>671</v>
      </c>
      <c r="R31" s="5" t="s">
        <v>674</v>
      </c>
      <c r="S31" s="5" t="s">
        <v>673</v>
      </c>
      <c r="T31" s="5" t="s">
        <v>445</v>
      </c>
      <c r="U31" s="5"/>
      <c r="V31" s="5"/>
      <c r="W31" s="5"/>
      <c r="X31" s="5"/>
      <c r="Y31" s="5"/>
      <c r="Z31" s="5"/>
      <c r="AA31" s="5"/>
    </row>
    <row r="32" spans="1:27" customFormat="1" ht="28">
      <c r="D32" s="214" t="s">
        <v>383</v>
      </c>
      <c r="E32" s="212" t="str">
        <f>+VLOOKUP(F32,Resumen_Base!$B$6:$F$69,5,0)</f>
        <v>Fixed Asset's Payments (Investments) Mejoras/equipamiento Lodge</v>
      </c>
      <c r="F32" s="36" t="s">
        <v>48</v>
      </c>
      <c r="G32" s="5" t="s">
        <v>49</v>
      </c>
      <c r="H32" s="5" t="str">
        <f t="shared" si="0"/>
        <v>DEL12020201</v>
      </c>
      <c r="I32" s="62">
        <v>3748970.4</v>
      </c>
      <c r="J32" s="62">
        <v>2640.12</v>
      </c>
      <c r="K32" s="62">
        <v>1420</v>
      </c>
      <c r="L32" s="100" t="s">
        <v>985</v>
      </c>
      <c r="M32" s="5" t="s">
        <v>452</v>
      </c>
      <c r="N32" s="34" t="s">
        <v>464</v>
      </c>
      <c r="O32" s="5" t="s">
        <v>997</v>
      </c>
      <c r="P32" s="5" t="s">
        <v>597</v>
      </c>
      <c r="Q32" s="5" t="s">
        <v>998</v>
      </c>
      <c r="R32" s="5" t="s">
        <v>1001</v>
      </c>
      <c r="S32" s="5" t="s">
        <v>1000</v>
      </c>
      <c r="T32" s="5" t="s">
        <v>445</v>
      </c>
      <c r="U32" s="5"/>
      <c r="V32" s="5"/>
      <c r="W32" s="5"/>
      <c r="X32" s="5"/>
      <c r="Y32" s="5"/>
      <c r="Z32" s="5"/>
      <c r="AA32" s="5"/>
    </row>
    <row r="33" spans="1:27" customFormat="1" ht="28">
      <c r="A33" s="300"/>
      <c r="B33" s="36"/>
      <c r="D33" s="214" t="s">
        <v>383</v>
      </c>
      <c r="E33" s="212" t="str">
        <f>+VLOOKUP(F33,Resumen_Base!$B$6:$F$69,5,0)</f>
        <v>Fixed Asset's Payments (Investments) Mejoras/equipamiento Lodge</v>
      </c>
      <c r="F33" s="179" t="s">
        <v>4</v>
      </c>
      <c r="G33" s="168" t="s">
        <v>239</v>
      </c>
      <c r="H33" s="5" t="str">
        <f t="shared" si="0"/>
        <v>DEL12020301</v>
      </c>
      <c r="I33" s="62">
        <v>240000</v>
      </c>
      <c r="J33" s="62">
        <v>160</v>
      </c>
      <c r="K33" s="62">
        <v>1500</v>
      </c>
      <c r="L33" s="100" t="s">
        <v>858</v>
      </c>
      <c r="M33" s="5" t="s">
        <v>452</v>
      </c>
      <c r="N33" s="34" t="s">
        <v>464</v>
      </c>
      <c r="O33" s="5" t="s">
        <v>880</v>
      </c>
      <c r="P33" s="5" t="s">
        <v>597</v>
      </c>
      <c r="Q33" s="5" t="s">
        <v>881</v>
      </c>
      <c r="R33" s="5" t="s">
        <v>898</v>
      </c>
      <c r="S33" s="5" t="s">
        <v>882</v>
      </c>
      <c r="T33" s="5" t="s">
        <v>445</v>
      </c>
      <c r="U33" s="5"/>
      <c r="V33" s="5"/>
      <c r="W33" s="5"/>
      <c r="X33" s="5"/>
      <c r="Y33" s="5"/>
      <c r="Z33" s="5"/>
      <c r="AA33" s="5"/>
    </row>
    <row r="34" spans="1:27" customFormat="1" ht="28">
      <c r="A34" s="300">
        <v>12020301</v>
      </c>
      <c r="B34">
        <v>5218</v>
      </c>
      <c r="D34" s="214" t="s">
        <v>383</v>
      </c>
      <c r="E34" s="212" t="str">
        <f>+VLOOKUP(F34,Resumen_Base!$B$6:$F$69,5,0)</f>
        <v>Fixed Asset's Payments (Investments) Mejoras/equipamiento Lodge</v>
      </c>
      <c r="F34" s="179" t="s">
        <v>4</v>
      </c>
      <c r="G34" s="168" t="s">
        <v>3</v>
      </c>
      <c r="H34" s="5" t="str">
        <f t="shared" si="0"/>
        <v>DEL12020301</v>
      </c>
      <c r="I34" s="62">
        <v>15000</v>
      </c>
      <c r="J34" s="62">
        <v>10</v>
      </c>
      <c r="K34" s="62">
        <v>1500</v>
      </c>
      <c r="L34" s="100" t="s">
        <v>858</v>
      </c>
      <c r="M34" s="5" t="s">
        <v>452</v>
      </c>
      <c r="N34" s="34" t="s">
        <v>464</v>
      </c>
      <c r="O34" s="5" t="s">
        <v>880</v>
      </c>
      <c r="P34" s="5" t="s">
        <v>597</v>
      </c>
      <c r="Q34" s="5" t="s">
        <v>881</v>
      </c>
      <c r="R34" s="5" t="s">
        <v>890</v>
      </c>
      <c r="S34" s="5" t="s">
        <v>882</v>
      </c>
      <c r="T34" s="5" t="s">
        <v>445</v>
      </c>
      <c r="U34" s="5"/>
      <c r="V34" s="5"/>
      <c r="W34" s="5"/>
      <c r="X34" s="5"/>
      <c r="Y34" s="5"/>
      <c r="Z34" s="5"/>
      <c r="AA34" s="5"/>
    </row>
    <row r="35" spans="1:27" customFormat="1" ht="28">
      <c r="A35" s="300">
        <v>12020301</v>
      </c>
      <c r="B35">
        <v>5218</v>
      </c>
      <c r="D35" s="214" t="s">
        <v>383</v>
      </c>
      <c r="E35" s="212" t="str">
        <f>+VLOOKUP(F35,Resumen_Base!$B$6:$F$69,5,0)</f>
        <v>Fixed Asset's Payments (Investments) Mejoras/equipamiento Lodge</v>
      </c>
      <c r="F35" s="179" t="s">
        <v>4</v>
      </c>
      <c r="G35" s="168" t="s">
        <v>3</v>
      </c>
      <c r="H35" s="5" t="str">
        <f t="shared" si="0"/>
        <v>DEL12020301</v>
      </c>
      <c r="I35" s="62">
        <v>42000</v>
      </c>
      <c r="J35" s="62">
        <v>30</v>
      </c>
      <c r="K35" s="62">
        <v>1400</v>
      </c>
      <c r="L35" s="100" t="s">
        <v>813</v>
      </c>
      <c r="M35" s="5" t="s">
        <v>452</v>
      </c>
      <c r="N35" s="34" t="s">
        <v>464</v>
      </c>
      <c r="O35" s="5" t="s">
        <v>817</v>
      </c>
      <c r="P35" s="5" t="s">
        <v>597</v>
      </c>
      <c r="Q35" s="5" t="s">
        <v>818</v>
      </c>
      <c r="R35" s="5" t="s">
        <v>825</v>
      </c>
      <c r="S35" s="5" t="s">
        <v>820</v>
      </c>
      <c r="T35" s="5" t="s">
        <v>445</v>
      </c>
      <c r="U35" s="5"/>
      <c r="V35" s="5"/>
      <c r="W35" s="5"/>
      <c r="X35" s="5"/>
      <c r="Y35" s="5"/>
      <c r="Z35" s="5"/>
      <c r="AA35" s="5"/>
    </row>
    <row r="36" spans="1:27" customFormat="1" ht="28">
      <c r="D36" s="214" t="s">
        <v>383</v>
      </c>
      <c r="E36" s="212" t="str">
        <f>+VLOOKUP(F36,Resumen_Base!$B$6:$F$69,5,0)</f>
        <v>Fixed Asset's Payments (Investments) Mejoras/equipamiento Lodge</v>
      </c>
      <c r="F36" s="36" t="s">
        <v>4</v>
      </c>
      <c r="G36" s="5" t="s">
        <v>3</v>
      </c>
      <c r="H36" s="5" t="str">
        <f t="shared" si="0"/>
        <v>DEL12020301</v>
      </c>
      <c r="I36" s="62">
        <v>58000</v>
      </c>
      <c r="J36" s="62">
        <v>38.6666666666667</v>
      </c>
      <c r="K36" s="62">
        <v>1500</v>
      </c>
      <c r="L36" s="100" t="s">
        <v>858</v>
      </c>
      <c r="M36" s="5" t="s">
        <v>452</v>
      </c>
      <c r="N36" s="34" t="s">
        <v>464</v>
      </c>
      <c r="O36" s="5" t="s">
        <v>880</v>
      </c>
      <c r="P36" s="5" t="s">
        <v>597</v>
      </c>
      <c r="Q36" s="5" t="s">
        <v>881</v>
      </c>
      <c r="R36" s="5" t="s">
        <v>897</v>
      </c>
      <c r="S36" s="5" t="s">
        <v>882</v>
      </c>
      <c r="T36" s="5" t="s">
        <v>445</v>
      </c>
      <c r="U36" s="5"/>
      <c r="V36" s="5"/>
      <c r="W36" s="5"/>
      <c r="X36" s="5"/>
      <c r="Y36" s="5"/>
      <c r="Z36" s="5"/>
      <c r="AA36" s="5"/>
    </row>
    <row r="37" spans="1:27" customFormat="1" ht="28">
      <c r="D37" s="214" t="s">
        <v>383</v>
      </c>
      <c r="E37" s="212" t="str">
        <f>+VLOOKUP(F37,Resumen_Base!$B$6:$F$69,5,0)</f>
        <v>Fixed Asset's Payments (Investments) Mejoras/equipamiento Lodge</v>
      </c>
      <c r="F37" s="36" t="s">
        <v>4</v>
      </c>
      <c r="G37" s="5" t="s">
        <v>3</v>
      </c>
      <c r="H37" s="5" t="str">
        <f t="shared" si="0"/>
        <v>DEL12020301</v>
      </c>
      <c r="I37" s="62">
        <v>380000</v>
      </c>
      <c r="J37" s="62">
        <v>267.60563380281701</v>
      </c>
      <c r="K37" s="62">
        <v>1420</v>
      </c>
      <c r="L37" s="100" t="s">
        <v>1030</v>
      </c>
      <c r="M37" s="5" t="s">
        <v>452</v>
      </c>
      <c r="N37" s="34" t="s">
        <v>464</v>
      </c>
      <c r="O37" s="5" t="s">
        <v>1031</v>
      </c>
      <c r="P37" s="5" t="s">
        <v>597</v>
      </c>
      <c r="Q37" s="5" t="s">
        <v>1032</v>
      </c>
      <c r="R37" s="5" t="s">
        <v>1048</v>
      </c>
      <c r="S37" s="5" t="s">
        <v>1033</v>
      </c>
      <c r="T37" s="5" t="s">
        <v>445</v>
      </c>
      <c r="U37" s="5"/>
      <c r="V37" s="5"/>
      <c r="W37" s="5"/>
      <c r="X37" s="5"/>
      <c r="Y37" s="5"/>
      <c r="Z37" s="5"/>
      <c r="AA37" s="5"/>
    </row>
    <row r="38" spans="1:27" customFormat="1" ht="28">
      <c r="D38" s="214" t="s">
        <v>383</v>
      </c>
      <c r="E38" s="212" t="str">
        <f>+VLOOKUP(F38,Resumen_Base!$B$6:$F$69,5,0)</f>
        <v>Fixed Asset's Payments (Investments) Mejoras/equipamiento Lodge</v>
      </c>
      <c r="F38" s="36" t="s">
        <v>4</v>
      </c>
      <c r="G38" s="5" t="s">
        <v>3</v>
      </c>
      <c r="H38" s="5" t="str">
        <f t="shared" si="0"/>
        <v>DEL12020301</v>
      </c>
      <c r="I38" s="62">
        <v>72700</v>
      </c>
      <c r="J38" s="62">
        <v>51.197183098591601</v>
      </c>
      <c r="K38" s="62">
        <v>1420</v>
      </c>
      <c r="L38" s="100" t="s">
        <v>1030</v>
      </c>
      <c r="M38" s="5" t="s">
        <v>452</v>
      </c>
      <c r="N38" s="34" t="s">
        <v>464</v>
      </c>
      <c r="O38" s="5" t="s">
        <v>1031</v>
      </c>
      <c r="P38" s="5" t="s">
        <v>597</v>
      </c>
      <c r="Q38" s="5" t="s">
        <v>1032</v>
      </c>
      <c r="R38" s="5" t="s">
        <v>1044</v>
      </c>
      <c r="S38" s="5" t="s">
        <v>1033</v>
      </c>
      <c r="T38" s="5" t="s">
        <v>445</v>
      </c>
      <c r="U38" s="5"/>
      <c r="V38" s="5"/>
      <c r="W38" s="5"/>
      <c r="X38" s="5"/>
      <c r="Y38" s="5"/>
      <c r="Z38" s="5"/>
      <c r="AA38" s="5"/>
    </row>
    <row r="39" spans="1:27" customFormat="1" ht="28">
      <c r="D39" s="214" t="s">
        <v>383</v>
      </c>
      <c r="E39" s="212" t="str">
        <f>+VLOOKUP(F39,Resumen_Base!$B$6:$F$69,5,0)</f>
        <v>Fixed Asset's Payments (Investments) Mejoras/equipamiento Lodge</v>
      </c>
      <c r="F39" s="36" t="s">
        <v>4</v>
      </c>
      <c r="G39" s="5" t="s">
        <v>3</v>
      </c>
      <c r="H39" s="5" t="str">
        <f t="shared" si="0"/>
        <v>DEL12020301</v>
      </c>
      <c r="I39" s="62">
        <v>900</v>
      </c>
      <c r="J39" s="62">
        <v>0.62937062937062904</v>
      </c>
      <c r="K39" s="62">
        <v>1430</v>
      </c>
      <c r="L39" s="100" t="s">
        <v>751</v>
      </c>
      <c r="M39" s="5" t="s">
        <v>452</v>
      </c>
      <c r="N39" s="34" t="s">
        <v>464</v>
      </c>
      <c r="O39" s="5" t="s">
        <v>752</v>
      </c>
      <c r="P39" s="5" t="s">
        <v>597</v>
      </c>
      <c r="Q39" s="5" t="s">
        <v>753</v>
      </c>
      <c r="R39" s="5" t="s">
        <v>660</v>
      </c>
      <c r="S39" s="5" t="s">
        <v>755</v>
      </c>
      <c r="T39" s="5" t="s">
        <v>445</v>
      </c>
      <c r="U39" s="5"/>
      <c r="V39" s="5"/>
      <c r="W39" s="5"/>
      <c r="X39" s="5"/>
      <c r="Y39" s="5"/>
      <c r="Z39" s="5"/>
      <c r="AA39" s="5"/>
    </row>
    <row r="40" spans="1:27" customFormat="1" ht="28">
      <c r="D40" s="214" t="s">
        <v>383</v>
      </c>
      <c r="E40" s="212" t="str">
        <f>+VLOOKUP(F40,Resumen_Base!$B$6:$F$69,5,0)</f>
        <v>Fixed Asset's Payments (Investments) Mejoras/equipamiento Lodge</v>
      </c>
      <c r="F40" s="36" t="s">
        <v>4</v>
      </c>
      <c r="G40" s="5" t="s">
        <v>3</v>
      </c>
      <c r="H40" s="5" t="str">
        <f t="shared" si="0"/>
        <v>DEL12020301</v>
      </c>
      <c r="I40" s="62">
        <v>90000</v>
      </c>
      <c r="J40" s="62">
        <v>62.937062937062898</v>
      </c>
      <c r="K40" s="62">
        <v>1430</v>
      </c>
      <c r="L40" s="100" t="s">
        <v>751</v>
      </c>
      <c r="M40" s="5" t="s">
        <v>452</v>
      </c>
      <c r="N40" s="34" t="s">
        <v>464</v>
      </c>
      <c r="O40" s="5" t="s">
        <v>752</v>
      </c>
      <c r="P40" s="5" t="s">
        <v>597</v>
      </c>
      <c r="Q40" s="5" t="s">
        <v>753</v>
      </c>
      <c r="R40" s="5" t="s">
        <v>766</v>
      </c>
      <c r="S40" s="5" t="s">
        <v>755</v>
      </c>
      <c r="T40" s="5" t="s">
        <v>445</v>
      </c>
      <c r="U40" s="5"/>
      <c r="V40" s="5"/>
      <c r="W40" s="5"/>
      <c r="X40" s="5"/>
      <c r="Y40" s="5"/>
      <c r="Z40" s="5"/>
      <c r="AA40" s="5"/>
    </row>
    <row r="41" spans="1:27" customFormat="1" ht="28">
      <c r="D41" s="214" t="s">
        <v>383</v>
      </c>
      <c r="E41" s="212" t="str">
        <f>+VLOOKUP(F41,Resumen_Base!$B$6:$F$69,5,0)</f>
        <v>Fixed Asset's Payments (Investments) Mejoras/equipamiento Lodge</v>
      </c>
      <c r="F41" s="36" t="s">
        <v>4</v>
      </c>
      <c r="G41" s="5" t="s">
        <v>3</v>
      </c>
      <c r="H41" s="5" t="str">
        <f t="shared" si="0"/>
        <v>DEL12020301</v>
      </c>
      <c r="I41" s="62">
        <v>77987</v>
      </c>
      <c r="J41" s="62">
        <v>59.99</v>
      </c>
      <c r="K41" s="62">
        <v>1300</v>
      </c>
      <c r="L41" s="100" t="s">
        <v>459</v>
      </c>
      <c r="M41" s="5" t="s">
        <v>452</v>
      </c>
      <c r="N41" s="34" t="s">
        <v>464</v>
      </c>
      <c r="O41" s="5" t="s">
        <v>533</v>
      </c>
      <c r="P41" s="5" t="s">
        <v>454</v>
      </c>
      <c r="Q41" s="5" t="s">
        <v>534</v>
      </c>
      <c r="R41" s="5" t="s">
        <v>539</v>
      </c>
      <c r="S41" s="5" t="s">
        <v>536</v>
      </c>
      <c r="T41" s="5" t="s">
        <v>445</v>
      </c>
      <c r="U41" s="5"/>
      <c r="V41" s="5"/>
      <c r="W41" s="5"/>
      <c r="X41" s="5"/>
      <c r="Y41" s="5"/>
      <c r="Z41" s="5"/>
      <c r="AA41" s="5"/>
    </row>
    <row r="42" spans="1:27" customFormat="1" ht="28">
      <c r="D42" s="214" t="s">
        <v>383</v>
      </c>
      <c r="E42" s="212" t="str">
        <f>+VLOOKUP(F42,Resumen_Base!$B$6:$F$69,5,0)</f>
        <v>Fixed Asset's Payments (Investments) Mejoras/equipamiento Lodge</v>
      </c>
      <c r="F42" s="36" t="s">
        <v>4</v>
      </c>
      <c r="G42" s="5" t="s">
        <v>3</v>
      </c>
      <c r="H42" s="5" t="str">
        <f t="shared" si="0"/>
        <v>DEL12020301</v>
      </c>
      <c r="I42" s="62">
        <v>68822</v>
      </c>
      <c r="J42" s="62">
        <v>52.94</v>
      </c>
      <c r="K42" s="62">
        <v>1300</v>
      </c>
      <c r="L42" s="100" t="s">
        <v>459</v>
      </c>
      <c r="M42" s="5" t="s">
        <v>452</v>
      </c>
      <c r="N42" s="34" t="s">
        <v>464</v>
      </c>
      <c r="O42" s="5" t="s">
        <v>533</v>
      </c>
      <c r="P42" s="5" t="s">
        <v>454</v>
      </c>
      <c r="Q42" s="5" t="s">
        <v>534</v>
      </c>
      <c r="R42" s="5" t="s">
        <v>538</v>
      </c>
      <c r="S42" s="5" t="s">
        <v>536</v>
      </c>
      <c r="T42" s="5" t="s">
        <v>445</v>
      </c>
      <c r="U42" s="5"/>
      <c r="V42" s="5"/>
      <c r="W42" s="5"/>
      <c r="X42" s="5"/>
      <c r="Y42" s="5"/>
      <c r="Z42" s="5"/>
      <c r="AA42" s="5"/>
    </row>
    <row r="43" spans="1:27" customFormat="1" ht="28">
      <c r="D43" s="214" t="s">
        <v>383</v>
      </c>
      <c r="E43" s="212" t="str">
        <f>+VLOOKUP(F43,Resumen_Base!$B$6:$F$69,5,0)</f>
        <v>Fixed Asset's Payments (Investments) Mejoras/equipamiento Lodge</v>
      </c>
      <c r="F43" s="36" t="s">
        <v>4</v>
      </c>
      <c r="G43" s="5" t="s">
        <v>3</v>
      </c>
      <c r="H43" s="5" t="str">
        <f t="shared" si="0"/>
        <v>DEL12020301</v>
      </c>
      <c r="I43" s="62">
        <v>92586</v>
      </c>
      <c r="J43" s="62">
        <v>71.22</v>
      </c>
      <c r="K43" s="62">
        <v>1300</v>
      </c>
      <c r="L43" s="100" t="s">
        <v>459</v>
      </c>
      <c r="M43" s="5" t="s">
        <v>452</v>
      </c>
      <c r="N43" s="34" t="s">
        <v>464</v>
      </c>
      <c r="O43" s="5" t="s">
        <v>533</v>
      </c>
      <c r="P43" s="5" t="s">
        <v>454</v>
      </c>
      <c r="Q43" s="5" t="s">
        <v>534</v>
      </c>
      <c r="R43" s="5" t="s">
        <v>535</v>
      </c>
      <c r="S43" s="5" t="s">
        <v>536</v>
      </c>
      <c r="T43" s="5" t="s">
        <v>445</v>
      </c>
      <c r="U43" s="5"/>
      <c r="V43" s="5"/>
      <c r="W43" s="5"/>
      <c r="X43" s="5"/>
      <c r="Y43" s="5"/>
      <c r="Z43" s="5"/>
      <c r="AA43" s="5"/>
    </row>
    <row r="44" spans="1:27" customFormat="1" ht="28">
      <c r="D44" s="214" t="s">
        <v>383</v>
      </c>
      <c r="E44" s="212" t="str">
        <f>+VLOOKUP(F44,Resumen_Base!$B$6:$F$69,5,0)</f>
        <v>Fixed Asset's Payments (Investments) Mejoras/equipamiento Lodge</v>
      </c>
      <c r="F44" s="36" t="s">
        <v>4</v>
      </c>
      <c r="G44" s="5" t="s">
        <v>3</v>
      </c>
      <c r="H44" s="5" t="str">
        <f t="shared" si="0"/>
        <v>DEL12020301</v>
      </c>
      <c r="I44" s="62">
        <v>87685</v>
      </c>
      <c r="J44" s="62">
        <v>67.45</v>
      </c>
      <c r="K44" s="62">
        <v>1300</v>
      </c>
      <c r="L44" s="100" t="s">
        <v>459</v>
      </c>
      <c r="M44" s="5" t="s">
        <v>452</v>
      </c>
      <c r="N44" s="34" t="s">
        <v>464</v>
      </c>
      <c r="O44" s="5" t="s">
        <v>533</v>
      </c>
      <c r="P44" s="5" t="s">
        <v>454</v>
      </c>
      <c r="Q44" s="5" t="s">
        <v>534</v>
      </c>
      <c r="R44" s="5" t="s">
        <v>537</v>
      </c>
      <c r="S44" s="5" t="s">
        <v>536</v>
      </c>
      <c r="T44" s="5" t="s">
        <v>445</v>
      </c>
      <c r="U44" s="5"/>
      <c r="V44" s="5"/>
      <c r="W44" s="5"/>
      <c r="X44" s="5"/>
      <c r="Y44" s="5"/>
      <c r="Z44" s="5"/>
      <c r="AA44" s="5"/>
    </row>
    <row r="45" spans="1:27" customFormat="1" ht="28">
      <c r="D45" s="214" t="s">
        <v>383</v>
      </c>
      <c r="E45" s="212" t="str">
        <f>+VLOOKUP(F45,Resumen_Base!$B$6:$F$69,5,0)</f>
        <v>Fixed Asset's Payments (Investments) Mejoras/equipamiento Lodge</v>
      </c>
      <c r="F45" s="36" t="s">
        <v>4</v>
      </c>
      <c r="G45" s="5" t="s">
        <v>3</v>
      </c>
      <c r="H45" s="5" t="str">
        <f t="shared" si="0"/>
        <v>DEL12020301</v>
      </c>
      <c r="I45" s="62">
        <v>800000</v>
      </c>
      <c r="J45" s="62">
        <v>533.33333333333303</v>
      </c>
      <c r="K45" s="62">
        <v>1500</v>
      </c>
      <c r="L45" s="100" t="s">
        <v>854</v>
      </c>
      <c r="M45" s="5" t="s">
        <v>452</v>
      </c>
      <c r="N45" s="34" t="s">
        <v>464</v>
      </c>
      <c r="O45" s="5" t="s">
        <v>870</v>
      </c>
      <c r="P45" s="5" t="s">
        <v>597</v>
      </c>
      <c r="Q45" s="5" t="s">
        <v>871</v>
      </c>
      <c r="R45" s="5" t="s">
        <v>877</v>
      </c>
      <c r="S45" s="5" t="s">
        <v>873</v>
      </c>
      <c r="T45" s="5" t="s">
        <v>445</v>
      </c>
      <c r="U45" s="5"/>
      <c r="V45" s="5"/>
      <c r="W45" s="5"/>
      <c r="X45" s="5"/>
      <c r="Y45" s="5"/>
      <c r="Z45" s="5"/>
      <c r="AA45" s="5"/>
    </row>
    <row r="46" spans="1:27" customFormat="1" ht="28">
      <c r="D46" s="214" t="s">
        <v>383</v>
      </c>
      <c r="E46" s="212" t="str">
        <f>+VLOOKUP(F46,Resumen_Base!$B$6:$F$69,5,0)</f>
        <v>Fixed Asset's Payments (Investments) Mejoras/equipamiento Lodge</v>
      </c>
      <c r="F46" s="36" t="s">
        <v>4</v>
      </c>
      <c r="G46" s="5" t="s">
        <v>3</v>
      </c>
      <c r="H46" s="5" t="str">
        <f t="shared" si="0"/>
        <v>DEL12020301</v>
      </c>
      <c r="I46" s="62">
        <v>159600</v>
      </c>
      <c r="J46" s="62">
        <v>109.315068493151</v>
      </c>
      <c r="K46" s="62">
        <v>1460</v>
      </c>
      <c r="L46" s="100" t="s">
        <v>985</v>
      </c>
      <c r="M46" s="5" t="s">
        <v>452</v>
      </c>
      <c r="N46" s="34" t="s">
        <v>464</v>
      </c>
      <c r="O46" s="5" t="s">
        <v>1002</v>
      </c>
      <c r="P46" s="5" t="s">
        <v>597</v>
      </c>
      <c r="Q46" s="5" t="s">
        <v>1003</v>
      </c>
      <c r="R46" s="5" t="s">
        <v>1006</v>
      </c>
      <c r="S46" s="5" t="s">
        <v>1005</v>
      </c>
      <c r="T46" s="5" t="s">
        <v>445</v>
      </c>
      <c r="U46" s="5"/>
      <c r="V46" s="5"/>
      <c r="W46" s="5"/>
      <c r="X46" s="5"/>
      <c r="Y46" s="5"/>
      <c r="Z46" s="5"/>
      <c r="AA46" s="5"/>
    </row>
    <row r="47" spans="1:27" customFormat="1" ht="28">
      <c r="D47" s="214" t="s">
        <v>383</v>
      </c>
      <c r="E47" s="212" t="str">
        <f>+VLOOKUP(F47,Resumen_Base!$B$6:$F$69,5,0)</f>
        <v>Fixed Asset's Payments (Investments) Mejoras/equipamiento Lodge</v>
      </c>
      <c r="F47" s="36" t="s">
        <v>4</v>
      </c>
      <c r="G47" s="5" t="s">
        <v>3</v>
      </c>
      <c r="H47" s="5" t="str">
        <f t="shared" si="0"/>
        <v>DEL12020301</v>
      </c>
      <c r="I47" s="62">
        <v>964079</v>
      </c>
      <c r="J47" s="62">
        <v>688.62785714285701</v>
      </c>
      <c r="K47" s="62">
        <v>1400</v>
      </c>
      <c r="L47" s="100" t="s">
        <v>813</v>
      </c>
      <c r="M47" s="5" t="s">
        <v>452</v>
      </c>
      <c r="N47" s="34" t="s">
        <v>464</v>
      </c>
      <c r="O47" s="5" t="s">
        <v>817</v>
      </c>
      <c r="P47" s="5" t="s">
        <v>597</v>
      </c>
      <c r="Q47" s="5" t="s">
        <v>818</v>
      </c>
      <c r="R47" s="5" t="s">
        <v>824</v>
      </c>
      <c r="S47" s="5" t="s">
        <v>820</v>
      </c>
      <c r="T47" s="5" t="s">
        <v>445</v>
      </c>
      <c r="U47" s="5"/>
      <c r="V47" s="5"/>
      <c r="W47" s="5"/>
      <c r="X47" s="5"/>
      <c r="Y47" s="5"/>
      <c r="Z47" s="5"/>
      <c r="AA47" s="5"/>
    </row>
    <row r="48" spans="1:27" customFormat="1" ht="28">
      <c r="D48" s="214" t="s">
        <v>383</v>
      </c>
      <c r="E48" s="212" t="str">
        <f>+VLOOKUP(F48,Resumen_Base!$B$6:$F$69,5,0)</f>
        <v>Fixed Asset's Payments (Investments) Mejoras/equipamiento Lodge</v>
      </c>
      <c r="F48" s="36" t="s">
        <v>4</v>
      </c>
      <c r="G48" s="5" t="s">
        <v>3</v>
      </c>
      <c r="H48" s="5" t="str">
        <f t="shared" si="0"/>
        <v>DEL12020301</v>
      </c>
      <c r="I48" s="62">
        <v>200000</v>
      </c>
      <c r="J48" s="62">
        <v>136.98630136986301</v>
      </c>
      <c r="K48" s="62">
        <v>1460</v>
      </c>
      <c r="L48" s="100" t="s">
        <v>914</v>
      </c>
      <c r="M48" s="5" t="s">
        <v>452</v>
      </c>
      <c r="N48" s="34" t="s">
        <v>464</v>
      </c>
      <c r="O48" s="5" t="s">
        <v>935</v>
      </c>
      <c r="P48" s="5" t="s">
        <v>597</v>
      </c>
      <c r="Q48" s="5" t="s">
        <v>936</v>
      </c>
      <c r="R48" s="5" t="s">
        <v>944</v>
      </c>
      <c r="S48" s="5" t="s">
        <v>938</v>
      </c>
      <c r="T48" s="5" t="s">
        <v>445</v>
      </c>
      <c r="U48" s="5"/>
      <c r="V48" s="5"/>
      <c r="W48" s="5"/>
      <c r="X48" s="5"/>
      <c r="Y48" s="5"/>
      <c r="Z48" s="5"/>
      <c r="AA48" s="5"/>
    </row>
    <row r="49" spans="1:27" customFormat="1" ht="28">
      <c r="D49" s="214" t="s">
        <v>383</v>
      </c>
      <c r="E49" s="212" t="str">
        <f>+VLOOKUP(F49,Resumen_Base!$B$6:$F$69,5,0)</f>
        <v>Fixed Asset's Payments (Investments) Mejoras/equipamiento Lodge</v>
      </c>
      <c r="F49" s="36" t="s">
        <v>4</v>
      </c>
      <c r="G49" s="5" t="s">
        <v>3</v>
      </c>
      <c r="H49" s="5" t="str">
        <f t="shared" si="0"/>
        <v>DEL12020301</v>
      </c>
      <c r="I49" s="62">
        <v>328900</v>
      </c>
      <c r="J49" s="62">
        <v>231.619718309859</v>
      </c>
      <c r="K49" s="62">
        <v>1420</v>
      </c>
      <c r="L49" s="100" t="s">
        <v>989</v>
      </c>
      <c r="M49" s="5" t="s">
        <v>452</v>
      </c>
      <c r="N49" s="34" t="s">
        <v>464</v>
      </c>
      <c r="O49" s="5" t="s">
        <v>1075</v>
      </c>
      <c r="P49" s="5" t="s">
        <v>597</v>
      </c>
      <c r="Q49" s="5" t="s">
        <v>1076</v>
      </c>
      <c r="R49" s="5" t="s">
        <v>1077</v>
      </c>
      <c r="S49" s="5" t="s">
        <v>1078</v>
      </c>
      <c r="T49" s="5" t="s">
        <v>445</v>
      </c>
      <c r="U49" s="5"/>
      <c r="V49" s="5"/>
      <c r="W49" s="5"/>
      <c r="X49" s="5"/>
      <c r="Y49" s="5"/>
      <c r="Z49" s="5"/>
      <c r="AA49" s="5"/>
    </row>
    <row r="50" spans="1:27" customFormat="1" ht="28">
      <c r="D50" s="214" t="s">
        <v>383</v>
      </c>
      <c r="E50" s="212" t="str">
        <f>+VLOOKUP(F50,Resumen_Base!$B$6:$F$69,5,0)</f>
        <v>Fixed Asset's Payments (Investments) Mejoras/equipamiento Lodge</v>
      </c>
      <c r="F50" s="36" t="s">
        <v>4</v>
      </c>
      <c r="G50" s="5" t="s">
        <v>3</v>
      </c>
      <c r="H50" s="5" t="str">
        <f t="shared" si="0"/>
        <v>DEL12020301</v>
      </c>
      <c r="I50" s="62">
        <v>250000</v>
      </c>
      <c r="J50" s="62">
        <v>171.23287671232899</v>
      </c>
      <c r="K50" s="62">
        <v>1460</v>
      </c>
      <c r="L50" s="100" t="s">
        <v>914</v>
      </c>
      <c r="M50" s="5" t="s">
        <v>452</v>
      </c>
      <c r="N50" s="34" t="s">
        <v>464</v>
      </c>
      <c r="O50" s="5" t="s">
        <v>935</v>
      </c>
      <c r="P50" s="5" t="s">
        <v>597</v>
      </c>
      <c r="Q50" s="5" t="s">
        <v>936</v>
      </c>
      <c r="R50" s="5" t="s">
        <v>939</v>
      </c>
      <c r="S50" s="5" t="s">
        <v>938</v>
      </c>
      <c r="T50" s="5" t="s">
        <v>445</v>
      </c>
      <c r="U50" s="5"/>
      <c r="V50" s="5"/>
      <c r="W50" s="5"/>
      <c r="X50" s="5"/>
      <c r="Y50" s="5"/>
      <c r="Z50" s="5"/>
      <c r="AA50" s="5"/>
    </row>
    <row r="51" spans="1:27" customFormat="1" ht="28">
      <c r="D51" s="214" t="s">
        <v>383</v>
      </c>
      <c r="E51" s="212" t="str">
        <f>+VLOOKUP(F51,Resumen_Base!$B$6:$F$69,5,0)</f>
        <v>Fixed Asset's Payments (Investments) Rodados/Lanchas</v>
      </c>
      <c r="F51" s="36" t="s">
        <v>271</v>
      </c>
      <c r="G51" s="5" t="s">
        <v>252</v>
      </c>
      <c r="H51" s="5" t="str">
        <f t="shared" si="0"/>
        <v>DEL12020701</v>
      </c>
      <c r="I51" s="62">
        <v>80000</v>
      </c>
      <c r="J51" s="62">
        <v>56.338028169014102</v>
      </c>
      <c r="K51" s="62">
        <v>1420</v>
      </c>
      <c r="L51" s="100" t="s">
        <v>1030</v>
      </c>
      <c r="M51" s="5" t="s">
        <v>452</v>
      </c>
      <c r="N51" s="34" t="s">
        <v>464</v>
      </c>
      <c r="O51" s="5" t="s">
        <v>1097</v>
      </c>
      <c r="P51" s="5" t="s">
        <v>597</v>
      </c>
      <c r="Q51" s="5" t="s">
        <v>1098</v>
      </c>
      <c r="R51" s="5" t="s">
        <v>1099</v>
      </c>
      <c r="S51" s="5" t="s">
        <v>1100</v>
      </c>
      <c r="T51" s="5" t="s">
        <v>445</v>
      </c>
      <c r="U51" s="5"/>
      <c r="V51" s="5"/>
      <c r="W51" s="5"/>
      <c r="X51" s="5"/>
      <c r="Y51" s="5"/>
      <c r="Z51" s="5"/>
      <c r="AA51" s="5"/>
    </row>
    <row r="52" spans="1:27" customFormat="1" ht="28">
      <c r="D52" s="214" t="s">
        <v>383</v>
      </c>
      <c r="E52" s="212" t="str">
        <f>+VLOOKUP(F52,Resumen_Base!$B$6:$F$69,5,0)</f>
        <v>Fixed Asset's Payments (Investments) Rodados/Lanchas</v>
      </c>
      <c r="F52" s="36" t="s">
        <v>271</v>
      </c>
      <c r="G52" s="5" t="s">
        <v>252</v>
      </c>
      <c r="H52" s="5" t="str">
        <f t="shared" si="0"/>
        <v>DEL12020701</v>
      </c>
      <c r="I52" s="62">
        <v>893650</v>
      </c>
      <c r="J52" s="62">
        <v>629.33098591549299</v>
      </c>
      <c r="K52" s="62">
        <v>1420</v>
      </c>
      <c r="L52" s="100" t="s">
        <v>472</v>
      </c>
      <c r="M52" s="5" t="s">
        <v>452</v>
      </c>
      <c r="N52" s="34" t="s">
        <v>464</v>
      </c>
      <c r="O52" s="5" t="s">
        <v>544</v>
      </c>
      <c r="P52" s="5" t="s">
        <v>454</v>
      </c>
      <c r="Q52" s="5" t="s">
        <v>545</v>
      </c>
      <c r="R52" s="5" t="s">
        <v>546</v>
      </c>
      <c r="S52" s="5" t="s">
        <v>547</v>
      </c>
      <c r="T52" s="5" t="s">
        <v>445</v>
      </c>
      <c r="U52" s="5"/>
      <c r="V52" s="5"/>
      <c r="W52" s="5"/>
      <c r="X52" s="5"/>
      <c r="Y52" s="5"/>
      <c r="Z52" s="5"/>
      <c r="AA52" s="5"/>
    </row>
    <row r="53" spans="1:27" customFormat="1" ht="28">
      <c r="D53" s="214" t="s">
        <v>383</v>
      </c>
      <c r="E53" s="212" t="str">
        <f>+VLOOKUP(F53,Resumen_Base!$B$6:$F$69,5,0)</f>
        <v>Fixed Asset's Payments (Investments) Rodados/Lanchas</v>
      </c>
      <c r="F53" s="36" t="s">
        <v>271</v>
      </c>
      <c r="G53" s="5" t="s">
        <v>252</v>
      </c>
      <c r="H53" s="5" t="str">
        <f t="shared" si="0"/>
        <v>DEL12020701</v>
      </c>
      <c r="I53" s="62">
        <v>712400</v>
      </c>
      <c r="J53" s="62">
        <v>520</v>
      </c>
      <c r="K53" s="62">
        <v>1370</v>
      </c>
      <c r="L53" s="100" t="s">
        <v>451</v>
      </c>
      <c r="M53" s="5" t="s">
        <v>452</v>
      </c>
      <c r="N53" s="34" t="s">
        <v>464</v>
      </c>
      <c r="O53" s="5" t="s">
        <v>518</v>
      </c>
      <c r="P53" s="5" t="s">
        <v>454</v>
      </c>
      <c r="Q53" s="5" t="s">
        <v>519</v>
      </c>
      <c r="R53" s="5" t="s">
        <v>522</v>
      </c>
      <c r="S53" s="5" t="s">
        <v>521</v>
      </c>
      <c r="T53" s="5" t="s">
        <v>445</v>
      </c>
      <c r="U53" s="5"/>
      <c r="V53" s="5"/>
      <c r="W53" s="5"/>
      <c r="X53" s="5"/>
      <c r="Y53" s="5"/>
      <c r="Z53" s="5"/>
      <c r="AA53" s="5"/>
    </row>
    <row r="54" spans="1:27" customFormat="1" ht="28">
      <c r="D54" s="214" t="s">
        <v>383</v>
      </c>
      <c r="E54" s="212" t="str">
        <f>+VLOOKUP(F54,Resumen_Base!$B$6:$F$69,5,0)</f>
        <v>Fixed Asset's Payments (Investments) Rodados/Lanchas</v>
      </c>
      <c r="F54" s="36" t="s">
        <v>271</v>
      </c>
      <c r="G54" s="5" t="s">
        <v>252</v>
      </c>
      <c r="H54" s="5" t="str">
        <f t="shared" si="0"/>
        <v>DEL12020701</v>
      </c>
      <c r="I54" s="62">
        <v>-738400</v>
      </c>
      <c r="J54" s="62">
        <v>-520</v>
      </c>
      <c r="K54" s="62">
        <v>1420</v>
      </c>
      <c r="L54" s="100" t="s">
        <v>472</v>
      </c>
      <c r="M54" s="5" t="s">
        <v>452</v>
      </c>
      <c r="N54" s="34" t="s">
        <v>464</v>
      </c>
      <c r="O54" s="5" t="s">
        <v>578</v>
      </c>
      <c r="P54" s="5" t="s">
        <v>454</v>
      </c>
      <c r="Q54" s="5" t="s">
        <v>579</v>
      </c>
      <c r="R54" s="5" t="s">
        <v>580</v>
      </c>
      <c r="S54" s="5" t="s">
        <v>581</v>
      </c>
      <c r="T54" s="5" t="s">
        <v>445</v>
      </c>
      <c r="U54" s="5"/>
      <c r="V54" s="5"/>
      <c r="W54" s="5"/>
      <c r="X54" s="5"/>
      <c r="Y54" s="5"/>
      <c r="Z54" s="5"/>
      <c r="AA54" s="5"/>
    </row>
    <row r="55" spans="1:27" customFormat="1" ht="28">
      <c r="D55" s="214" t="s">
        <v>383</v>
      </c>
      <c r="E55" s="212" t="str">
        <f>+VLOOKUP(F55,Resumen_Base!$B$6:$F$69,5,0)</f>
        <v>Fixed Asset's Payments (Investments) Rodados/Lanchas</v>
      </c>
      <c r="F55" s="36" t="s">
        <v>271</v>
      </c>
      <c r="G55" s="5" t="s">
        <v>252</v>
      </c>
      <c r="H55" s="5" t="str">
        <f t="shared" si="0"/>
        <v>DEL12020701</v>
      </c>
      <c r="I55" s="62">
        <v>500000</v>
      </c>
      <c r="J55" s="62">
        <v>352.11267605633799</v>
      </c>
      <c r="K55" s="62">
        <v>1420</v>
      </c>
      <c r="L55" s="100" t="s">
        <v>472</v>
      </c>
      <c r="M55" s="5" t="s">
        <v>452</v>
      </c>
      <c r="N55" s="34" t="s">
        <v>464</v>
      </c>
      <c r="O55" s="5" t="s">
        <v>544</v>
      </c>
      <c r="P55" s="5" t="s">
        <v>454</v>
      </c>
      <c r="Q55" s="5" t="s">
        <v>545</v>
      </c>
      <c r="R55" s="5" t="s">
        <v>549</v>
      </c>
      <c r="S55" s="5" t="s">
        <v>547</v>
      </c>
      <c r="T55" s="5" t="s">
        <v>445</v>
      </c>
      <c r="U55" s="5"/>
      <c r="V55" s="5"/>
      <c r="W55" s="5"/>
      <c r="X55" s="5"/>
      <c r="Y55" s="5"/>
      <c r="Z55" s="5"/>
      <c r="AA55" s="5"/>
    </row>
    <row r="56" spans="1:27" customFormat="1" ht="28">
      <c r="D56" s="214" t="s">
        <v>383</v>
      </c>
      <c r="E56" s="212" t="str">
        <f>+VLOOKUP(F56,Resumen_Base!$B$6:$F$69,5,0)</f>
        <v>Fixed Asset's Payments (Investments) Rodados/Lanchas</v>
      </c>
      <c r="F56" s="36" t="s">
        <v>271</v>
      </c>
      <c r="G56" s="5" t="s">
        <v>252</v>
      </c>
      <c r="H56" s="5" t="str">
        <f t="shared" si="0"/>
        <v>DEL12020701</v>
      </c>
      <c r="I56" s="62">
        <v>956000</v>
      </c>
      <c r="J56" s="62">
        <v>673.23943661971805</v>
      </c>
      <c r="K56" s="62">
        <v>1420</v>
      </c>
      <c r="L56" s="100" t="s">
        <v>472</v>
      </c>
      <c r="M56" s="5" t="s">
        <v>452</v>
      </c>
      <c r="N56" s="34" t="s">
        <v>464</v>
      </c>
      <c r="O56" s="5" t="s">
        <v>544</v>
      </c>
      <c r="P56" s="5" t="s">
        <v>454</v>
      </c>
      <c r="Q56" s="5" t="s">
        <v>545</v>
      </c>
      <c r="R56" s="5" t="s">
        <v>549</v>
      </c>
      <c r="S56" s="5" t="s">
        <v>547</v>
      </c>
      <c r="T56" s="5" t="s">
        <v>445</v>
      </c>
      <c r="U56" s="5"/>
      <c r="V56" s="5"/>
      <c r="W56" s="5"/>
      <c r="X56" s="5"/>
      <c r="Y56" s="5"/>
      <c r="Z56" s="5"/>
      <c r="AA56" s="5"/>
    </row>
    <row r="57" spans="1:27" customFormat="1" ht="28">
      <c r="D57" s="214" t="s">
        <v>383</v>
      </c>
      <c r="E57" s="212" t="str">
        <f>+VLOOKUP(F57,Resumen_Base!$B$6:$F$69,5,0)</f>
        <v>Fixed Asset's Payments (Investments) Mejoras/equipamiento Lodge</v>
      </c>
      <c r="F57" s="36" t="s">
        <v>82</v>
      </c>
      <c r="G57" s="5" t="s">
        <v>83</v>
      </c>
      <c r="H57" s="5" t="str">
        <f t="shared" si="0"/>
        <v>DEL12020901</v>
      </c>
      <c r="I57" s="62">
        <v>238423.9</v>
      </c>
      <c r="J57" s="62">
        <v>166.73</v>
      </c>
      <c r="K57" s="62">
        <v>1430</v>
      </c>
      <c r="L57" s="100" t="s">
        <v>608</v>
      </c>
      <c r="M57" s="5" t="s">
        <v>452</v>
      </c>
      <c r="N57" s="34" t="s">
        <v>464</v>
      </c>
      <c r="O57" s="5" t="s">
        <v>738</v>
      </c>
      <c r="P57" s="5" t="s">
        <v>597</v>
      </c>
      <c r="Q57" s="5" t="s">
        <v>739</v>
      </c>
      <c r="R57" s="5" t="s">
        <v>749</v>
      </c>
      <c r="S57" s="5" t="s">
        <v>741</v>
      </c>
      <c r="T57" s="5" t="s">
        <v>445</v>
      </c>
      <c r="U57" s="5"/>
      <c r="V57" s="5"/>
      <c r="W57" s="5"/>
      <c r="X57" s="5"/>
      <c r="Y57" s="5"/>
      <c r="Z57" s="5"/>
      <c r="AA57" s="5"/>
    </row>
    <row r="58" spans="1:27" customFormat="1" ht="28">
      <c r="D58" s="214" t="s">
        <v>383</v>
      </c>
      <c r="E58" s="212" t="str">
        <f>+VLOOKUP(F58,Resumen_Base!$B$6:$F$69,5,0)</f>
        <v>Fixed Asset's Payments (Investments) Mejoras/equipamiento Lodge</v>
      </c>
      <c r="F58" s="36" t="s">
        <v>82</v>
      </c>
      <c r="G58" s="5" t="s">
        <v>83</v>
      </c>
      <c r="H58" s="5" t="str">
        <f t="shared" si="0"/>
        <v>DEL12020901</v>
      </c>
      <c r="I58" s="62">
        <v>-189458.5</v>
      </c>
      <c r="J58" s="62">
        <v>-134.36773049645399</v>
      </c>
      <c r="K58" s="62">
        <v>1410</v>
      </c>
      <c r="L58" s="100" t="s">
        <v>604</v>
      </c>
      <c r="M58" s="5" t="s">
        <v>452</v>
      </c>
      <c r="N58" s="34" t="s">
        <v>464</v>
      </c>
      <c r="O58" s="5" t="s">
        <v>793</v>
      </c>
      <c r="P58" s="5" t="s">
        <v>597</v>
      </c>
      <c r="Q58" s="5" t="s">
        <v>794</v>
      </c>
      <c r="R58" s="5" t="s">
        <v>795</v>
      </c>
      <c r="S58" s="5" t="s">
        <v>796</v>
      </c>
      <c r="T58" s="5" t="s">
        <v>445</v>
      </c>
      <c r="U58" s="5"/>
      <c r="V58" s="5"/>
      <c r="W58" s="5"/>
      <c r="X58" s="5"/>
      <c r="Y58" s="5"/>
      <c r="Z58" s="5"/>
      <c r="AA58" s="5"/>
    </row>
    <row r="59" spans="1:27" customFormat="1" ht="28">
      <c r="A59" s="301" t="s">
        <v>1163</v>
      </c>
      <c r="B59" s="36" t="s">
        <v>31</v>
      </c>
      <c r="D59" s="214" t="s">
        <v>383</v>
      </c>
      <c r="E59" s="212" t="str">
        <f>+VLOOKUP(F59,Resumen_Base!$B$6:$F$69,5,0)</f>
        <v>Fixed Asset's Payments (Investments) Mejoras/equipamiento Lodge</v>
      </c>
      <c r="F59" s="179" t="s">
        <v>166</v>
      </c>
      <c r="G59" s="168" t="s">
        <v>167</v>
      </c>
      <c r="H59" s="5" t="str">
        <f t="shared" si="0"/>
        <v>DEL12021001</v>
      </c>
      <c r="I59" s="62">
        <v>35000</v>
      </c>
      <c r="J59" s="62">
        <v>24.822695035460999</v>
      </c>
      <c r="K59" s="62">
        <v>1410</v>
      </c>
      <c r="L59" s="100" t="s">
        <v>678</v>
      </c>
      <c r="M59" s="5" t="s">
        <v>452</v>
      </c>
      <c r="N59" s="34" t="s">
        <v>464</v>
      </c>
      <c r="O59" s="5" t="s">
        <v>683</v>
      </c>
      <c r="P59" s="5" t="s">
        <v>597</v>
      </c>
      <c r="Q59" s="5" t="s">
        <v>684</v>
      </c>
      <c r="R59" s="5" t="s">
        <v>689</v>
      </c>
      <c r="S59" s="5" t="s">
        <v>685</v>
      </c>
      <c r="T59" s="5" t="s">
        <v>445</v>
      </c>
      <c r="U59" s="5"/>
      <c r="V59" s="5"/>
      <c r="W59" s="5"/>
      <c r="X59" s="5"/>
      <c r="Y59" s="5"/>
      <c r="Z59" s="5"/>
      <c r="AA59" s="5"/>
    </row>
    <row r="60" spans="1:27" customFormat="1" ht="28">
      <c r="A60" s="301" t="s">
        <v>1163</v>
      </c>
      <c r="B60" s="36" t="s">
        <v>4</v>
      </c>
      <c r="D60" s="214" t="s">
        <v>383</v>
      </c>
      <c r="E60" s="212" t="str">
        <f>+VLOOKUP(F60,Resumen_Base!$B$6:$F$69,5,0)</f>
        <v>Fixed Asset's Payments (Investments) Mejoras/equipamiento Lodge</v>
      </c>
      <c r="F60" s="179" t="s">
        <v>166</v>
      </c>
      <c r="G60" s="168" t="s">
        <v>167</v>
      </c>
      <c r="H60" s="5" t="str">
        <f t="shared" si="0"/>
        <v>DEL12021001</v>
      </c>
      <c r="I60" s="62">
        <v>199000</v>
      </c>
      <c r="J60" s="62">
        <v>141.13475177305</v>
      </c>
      <c r="K60" s="62">
        <v>1410</v>
      </c>
      <c r="L60" s="100" t="s">
        <v>678</v>
      </c>
      <c r="M60" s="5" t="s">
        <v>452</v>
      </c>
      <c r="N60" s="34" t="s">
        <v>464</v>
      </c>
      <c r="O60" s="5" t="s">
        <v>683</v>
      </c>
      <c r="P60" s="5" t="s">
        <v>597</v>
      </c>
      <c r="Q60" s="5" t="s">
        <v>684</v>
      </c>
      <c r="R60" s="5" t="s">
        <v>688</v>
      </c>
      <c r="S60" s="5" t="s">
        <v>685</v>
      </c>
      <c r="T60" s="5" t="s">
        <v>445</v>
      </c>
      <c r="U60" s="5"/>
      <c r="V60" s="5"/>
      <c r="W60" s="5"/>
      <c r="X60" s="5"/>
      <c r="Y60" s="5"/>
      <c r="Z60" s="5"/>
      <c r="AA60" s="5"/>
    </row>
    <row r="61" spans="1:27" customFormat="1" ht="28">
      <c r="A61" s="301" t="s">
        <v>1163</v>
      </c>
      <c r="B61" s="36" t="s">
        <v>46</v>
      </c>
      <c r="D61" s="214" t="s">
        <v>383</v>
      </c>
      <c r="E61" s="212" t="str">
        <f>+VLOOKUP(F61,Resumen_Base!$B$6:$F$69,5,0)</f>
        <v>Fixed Asset's Payments (Investments) Mejoras/equipamiento Lodge</v>
      </c>
      <c r="F61" s="179" t="s">
        <v>166</v>
      </c>
      <c r="G61" s="168" t="s">
        <v>167</v>
      </c>
      <c r="H61" s="5" t="str">
        <f t="shared" si="0"/>
        <v>DEL12021001</v>
      </c>
      <c r="I61" s="62">
        <v>286000</v>
      </c>
      <c r="J61" s="62">
        <v>200</v>
      </c>
      <c r="K61" s="62">
        <v>1430</v>
      </c>
      <c r="L61" s="100" t="s">
        <v>751</v>
      </c>
      <c r="M61" s="5" t="s">
        <v>452</v>
      </c>
      <c r="N61" s="34" t="s">
        <v>464</v>
      </c>
      <c r="O61" s="5" t="s">
        <v>774</v>
      </c>
      <c r="P61" s="5" t="s">
        <v>597</v>
      </c>
      <c r="Q61" s="5" t="s">
        <v>775</v>
      </c>
      <c r="R61" s="5" t="s">
        <v>778</v>
      </c>
      <c r="S61" s="5" t="s">
        <v>777</v>
      </c>
      <c r="T61" s="5" t="s">
        <v>445</v>
      </c>
      <c r="U61" s="5"/>
      <c r="V61" s="5"/>
      <c r="W61" s="5"/>
      <c r="X61" s="5"/>
      <c r="Y61" s="5"/>
      <c r="Z61" s="5"/>
      <c r="AA61" s="5"/>
    </row>
    <row r="62" spans="1:27" customFormat="1" ht="14">
      <c r="A62" s="300">
        <v>5208</v>
      </c>
      <c r="B62">
        <v>5226</v>
      </c>
      <c r="D62" s="214" t="s">
        <v>383</v>
      </c>
      <c r="E62" s="212" t="str">
        <f>+VLOOKUP(F62,Resumen_Base!$B$6:$F$69,5,0)</f>
        <v>Canon Lodge/Labor Permits:</v>
      </c>
      <c r="F62" s="179" t="s">
        <v>141</v>
      </c>
      <c r="G62" s="168" t="s">
        <v>142</v>
      </c>
      <c r="H62" s="5" t="str">
        <f t="shared" si="0"/>
        <v>DEL5208</v>
      </c>
      <c r="I62" s="62">
        <v>5000</v>
      </c>
      <c r="J62" s="62">
        <v>3.4965034965034998</v>
      </c>
      <c r="K62" s="62">
        <v>1430</v>
      </c>
      <c r="L62" s="100" t="s">
        <v>751</v>
      </c>
      <c r="M62" s="5" t="s">
        <v>452</v>
      </c>
      <c r="N62" s="34" t="s">
        <v>464</v>
      </c>
      <c r="O62" s="5" t="s">
        <v>752</v>
      </c>
      <c r="P62" s="5" t="s">
        <v>597</v>
      </c>
      <c r="Q62" s="5" t="s">
        <v>753</v>
      </c>
      <c r="R62" s="5" t="s">
        <v>754</v>
      </c>
      <c r="S62" s="5" t="s">
        <v>755</v>
      </c>
      <c r="T62" s="5" t="s">
        <v>445</v>
      </c>
      <c r="U62" s="5"/>
      <c r="V62" s="5"/>
      <c r="W62" s="5"/>
      <c r="X62" s="5"/>
      <c r="Y62" s="5"/>
      <c r="Z62" s="5"/>
      <c r="AA62" s="5"/>
    </row>
    <row r="63" spans="1:27" customFormat="1" ht="14">
      <c r="A63" s="300">
        <v>5208</v>
      </c>
      <c r="B63">
        <v>5226</v>
      </c>
      <c r="D63" s="214" t="s">
        <v>383</v>
      </c>
      <c r="E63" s="212" t="str">
        <f>+VLOOKUP(F63,Resumen_Base!$B$6:$F$69,5,0)</f>
        <v>Canon Lodge/Labor Permits:</v>
      </c>
      <c r="F63" s="179" t="s">
        <v>141</v>
      </c>
      <c r="G63" s="168" t="s">
        <v>142</v>
      </c>
      <c r="H63" s="5" t="str">
        <f t="shared" si="0"/>
        <v>DEL5208</v>
      </c>
      <c r="I63" s="62">
        <v>2000</v>
      </c>
      <c r="J63" s="62">
        <v>1.3986013986014001</v>
      </c>
      <c r="K63" s="62">
        <v>1430</v>
      </c>
      <c r="L63" s="100" t="s">
        <v>751</v>
      </c>
      <c r="M63" s="5" t="s">
        <v>452</v>
      </c>
      <c r="N63" s="34" t="s">
        <v>464</v>
      </c>
      <c r="O63" s="5" t="s">
        <v>752</v>
      </c>
      <c r="P63" s="5" t="s">
        <v>597</v>
      </c>
      <c r="Q63" s="5" t="s">
        <v>753</v>
      </c>
      <c r="R63" s="5" t="s">
        <v>773</v>
      </c>
      <c r="S63" s="5" t="s">
        <v>755</v>
      </c>
      <c r="T63" s="5" t="s">
        <v>445</v>
      </c>
      <c r="U63" s="5"/>
      <c r="V63" s="5"/>
      <c r="W63" s="5"/>
      <c r="X63" s="5"/>
      <c r="Y63" s="5"/>
      <c r="Z63" s="5"/>
      <c r="AA63" s="5"/>
    </row>
    <row r="64" spans="1:27" customFormat="1" ht="14">
      <c r="A64" s="300">
        <v>5208</v>
      </c>
      <c r="B64">
        <v>5263</v>
      </c>
      <c r="D64" s="214" t="s">
        <v>383</v>
      </c>
      <c r="E64" s="212" t="str">
        <f>+VLOOKUP(F64,Resumen_Base!$B$6:$F$69,5,0)</f>
        <v>Canon Lodge/Labor Permits:</v>
      </c>
      <c r="F64" s="179" t="s">
        <v>141</v>
      </c>
      <c r="G64" s="168" t="s">
        <v>142</v>
      </c>
      <c r="H64" s="5" t="str">
        <f t="shared" si="0"/>
        <v>DEL5208</v>
      </c>
      <c r="I64" s="62">
        <v>10000</v>
      </c>
      <c r="J64" s="62">
        <v>7.6923076923076898</v>
      </c>
      <c r="K64" s="62">
        <v>1300</v>
      </c>
      <c r="L64" s="100" t="s">
        <v>476</v>
      </c>
      <c r="M64" s="5" t="s">
        <v>452</v>
      </c>
      <c r="N64" s="34" t="s">
        <v>464</v>
      </c>
      <c r="O64" s="5" t="s">
        <v>477</v>
      </c>
      <c r="P64" s="5" t="s">
        <v>454</v>
      </c>
      <c r="Q64" s="5" t="s">
        <v>478</v>
      </c>
      <c r="R64" s="5" t="s">
        <v>489</v>
      </c>
      <c r="S64" s="5" t="s">
        <v>480</v>
      </c>
      <c r="T64" s="5" t="s">
        <v>445</v>
      </c>
      <c r="U64" s="5"/>
      <c r="V64" s="5"/>
      <c r="W64" s="5"/>
      <c r="X64" s="5"/>
      <c r="Y64" s="5"/>
      <c r="Z64" s="5"/>
      <c r="AA64" s="5"/>
    </row>
    <row r="65" spans="4:27" customFormat="1" ht="14">
      <c r="D65" s="214" t="s">
        <v>383</v>
      </c>
      <c r="E65" s="212" t="str">
        <f>+VLOOKUP(F65,Resumen_Base!$B$6:$F$69,5,0)</f>
        <v>Canon Lodge/Labor Permits:</v>
      </c>
      <c r="F65" s="36" t="s">
        <v>141</v>
      </c>
      <c r="G65" s="5" t="s">
        <v>142</v>
      </c>
      <c r="H65" s="5" t="str">
        <f t="shared" si="0"/>
        <v>DEL5208</v>
      </c>
      <c r="I65" s="62">
        <v>28000</v>
      </c>
      <c r="J65" s="62">
        <v>19.580419580419601</v>
      </c>
      <c r="K65" s="62">
        <v>1430</v>
      </c>
      <c r="L65" s="100" t="s">
        <v>608</v>
      </c>
      <c r="M65" s="5" t="s">
        <v>452</v>
      </c>
      <c r="N65" s="34" t="s">
        <v>464</v>
      </c>
      <c r="O65" s="5" t="s">
        <v>729</v>
      </c>
      <c r="P65" s="5" t="s">
        <v>597</v>
      </c>
      <c r="Q65" s="5" t="s">
        <v>730</v>
      </c>
      <c r="R65" s="5" t="s">
        <v>733</v>
      </c>
      <c r="S65" s="5" t="s">
        <v>732</v>
      </c>
      <c r="T65" s="5" t="s">
        <v>445</v>
      </c>
      <c r="U65" s="5"/>
      <c r="V65" s="5"/>
      <c r="W65" s="5"/>
      <c r="X65" s="5"/>
      <c r="Y65" s="5"/>
      <c r="Z65" s="5"/>
      <c r="AA65" s="5"/>
    </row>
    <row r="66" spans="4:27" customFormat="1" ht="14">
      <c r="D66" s="214" t="s">
        <v>383</v>
      </c>
      <c r="E66" s="212" t="str">
        <f>+VLOOKUP(F66,Resumen_Base!$B$6:$F$69,5,0)</f>
        <v>Canon Lodge/Labor Permits:</v>
      </c>
      <c r="F66" s="36" t="s">
        <v>141</v>
      </c>
      <c r="G66" s="5" t="s">
        <v>142</v>
      </c>
      <c r="H66" s="5" t="str">
        <f t="shared" si="0"/>
        <v>DEL5208</v>
      </c>
      <c r="I66" s="62">
        <v>307000</v>
      </c>
      <c r="J66" s="62">
        <v>236.15384615384599</v>
      </c>
      <c r="K66" s="62">
        <v>1300</v>
      </c>
      <c r="L66" s="100" t="s">
        <v>459</v>
      </c>
      <c r="M66" s="5" t="s">
        <v>452</v>
      </c>
      <c r="N66" s="34" t="s">
        <v>464</v>
      </c>
      <c r="O66" s="5" t="s">
        <v>492</v>
      </c>
      <c r="P66" s="5" t="s">
        <v>454</v>
      </c>
      <c r="Q66" s="5" t="s">
        <v>493</v>
      </c>
      <c r="R66" s="5" t="s">
        <v>494</v>
      </c>
      <c r="S66" s="5" t="s">
        <v>495</v>
      </c>
      <c r="T66" s="5" t="s">
        <v>445</v>
      </c>
      <c r="U66" s="5"/>
      <c r="V66" s="5"/>
      <c r="W66" s="5"/>
      <c r="X66" s="5"/>
      <c r="Y66" s="5"/>
      <c r="Z66" s="5"/>
      <c r="AA66" s="5"/>
    </row>
    <row r="67" spans="4:27" customFormat="1" ht="14">
      <c r="D67" s="214" t="s">
        <v>383</v>
      </c>
      <c r="E67" s="212" t="str">
        <f>+VLOOKUP(F67,Resumen_Base!$B$6:$F$69,5,0)</f>
        <v>Canon Lodge/Labor Permits:</v>
      </c>
      <c r="F67" s="36" t="s">
        <v>141</v>
      </c>
      <c r="G67" s="5" t="s">
        <v>142</v>
      </c>
      <c r="H67" s="5" t="str">
        <f t="shared" si="0"/>
        <v>DEL5208</v>
      </c>
      <c r="I67" s="62">
        <v>335000</v>
      </c>
      <c r="J67" s="62">
        <v>235.91549295774601</v>
      </c>
      <c r="K67" s="62">
        <v>1420</v>
      </c>
      <c r="L67" s="100" t="s">
        <v>1030</v>
      </c>
      <c r="M67" s="5" t="s">
        <v>452</v>
      </c>
      <c r="N67" s="34" t="s">
        <v>464</v>
      </c>
      <c r="O67" s="5" t="s">
        <v>1097</v>
      </c>
      <c r="P67" s="5" t="s">
        <v>597</v>
      </c>
      <c r="Q67" s="5" t="s">
        <v>1098</v>
      </c>
      <c r="R67" s="5" t="s">
        <v>1101</v>
      </c>
      <c r="S67" s="5" t="s">
        <v>1100</v>
      </c>
      <c r="T67" s="5" t="s">
        <v>445</v>
      </c>
      <c r="U67" s="5"/>
      <c r="V67" s="5"/>
      <c r="W67" s="5"/>
      <c r="X67" s="5"/>
      <c r="Y67" s="5"/>
      <c r="Z67" s="5"/>
      <c r="AA67" s="5"/>
    </row>
    <row r="68" spans="4:27" customFormat="1" ht="14">
      <c r="D68" s="214" t="s">
        <v>383</v>
      </c>
      <c r="E68" s="212" t="str">
        <f>+VLOOKUP(F68,Resumen_Base!$B$6:$F$69,5,0)</f>
        <v>Canon Lodge/Labor Permits:</v>
      </c>
      <c r="F68" s="36" t="s">
        <v>141</v>
      </c>
      <c r="G68" s="5" t="s">
        <v>142</v>
      </c>
      <c r="H68" s="5" t="str">
        <f t="shared" si="0"/>
        <v>DEL5208</v>
      </c>
      <c r="I68" s="62">
        <v>307000</v>
      </c>
      <c r="J68" s="62">
        <v>214.68531468531501</v>
      </c>
      <c r="K68" s="62">
        <v>1430</v>
      </c>
      <c r="L68" s="100" t="s">
        <v>608</v>
      </c>
      <c r="M68" s="5" t="s">
        <v>452</v>
      </c>
      <c r="N68" s="34" t="s">
        <v>464</v>
      </c>
      <c r="O68" s="5" t="s">
        <v>729</v>
      </c>
      <c r="P68" s="5" t="s">
        <v>597</v>
      </c>
      <c r="Q68" s="5" t="s">
        <v>730</v>
      </c>
      <c r="R68" s="5" t="s">
        <v>736</v>
      </c>
      <c r="S68" s="5" t="s">
        <v>732</v>
      </c>
      <c r="T68" s="5" t="s">
        <v>445</v>
      </c>
      <c r="U68" s="5"/>
      <c r="V68" s="5"/>
      <c r="W68" s="5"/>
      <c r="X68" s="5"/>
      <c r="Y68" s="5"/>
      <c r="Z68" s="5"/>
      <c r="AA68" s="5"/>
    </row>
    <row r="69" spans="4:27" customFormat="1" ht="14">
      <c r="D69" s="214" t="s">
        <v>383</v>
      </c>
      <c r="E69" s="212" t="str">
        <f>+VLOOKUP(F69,Resumen_Base!$B$6:$F$69,5,0)</f>
        <v>Canon Lodge/Labor Permits:</v>
      </c>
      <c r="F69" s="36" t="s">
        <v>141</v>
      </c>
      <c r="G69" s="5" t="s">
        <v>142</v>
      </c>
      <c r="H69" s="5" t="str">
        <f t="shared" si="0"/>
        <v>DEL5208</v>
      </c>
      <c r="I69" s="62">
        <v>335000</v>
      </c>
      <c r="J69" s="62">
        <v>229.45205479452099</v>
      </c>
      <c r="K69" s="62">
        <v>1460</v>
      </c>
      <c r="L69" s="100" t="s">
        <v>914</v>
      </c>
      <c r="M69" s="5" t="s">
        <v>452</v>
      </c>
      <c r="N69" s="34" t="s">
        <v>464</v>
      </c>
      <c r="O69" s="5" t="s">
        <v>946</v>
      </c>
      <c r="P69" s="5" t="s">
        <v>597</v>
      </c>
      <c r="Q69" s="5" t="s">
        <v>947</v>
      </c>
      <c r="R69" s="5" t="s">
        <v>952</v>
      </c>
      <c r="S69" s="5" t="s">
        <v>949</v>
      </c>
      <c r="T69" s="5" t="s">
        <v>445</v>
      </c>
      <c r="U69" s="5"/>
      <c r="V69" s="5"/>
      <c r="W69" s="5"/>
      <c r="X69" s="5"/>
      <c r="Y69" s="5"/>
      <c r="Z69" s="5"/>
      <c r="AA69" s="5"/>
    </row>
    <row r="70" spans="4:27" customFormat="1" ht="14">
      <c r="D70" s="214" t="s">
        <v>383</v>
      </c>
      <c r="E70" s="212" t="str">
        <f>+VLOOKUP(F70,Resumen_Base!$B$6:$F$69,5,0)</f>
        <v>Canon Lodge/Labor Permits:</v>
      </c>
      <c r="F70" s="36" t="s">
        <v>141</v>
      </c>
      <c r="G70" s="5" t="s">
        <v>142</v>
      </c>
      <c r="H70" s="5" t="str">
        <f t="shared" si="0"/>
        <v>DEL5208</v>
      </c>
      <c r="I70" s="62">
        <v>174712</v>
      </c>
      <c r="J70" s="62">
        <v>134.393846153846</v>
      </c>
      <c r="K70" s="62">
        <v>1300</v>
      </c>
      <c r="L70" s="100" t="s">
        <v>459</v>
      </c>
      <c r="M70" s="5" t="s">
        <v>452</v>
      </c>
      <c r="N70" s="34" t="s">
        <v>464</v>
      </c>
      <c r="O70" s="5" t="s">
        <v>492</v>
      </c>
      <c r="P70" s="5" t="s">
        <v>454</v>
      </c>
      <c r="Q70" s="5" t="s">
        <v>493</v>
      </c>
      <c r="R70" s="5" t="s">
        <v>497</v>
      </c>
      <c r="S70" s="5" t="s">
        <v>495</v>
      </c>
      <c r="T70" s="5" t="s">
        <v>445</v>
      </c>
      <c r="U70" s="5"/>
      <c r="V70" s="5"/>
      <c r="W70" s="5"/>
      <c r="X70" s="5"/>
      <c r="Y70" s="5"/>
      <c r="Z70" s="5"/>
      <c r="AA70" s="5"/>
    </row>
    <row r="71" spans="4:27" customFormat="1" ht="14">
      <c r="D71" s="214" t="s">
        <v>383</v>
      </c>
      <c r="E71" s="212" t="str">
        <f>+VLOOKUP(F71,Resumen_Base!$B$6:$F$69,5,0)</f>
        <v>Canon Lodge/Labor Permits:</v>
      </c>
      <c r="F71" s="36" t="s">
        <v>141</v>
      </c>
      <c r="G71" s="5" t="s">
        <v>142</v>
      </c>
      <c r="H71" s="5" t="str">
        <f t="shared" si="0"/>
        <v>DEL5208</v>
      </c>
      <c r="I71" s="62">
        <v>170000</v>
      </c>
      <c r="J71" s="62">
        <v>118.88111888111899</v>
      </c>
      <c r="K71" s="62">
        <v>1430</v>
      </c>
      <c r="L71" s="100" t="s">
        <v>608</v>
      </c>
      <c r="M71" s="5" t="s">
        <v>452</v>
      </c>
      <c r="N71" s="34" t="s">
        <v>464</v>
      </c>
      <c r="O71" s="5" t="s">
        <v>729</v>
      </c>
      <c r="P71" s="5" t="s">
        <v>597</v>
      </c>
      <c r="Q71" s="5" t="s">
        <v>730</v>
      </c>
      <c r="R71" s="5" t="s">
        <v>731</v>
      </c>
      <c r="S71" s="5" t="s">
        <v>732</v>
      </c>
      <c r="T71" s="5" t="s">
        <v>445</v>
      </c>
      <c r="U71" s="5"/>
      <c r="V71" s="5"/>
      <c r="W71" s="5"/>
      <c r="X71" s="5"/>
      <c r="Y71" s="5"/>
      <c r="Z71" s="5"/>
      <c r="AA71" s="5"/>
    </row>
    <row r="72" spans="4:27" customFormat="1" ht="14">
      <c r="D72" s="214" t="s">
        <v>383</v>
      </c>
      <c r="E72" s="212" t="str">
        <f>+VLOOKUP(F72,Resumen_Base!$B$6:$F$69,5,0)</f>
        <v>Canon Lodge/Labor Permits:</v>
      </c>
      <c r="F72" s="36" t="s">
        <v>141</v>
      </c>
      <c r="G72" s="5" t="s">
        <v>142</v>
      </c>
      <c r="H72" s="5" t="str">
        <f t="shared" si="0"/>
        <v>DEL5208</v>
      </c>
      <c r="I72" s="62">
        <v>172312</v>
      </c>
      <c r="J72" s="62">
        <v>118.021917808219</v>
      </c>
      <c r="K72" s="62">
        <v>1460</v>
      </c>
      <c r="L72" s="100" t="s">
        <v>914</v>
      </c>
      <c r="M72" s="5" t="s">
        <v>452</v>
      </c>
      <c r="N72" s="34" t="s">
        <v>464</v>
      </c>
      <c r="O72" s="5" t="s">
        <v>946</v>
      </c>
      <c r="P72" s="5" t="s">
        <v>597</v>
      </c>
      <c r="Q72" s="5" t="s">
        <v>947</v>
      </c>
      <c r="R72" s="5" t="s">
        <v>950</v>
      </c>
      <c r="S72" s="5" t="s">
        <v>949</v>
      </c>
      <c r="T72" s="5" t="s">
        <v>445</v>
      </c>
      <c r="U72" s="5"/>
      <c r="V72" s="5"/>
      <c r="W72" s="5"/>
      <c r="X72" s="5"/>
      <c r="Y72" s="5"/>
      <c r="Z72" s="5"/>
      <c r="AA72" s="5"/>
    </row>
    <row r="73" spans="4:27" customFormat="1" ht="28">
      <c r="D73" s="214" t="s">
        <v>383</v>
      </c>
      <c r="E73" s="212" t="str">
        <f>+VLOOKUP(F73,Resumen_Base!$B$6:$F$69,5,0)</f>
        <v>Communications - Phone, internet and satellite TV</v>
      </c>
      <c r="F73" s="36" t="s">
        <v>52</v>
      </c>
      <c r="G73" s="5" t="s">
        <v>143</v>
      </c>
      <c r="H73" s="5" t="str">
        <f t="shared" si="0"/>
        <v>DEL5209</v>
      </c>
      <c r="I73" s="62">
        <v>5489.6</v>
      </c>
      <c r="J73" s="62">
        <v>3.76</v>
      </c>
      <c r="K73" s="62">
        <v>1460</v>
      </c>
      <c r="L73" s="100" t="s">
        <v>914</v>
      </c>
      <c r="M73" s="5" t="s">
        <v>452</v>
      </c>
      <c r="N73" s="34" t="s">
        <v>464</v>
      </c>
      <c r="O73" s="5" t="s">
        <v>1008</v>
      </c>
      <c r="P73" s="5" t="s">
        <v>597</v>
      </c>
      <c r="Q73" s="5" t="s">
        <v>1009</v>
      </c>
      <c r="R73" s="5" t="s">
        <v>1010</v>
      </c>
      <c r="S73" s="5" t="s">
        <v>1011</v>
      </c>
      <c r="T73" s="5" t="s">
        <v>445</v>
      </c>
      <c r="U73" s="5"/>
      <c r="V73" s="5"/>
      <c r="W73" s="5"/>
      <c r="X73" s="5"/>
      <c r="Y73" s="5"/>
      <c r="Z73" s="5"/>
      <c r="AA73" s="5"/>
    </row>
    <row r="74" spans="4:27" customFormat="1" ht="28">
      <c r="D74" s="214" t="s">
        <v>383</v>
      </c>
      <c r="E74" s="212" t="str">
        <f>+VLOOKUP(F74,Resumen_Base!$B$6:$F$69,5,0)</f>
        <v>Communications - Phone, internet and satellite TV</v>
      </c>
      <c r="F74" s="36" t="s">
        <v>52</v>
      </c>
      <c r="G74" s="5" t="s">
        <v>143</v>
      </c>
      <c r="H74" s="5" t="str">
        <f t="shared" si="0"/>
        <v>DEL5209</v>
      </c>
      <c r="I74" s="62">
        <v>-1649.8</v>
      </c>
      <c r="J74" s="62">
        <v>-1.1299999999999999</v>
      </c>
      <c r="K74" s="62">
        <v>1460</v>
      </c>
      <c r="L74" s="100" t="s">
        <v>914</v>
      </c>
      <c r="M74" s="5" t="s">
        <v>452</v>
      </c>
      <c r="N74" s="34" t="s">
        <v>464</v>
      </c>
      <c r="O74" s="5" t="s">
        <v>1120</v>
      </c>
      <c r="P74" s="5" t="s">
        <v>597</v>
      </c>
      <c r="Q74" s="5" t="s">
        <v>1121</v>
      </c>
      <c r="R74" s="5" t="s">
        <v>1122</v>
      </c>
      <c r="S74" s="5" t="s">
        <v>1123</v>
      </c>
      <c r="T74" s="5" t="s">
        <v>445</v>
      </c>
      <c r="U74" s="5"/>
      <c r="V74" s="5"/>
      <c r="W74" s="5"/>
      <c r="X74" s="5"/>
      <c r="Y74" s="5"/>
      <c r="Z74" s="5"/>
      <c r="AA74" s="5"/>
    </row>
    <row r="75" spans="4:27" customFormat="1" ht="28">
      <c r="D75" s="214" t="s">
        <v>383</v>
      </c>
      <c r="E75" s="212" t="str">
        <f>+VLOOKUP(F75,Resumen_Base!$B$6:$F$69,5,0)</f>
        <v>Communications - Phone, internet and satellite TV</v>
      </c>
      <c r="F75" s="36" t="s">
        <v>52</v>
      </c>
      <c r="G75" s="5" t="s">
        <v>143</v>
      </c>
      <c r="H75" s="5" t="str">
        <f t="shared" si="0"/>
        <v>DEL5209</v>
      </c>
      <c r="I75" s="62">
        <v>-146</v>
      </c>
      <c r="J75" s="62">
        <v>-0.1</v>
      </c>
      <c r="K75" s="62">
        <v>1460</v>
      </c>
      <c r="L75" s="100" t="s">
        <v>914</v>
      </c>
      <c r="M75" s="5" t="s">
        <v>452</v>
      </c>
      <c r="N75" s="34" t="s">
        <v>464</v>
      </c>
      <c r="O75" s="5" t="s">
        <v>1120</v>
      </c>
      <c r="P75" s="5" t="s">
        <v>597</v>
      </c>
      <c r="Q75" s="5" t="s">
        <v>1121</v>
      </c>
      <c r="R75" s="5" t="s">
        <v>1122</v>
      </c>
      <c r="S75" s="5" t="s">
        <v>1123</v>
      </c>
      <c r="T75" s="5" t="s">
        <v>445</v>
      </c>
      <c r="U75" s="5"/>
      <c r="V75" s="5"/>
      <c r="W75" s="5"/>
      <c r="X75" s="5"/>
      <c r="Y75" s="5"/>
      <c r="Z75" s="5"/>
      <c r="AA75" s="5"/>
    </row>
    <row r="76" spans="4:27" customFormat="1" ht="28">
      <c r="D76" s="214" t="s">
        <v>383</v>
      </c>
      <c r="E76" s="212" t="str">
        <f>+VLOOKUP(F76,Resumen_Base!$B$6:$F$69,5,0)</f>
        <v>Communications - Phone, internet and satellite TV</v>
      </c>
      <c r="F76" s="36" t="s">
        <v>52</v>
      </c>
      <c r="G76" s="5" t="s">
        <v>143</v>
      </c>
      <c r="H76" s="5" t="str">
        <f t="shared" ref="H76:H139" si="1">+D76&amp;F76</f>
        <v>DEL5209</v>
      </c>
      <c r="I76" s="62">
        <v>59042.400000000001</v>
      </c>
      <c r="J76" s="62">
        <v>40.44</v>
      </c>
      <c r="K76" s="62">
        <v>1460</v>
      </c>
      <c r="L76" s="100" t="s">
        <v>914</v>
      </c>
      <c r="M76" s="5" t="s">
        <v>452</v>
      </c>
      <c r="N76" s="34" t="s">
        <v>464</v>
      </c>
      <c r="O76" s="5" t="s">
        <v>1008</v>
      </c>
      <c r="P76" s="5" t="s">
        <v>597</v>
      </c>
      <c r="Q76" s="5" t="s">
        <v>1009</v>
      </c>
      <c r="R76" s="5" t="s">
        <v>1012</v>
      </c>
      <c r="S76" s="5" t="s">
        <v>1011</v>
      </c>
      <c r="T76" s="5" t="s">
        <v>445</v>
      </c>
      <c r="U76" s="5"/>
      <c r="V76" s="5"/>
      <c r="W76" s="5"/>
      <c r="X76" s="5"/>
      <c r="Y76" s="5"/>
      <c r="Z76" s="5"/>
      <c r="AA76" s="5"/>
    </row>
    <row r="77" spans="4:27" customFormat="1" ht="28">
      <c r="D77" s="214" t="s">
        <v>383</v>
      </c>
      <c r="E77" s="212" t="str">
        <f>+VLOOKUP(F77,Resumen_Base!$B$6:$F$69,5,0)</f>
        <v>Communications - Phone, internet and satellite TV</v>
      </c>
      <c r="F77" s="36" t="s">
        <v>52</v>
      </c>
      <c r="G77" s="5" t="s">
        <v>143</v>
      </c>
      <c r="H77" s="5" t="str">
        <f t="shared" si="1"/>
        <v>DEL5209</v>
      </c>
      <c r="I77" s="62">
        <v>3962.1</v>
      </c>
      <c r="J77" s="62">
        <v>2.81</v>
      </c>
      <c r="K77" s="62">
        <v>1410</v>
      </c>
      <c r="L77" s="100" t="s">
        <v>608</v>
      </c>
      <c r="M77" s="5" t="s">
        <v>452</v>
      </c>
      <c r="N77" s="34" t="s">
        <v>464</v>
      </c>
      <c r="O77" s="5" t="s">
        <v>738</v>
      </c>
      <c r="P77" s="5" t="s">
        <v>597</v>
      </c>
      <c r="Q77" s="5" t="s">
        <v>739</v>
      </c>
      <c r="R77" s="5" t="s">
        <v>743</v>
      </c>
      <c r="S77" s="5" t="s">
        <v>741</v>
      </c>
      <c r="T77" s="5" t="s">
        <v>445</v>
      </c>
      <c r="U77" s="5"/>
      <c r="V77" s="5"/>
      <c r="W77" s="5"/>
      <c r="X77" s="5"/>
      <c r="Y77" s="5"/>
      <c r="Z77" s="5"/>
      <c r="AA77" s="5"/>
    </row>
    <row r="78" spans="4:27" customFormat="1" ht="28">
      <c r="D78" s="214" t="s">
        <v>383</v>
      </c>
      <c r="E78" s="212" t="str">
        <f>+VLOOKUP(F78,Resumen_Base!$B$6:$F$69,5,0)</f>
        <v>Communications - Phone, internet and satellite TV</v>
      </c>
      <c r="F78" s="36" t="s">
        <v>52</v>
      </c>
      <c r="G78" s="5" t="s">
        <v>143</v>
      </c>
      <c r="H78" s="5" t="str">
        <f t="shared" si="1"/>
        <v>DEL5209</v>
      </c>
      <c r="I78" s="62">
        <v>53763.3</v>
      </c>
      <c r="J78" s="62">
        <v>38.130000000000003</v>
      </c>
      <c r="K78" s="62">
        <v>1410</v>
      </c>
      <c r="L78" s="100" t="s">
        <v>608</v>
      </c>
      <c r="M78" s="5" t="s">
        <v>452</v>
      </c>
      <c r="N78" s="34" t="s">
        <v>464</v>
      </c>
      <c r="O78" s="5" t="s">
        <v>738</v>
      </c>
      <c r="P78" s="5" t="s">
        <v>597</v>
      </c>
      <c r="Q78" s="5" t="s">
        <v>739</v>
      </c>
      <c r="R78" s="5" t="s">
        <v>740</v>
      </c>
      <c r="S78" s="5" t="s">
        <v>741</v>
      </c>
      <c r="T78" s="5" t="s">
        <v>445</v>
      </c>
      <c r="U78" s="5"/>
      <c r="V78" s="5"/>
      <c r="W78" s="5"/>
      <c r="X78" s="5"/>
      <c r="Y78" s="5"/>
      <c r="Z78" s="5"/>
      <c r="AA78" s="5"/>
    </row>
    <row r="79" spans="4:27" customFormat="1" ht="28">
      <c r="D79" s="214" t="s">
        <v>383</v>
      </c>
      <c r="E79" s="212" t="str">
        <f>+VLOOKUP(F79,Resumen_Base!$B$6:$F$69,5,0)</f>
        <v>Communications - Phone, internet and satellite TV</v>
      </c>
      <c r="F79" s="36" t="s">
        <v>52</v>
      </c>
      <c r="G79" s="5" t="s">
        <v>143</v>
      </c>
      <c r="H79" s="5" t="str">
        <f t="shared" si="1"/>
        <v>DEL5209</v>
      </c>
      <c r="I79" s="62">
        <v>18090.3</v>
      </c>
      <c r="J79" s="62">
        <v>12.83</v>
      </c>
      <c r="K79" s="62">
        <v>1410</v>
      </c>
      <c r="L79" s="100" t="s">
        <v>608</v>
      </c>
      <c r="M79" s="5" t="s">
        <v>452</v>
      </c>
      <c r="N79" s="34" t="s">
        <v>464</v>
      </c>
      <c r="O79" s="5" t="s">
        <v>738</v>
      </c>
      <c r="P79" s="5" t="s">
        <v>597</v>
      </c>
      <c r="Q79" s="5" t="s">
        <v>739</v>
      </c>
      <c r="R79" s="5" t="s">
        <v>742</v>
      </c>
      <c r="S79" s="5" t="s">
        <v>741</v>
      </c>
      <c r="T79" s="5" t="s">
        <v>445</v>
      </c>
      <c r="U79" s="5"/>
      <c r="V79" s="5"/>
      <c r="W79" s="5"/>
      <c r="X79" s="5"/>
      <c r="Y79" s="5"/>
      <c r="Z79" s="5"/>
      <c r="AA79" s="5"/>
    </row>
    <row r="80" spans="4:27" customFormat="1" ht="14">
      <c r="D80" s="214" t="s">
        <v>383</v>
      </c>
      <c r="E80" s="212" t="str">
        <f>+VLOOKUP(F80,Resumen_Base!$B$6:$F$69,5,0)</f>
        <v>Food &amp; Wine</v>
      </c>
      <c r="F80" s="36" t="s">
        <v>43</v>
      </c>
      <c r="G80" s="5" t="s">
        <v>42</v>
      </c>
      <c r="H80" s="5" t="str">
        <f t="shared" si="1"/>
        <v>DEL5213</v>
      </c>
      <c r="I80" s="62">
        <v>252000</v>
      </c>
      <c r="J80" s="62">
        <v>177.464788732394</v>
      </c>
      <c r="K80" s="62">
        <v>1420</v>
      </c>
      <c r="L80" s="100" t="s">
        <v>989</v>
      </c>
      <c r="M80" s="5" t="s">
        <v>452</v>
      </c>
      <c r="N80" s="34" t="s">
        <v>464</v>
      </c>
      <c r="O80" s="5" t="s">
        <v>1075</v>
      </c>
      <c r="P80" s="5" t="s">
        <v>597</v>
      </c>
      <c r="Q80" s="5" t="s">
        <v>1076</v>
      </c>
      <c r="R80" s="5" t="s">
        <v>1079</v>
      </c>
      <c r="S80" s="5" t="s">
        <v>1078</v>
      </c>
      <c r="T80" s="5" t="s">
        <v>445</v>
      </c>
      <c r="U80" s="5"/>
      <c r="V80" s="5"/>
      <c r="W80" s="5"/>
      <c r="X80" s="5"/>
      <c r="Y80" s="5"/>
      <c r="Z80" s="5"/>
      <c r="AA80" s="5"/>
    </row>
    <row r="81" spans="4:27" customFormat="1" ht="14">
      <c r="D81" s="214" t="s">
        <v>383</v>
      </c>
      <c r="E81" s="212" t="str">
        <f>+VLOOKUP(F81,Resumen_Base!$B$6:$F$69,5,0)</f>
        <v>Food &amp; Wine</v>
      </c>
      <c r="F81" s="36" t="s">
        <v>43</v>
      </c>
      <c r="G81" s="5" t="s">
        <v>42</v>
      </c>
      <c r="H81" s="5" t="str">
        <f t="shared" si="1"/>
        <v>DEL5213</v>
      </c>
      <c r="I81" s="62">
        <v>2278440</v>
      </c>
      <c r="J81" s="62">
        <v>1627.4571428571401</v>
      </c>
      <c r="K81" s="62">
        <v>1400</v>
      </c>
      <c r="L81" s="100" t="s">
        <v>813</v>
      </c>
      <c r="M81" s="5" t="s">
        <v>452</v>
      </c>
      <c r="N81" s="34" t="s">
        <v>464</v>
      </c>
      <c r="O81" s="5" t="s">
        <v>817</v>
      </c>
      <c r="P81" s="5" t="s">
        <v>597</v>
      </c>
      <c r="Q81" s="5" t="s">
        <v>818</v>
      </c>
      <c r="R81" s="5" t="s">
        <v>821</v>
      </c>
      <c r="S81" s="5" t="s">
        <v>820</v>
      </c>
      <c r="T81" s="5" t="s">
        <v>445</v>
      </c>
      <c r="U81" s="5"/>
      <c r="V81" s="5"/>
      <c r="W81" s="5"/>
      <c r="X81" s="5"/>
      <c r="Y81" s="5"/>
      <c r="Z81" s="5"/>
      <c r="AA81" s="5"/>
    </row>
    <row r="82" spans="4:27" customFormat="1" ht="14">
      <c r="D82" s="214" t="s">
        <v>383</v>
      </c>
      <c r="E82" s="212" t="str">
        <f>+VLOOKUP(F82,Resumen_Base!$B$6:$F$69,5,0)</f>
        <v>Miscellaneous &amp; Shipping</v>
      </c>
      <c r="F82" s="36" t="s">
        <v>54</v>
      </c>
      <c r="G82" s="5" t="s">
        <v>55</v>
      </c>
      <c r="H82" s="5" t="str">
        <f t="shared" si="1"/>
        <v>DEL5219</v>
      </c>
      <c r="I82" s="62">
        <v>899305</v>
      </c>
      <c r="J82" s="62">
        <v>642.36071428571404</v>
      </c>
      <c r="K82" s="62">
        <v>1400</v>
      </c>
      <c r="L82" s="100" t="s">
        <v>813</v>
      </c>
      <c r="M82" s="5" t="s">
        <v>452</v>
      </c>
      <c r="N82" s="34" t="s">
        <v>464</v>
      </c>
      <c r="O82" s="5" t="s">
        <v>817</v>
      </c>
      <c r="P82" s="5" t="s">
        <v>597</v>
      </c>
      <c r="Q82" s="5" t="s">
        <v>818</v>
      </c>
      <c r="R82" s="5" t="s">
        <v>819</v>
      </c>
      <c r="S82" s="5" t="s">
        <v>820</v>
      </c>
      <c r="T82" s="5" t="s">
        <v>445</v>
      </c>
      <c r="U82" s="5"/>
      <c r="V82" s="5"/>
      <c r="W82" s="5"/>
      <c r="X82" s="5"/>
      <c r="Y82" s="5"/>
      <c r="Z82" s="5"/>
      <c r="AA82" s="5"/>
    </row>
    <row r="83" spans="4:27" customFormat="1" ht="14">
      <c r="D83" s="214" t="s">
        <v>383</v>
      </c>
      <c r="E83" s="212" t="str">
        <f>+VLOOKUP(F83,Resumen_Base!$B$6:$F$69,5,0)</f>
        <v>Miscellaneous &amp; Shipping</v>
      </c>
      <c r="F83" s="36" t="s">
        <v>54</v>
      </c>
      <c r="G83" s="5" t="s">
        <v>55</v>
      </c>
      <c r="H83" s="5" t="str">
        <f t="shared" si="1"/>
        <v>DEL5219</v>
      </c>
      <c r="I83" s="62">
        <v>100768.5</v>
      </c>
      <c r="J83" s="62">
        <v>71.977500000000006</v>
      </c>
      <c r="K83" s="62">
        <v>1400</v>
      </c>
      <c r="L83" s="100" t="s">
        <v>813</v>
      </c>
      <c r="M83" s="5" t="s">
        <v>452</v>
      </c>
      <c r="N83" s="34" t="s">
        <v>464</v>
      </c>
      <c r="O83" s="5" t="s">
        <v>817</v>
      </c>
      <c r="P83" s="5" t="s">
        <v>597</v>
      </c>
      <c r="Q83" s="5" t="s">
        <v>818</v>
      </c>
      <c r="R83" s="5" t="s">
        <v>828</v>
      </c>
      <c r="S83" s="5" t="s">
        <v>820</v>
      </c>
      <c r="T83" s="5" t="s">
        <v>445</v>
      </c>
      <c r="U83" s="5"/>
      <c r="V83" s="5"/>
      <c r="W83" s="5"/>
      <c r="X83" s="5"/>
      <c r="Y83" s="5"/>
      <c r="Z83" s="5"/>
      <c r="AA83" s="5"/>
    </row>
    <row r="84" spans="4:27" customFormat="1" ht="14">
      <c r="D84" s="214" t="s">
        <v>383</v>
      </c>
      <c r="E84" s="212" t="str">
        <f>+VLOOKUP(F84,Resumen_Base!$B$6:$F$69,5,0)</f>
        <v>Miscellaneous &amp; Shipping</v>
      </c>
      <c r="F84" s="36" t="s">
        <v>54</v>
      </c>
      <c r="G84" s="5" t="s">
        <v>55</v>
      </c>
      <c r="H84" s="5" t="str">
        <f t="shared" si="1"/>
        <v>DEL5219</v>
      </c>
      <c r="I84" s="62">
        <v>20000</v>
      </c>
      <c r="J84" s="62">
        <v>14.285714285714301</v>
      </c>
      <c r="K84" s="62">
        <v>1400</v>
      </c>
      <c r="L84" s="100" t="s">
        <v>813</v>
      </c>
      <c r="M84" s="5" t="s">
        <v>452</v>
      </c>
      <c r="N84" s="34" t="s">
        <v>464</v>
      </c>
      <c r="O84" s="5" t="s">
        <v>817</v>
      </c>
      <c r="P84" s="5" t="s">
        <v>597</v>
      </c>
      <c r="Q84" s="5" t="s">
        <v>818</v>
      </c>
      <c r="R84" s="5" t="s">
        <v>829</v>
      </c>
      <c r="S84" s="5" t="s">
        <v>820</v>
      </c>
      <c r="T84" s="5" t="s">
        <v>445</v>
      </c>
      <c r="U84" s="5"/>
      <c r="V84" s="5"/>
      <c r="W84" s="5"/>
      <c r="X84" s="5"/>
      <c r="Y84" s="5"/>
      <c r="Z84" s="5"/>
      <c r="AA84" s="5"/>
    </row>
    <row r="85" spans="4:27" customFormat="1" ht="14">
      <c r="D85" s="214" t="s">
        <v>383</v>
      </c>
      <c r="E85" s="212" t="str">
        <f>+VLOOKUP(F85,Resumen_Base!$B$6:$F$69,5,0)</f>
        <v>Miscellaneous &amp; Shipping</v>
      </c>
      <c r="F85" s="36" t="s">
        <v>54</v>
      </c>
      <c r="G85" s="5" t="s">
        <v>55</v>
      </c>
      <c r="H85" s="5" t="str">
        <f t="shared" si="1"/>
        <v>DEL5219</v>
      </c>
      <c r="I85" s="62">
        <v>209000</v>
      </c>
      <c r="J85" s="62">
        <v>160.769230769231</v>
      </c>
      <c r="K85" s="62">
        <v>1300</v>
      </c>
      <c r="L85" s="100" t="s">
        <v>459</v>
      </c>
      <c r="M85" s="5" t="s">
        <v>452</v>
      </c>
      <c r="N85" s="34" t="s">
        <v>464</v>
      </c>
      <c r="O85" s="5" t="s">
        <v>492</v>
      </c>
      <c r="P85" s="5" t="s">
        <v>454</v>
      </c>
      <c r="Q85" s="5" t="s">
        <v>493</v>
      </c>
      <c r="R85" s="5" t="s">
        <v>498</v>
      </c>
      <c r="S85" s="5" t="s">
        <v>495</v>
      </c>
      <c r="T85" s="5" t="s">
        <v>445</v>
      </c>
      <c r="U85" s="5"/>
      <c r="V85" s="5"/>
      <c r="W85" s="5"/>
      <c r="X85" s="5"/>
      <c r="Y85" s="5"/>
      <c r="Z85" s="5"/>
      <c r="AA85" s="5"/>
    </row>
    <row r="86" spans="4:27" customFormat="1" ht="14">
      <c r="D86" s="214" t="s">
        <v>383</v>
      </c>
      <c r="E86" s="212" t="str">
        <f>+VLOOKUP(F86,Resumen_Base!$B$6:$F$69,5,0)</f>
        <v>Miscellaneous &amp; Shipping</v>
      </c>
      <c r="F86" s="36" t="s">
        <v>54</v>
      </c>
      <c r="G86" s="5" t="s">
        <v>55</v>
      </c>
      <c r="H86" s="5" t="str">
        <f t="shared" si="1"/>
        <v>DEL5219</v>
      </c>
      <c r="I86" s="62">
        <v>326750</v>
      </c>
      <c r="J86" s="62">
        <v>217.833333333333</v>
      </c>
      <c r="K86" s="62">
        <v>1500</v>
      </c>
      <c r="L86" s="100" t="s">
        <v>854</v>
      </c>
      <c r="M86" s="5" t="s">
        <v>452</v>
      </c>
      <c r="N86" s="34" t="s">
        <v>464</v>
      </c>
      <c r="O86" s="5" t="s">
        <v>870</v>
      </c>
      <c r="P86" s="5" t="s">
        <v>597</v>
      </c>
      <c r="Q86" s="5" t="s">
        <v>871</v>
      </c>
      <c r="R86" s="5" t="s">
        <v>874</v>
      </c>
      <c r="S86" s="5" t="s">
        <v>873</v>
      </c>
      <c r="T86" s="5" t="s">
        <v>445</v>
      </c>
      <c r="U86" s="5"/>
      <c r="V86" s="5"/>
      <c r="W86" s="5"/>
      <c r="X86" s="5"/>
      <c r="Y86" s="5"/>
      <c r="Z86" s="5"/>
      <c r="AA86" s="5"/>
    </row>
    <row r="87" spans="4:27" customFormat="1" ht="14">
      <c r="D87" s="214" t="s">
        <v>383</v>
      </c>
      <c r="E87" s="212" t="str">
        <f>+VLOOKUP(F87,Resumen_Base!$B$6:$F$69,5,0)</f>
        <v>Work uniforms for personnel (employees)</v>
      </c>
      <c r="F87" s="36" t="s">
        <v>56</v>
      </c>
      <c r="G87" s="5" t="s">
        <v>57</v>
      </c>
      <c r="H87" s="5" t="str">
        <f t="shared" si="1"/>
        <v>DEL5220</v>
      </c>
      <c r="I87" s="62">
        <v>40500</v>
      </c>
      <c r="J87" s="62">
        <v>29.562043795620401</v>
      </c>
      <c r="K87" s="62">
        <v>1370</v>
      </c>
      <c r="L87" s="100" t="s">
        <v>451</v>
      </c>
      <c r="M87" s="5" t="s">
        <v>452</v>
      </c>
      <c r="N87" s="34" t="s">
        <v>464</v>
      </c>
      <c r="O87" s="5" t="s">
        <v>524</v>
      </c>
      <c r="P87" s="5" t="s">
        <v>454</v>
      </c>
      <c r="Q87" s="5" t="s">
        <v>525</v>
      </c>
      <c r="R87" s="5" t="s">
        <v>529</v>
      </c>
      <c r="S87" s="5" t="s">
        <v>527</v>
      </c>
      <c r="T87" s="5" t="s">
        <v>445</v>
      </c>
      <c r="U87" s="5"/>
      <c r="V87" s="5"/>
      <c r="W87" s="5"/>
      <c r="X87" s="5"/>
      <c r="Y87" s="5"/>
      <c r="Z87" s="5"/>
      <c r="AA87" s="5"/>
    </row>
    <row r="88" spans="4:27" customFormat="1" ht="14">
      <c r="D88" s="214" t="s">
        <v>383</v>
      </c>
      <c r="E88" s="212" t="str">
        <f>+VLOOKUP(F88,Resumen_Base!$B$6:$F$69,5,0)</f>
        <v>Work uniforms for personnel (employees)</v>
      </c>
      <c r="F88" s="36" t="s">
        <v>56</v>
      </c>
      <c r="G88" s="5" t="s">
        <v>57</v>
      </c>
      <c r="H88" s="5" t="str">
        <f t="shared" si="1"/>
        <v>DEL5220</v>
      </c>
      <c r="I88" s="62">
        <v>93000</v>
      </c>
      <c r="J88" s="62">
        <v>63.698630136986303</v>
      </c>
      <c r="K88" s="62">
        <v>1460</v>
      </c>
      <c r="L88" s="100" t="s">
        <v>914</v>
      </c>
      <c r="M88" s="5" t="s">
        <v>452</v>
      </c>
      <c r="N88" s="34" t="s">
        <v>464</v>
      </c>
      <c r="O88" s="5" t="s">
        <v>946</v>
      </c>
      <c r="P88" s="5" t="s">
        <v>597</v>
      </c>
      <c r="Q88" s="5" t="s">
        <v>947</v>
      </c>
      <c r="R88" s="5" t="s">
        <v>948</v>
      </c>
      <c r="S88" s="5" t="s">
        <v>949</v>
      </c>
      <c r="T88" s="5" t="s">
        <v>445</v>
      </c>
      <c r="U88" s="5"/>
      <c r="V88" s="5"/>
      <c r="W88" s="5"/>
      <c r="X88" s="5"/>
      <c r="Y88" s="5"/>
      <c r="Z88" s="5"/>
      <c r="AA88" s="5"/>
    </row>
    <row r="89" spans="4:27" customFormat="1" ht="14">
      <c r="D89" s="214" t="s">
        <v>383</v>
      </c>
      <c r="E89" s="212" t="str">
        <f>+VLOOKUP(F89,Resumen_Base!$B$6:$F$69,5,0)</f>
        <v>Services/House</v>
      </c>
      <c r="F89" s="36" t="s">
        <v>148</v>
      </c>
      <c r="G89" s="5" t="s">
        <v>283</v>
      </c>
      <c r="H89" s="5" t="str">
        <f t="shared" si="1"/>
        <v>DEL5226</v>
      </c>
      <c r="I89" s="62">
        <v>453456</v>
      </c>
      <c r="J89" s="62">
        <v>321.60000000000002</v>
      </c>
      <c r="K89" s="62">
        <v>1410</v>
      </c>
      <c r="L89" s="100" t="s">
        <v>608</v>
      </c>
      <c r="M89" s="5" t="s">
        <v>452</v>
      </c>
      <c r="N89" s="34" t="s">
        <v>464</v>
      </c>
      <c r="O89" s="5" t="s">
        <v>738</v>
      </c>
      <c r="P89" s="5" t="s">
        <v>597</v>
      </c>
      <c r="Q89" s="5" t="s">
        <v>739</v>
      </c>
      <c r="R89" s="5" t="s">
        <v>745</v>
      </c>
      <c r="S89" s="5" t="s">
        <v>741</v>
      </c>
      <c r="T89" s="5" t="s">
        <v>445</v>
      </c>
      <c r="U89" s="5"/>
      <c r="V89" s="5"/>
      <c r="W89" s="5"/>
      <c r="X89" s="5"/>
      <c r="Y89" s="5"/>
      <c r="Z89" s="5"/>
      <c r="AA89" s="5"/>
    </row>
    <row r="90" spans="4:27" customFormat="1" ht="14">
      <c r="D90" s="214" t="s">
        <v>383</v>
      </c>
      <c r="E90" s="212" t="str">
        <f>+VLOOKUP(F90,Resumen_Base!$B$6:$F$69,5,0)</f>
        <v>Services/House</v>
      </c>
      <c r="F90" s="36" t="s">
        <v>148</v>
      </c>
      <c r="G90" s="5" t="s">
        <v>283</v>
      </c>
      <c r="H90" s="5" t="str">
        <f t="shared" si="1"/>
        <v>DEL5226</v>
      </c>
      <c r="I90" s="62">
        <v>469536</v>
      </c>
      <c r="J90" s="62">
        <v>321.60000000000002</v>
      </c>
      <c r="K90" s="62">
        <v>1460</v>
      </c>
      <c r="L90" s="100" t="s">
        <v>914</v>
      </c>
      <c r="M90" s="5" t="s">
        <v>452</v>
      </c>
      <c r="N90" s="34" t="s">
        <v>464</v>
      </c>
      <c r="O90" s="5" t="s">
        <v>922</v>
      </c>
      <c r="P90" s="5" t="s">
        <v>597</v>
      </c>
      <c r="Q90" s="5" t="s">
        <v>923</v>
      </c>
      <c r="R90" s="5" t="s">
        <v>934</v>
      </c>
      <c r="S90" s="5" t="s">
        <v>925</v>
      </c>
      <c r="T90" s="5" t="s">
        <v>445</v>
      </c>
      <c r="U90" s="5"/>
      <c r="V90" s="5"/>
      <c r="W90" s="5"/>
      <c r="X90" s="5"/>
      <c r="Y90" s="5"/>
      <c r="Z90" s="5"/>
      <c r="AA90" s="5"/>
    </row>
    <row r="91" spans="4:27" customFormat="1" ht="14">
      <c r="D91" s="214" t="s">
        <v>383</v>
      </c>
      <c r="E91" s="212" t="str">
        <f>+VLOOKUP(F91,Resumen_Base!$B$6:$F$69,5,0)</f>
        <v>Services/House</v>
      </c>
      <c r="F91" s="36" t="s">
        <v>148</v>
      </c>
      <c r="G91" s="5" t="s">
        <v>283</v>
      </c>
      <c r="H91" s="5" t="str">
        <f t="shared" si="1"/>
        <v>DEL5226</v>
      </c>
      <c r="I91" s="62">
        <v>1604600</v>
      </c>
      <c r="J91" s="62">
        <v>1130</v>
      </c>
      <c r="K91" s="62">
        <v>1420</v>
      </c>
      <c r="L91" s="100" t="s">
        <v>989</v>
      </c>
      <c r="M91" s="5" t="s">
        <v>452</v>
      </c>
      <c r="N91" s="34" t="s">
        <v>464</v>
      </c>
      <c r="O91" s="5" t="s">
        <v>1082</v>
      </c>
      <c r="P91" s="5" t="s">
        <v>597</v>
      </c>
      <c r="Q91" s="5" t="s">
        <v>1083</v>
      </c>
      <c r="R91" s="5" t="s">
        <v>1095</v>
      </c>
      <c r="S91" s="5" t="s">
        <v>1085</v>
      </c>
      <c r="T91" s="5" t="s">
        <v>445</v>
      </c>
      <c r="U91" s="5"/>
      <c r="V91" s="5"/>
      <c r="W91" s="5"/>
      <c r="X91" s="5"/>
      <c r="Y91" s="5"/>
      <c r="Z91" s="5"/>
      <c r="AA91" s="5"/>
    </row>
    <row r="92" spans="4:27" customFormat="1" ht="14">
      <c r="D92" s="214" t="s">
        <v>383</v>
      </c>
      <c r="E92" s="212" t="str">
        <f>+VLOOKUP(F92,Resumen_Base!$B$6:$F$69,5,0)</f>
        <v>Services/House</v>
      </c>
      <c r="F92" s="36" t="s">
        <v>148</v>
      </c>
      <c r="G92" s="5" t="s">
        <v>283</v>
      </c>
      <c r="H92" s="5" t="str">
        <f t="shared" si="1"/>
        <v>DEL5226</v>
      </c>
      <c r="I92" s="62">
        <v>5000</v>
      </c>
      <c r="J92" s="62">
        <v>3.5460992907801399</v>
      </c>
      <c r="K92" s="62">
        <v>1410</v>
      </c>
      <c r="L92" s="100" t="s">
        <v>678</v>
      </c>
      <c r="M92" s="5" t="s">
        <v>452</v>
      </c>
      <c r="N92" s="34" t="s">
        <v>464</v>
      </c>
      <c r="O92" s="5" t="s">
        <v>683</v>
      </c>
      <c r="P92" s="5" t="s">
        <v>597</v>
      </c>
      <c r="Q92" s="5" t="s">
        <v>684</v>
      </c>
      <c r="R92" s="5" t="s">
        <v>711</v>
      </c>
      <c r="S92" s="5" t="s">
        <v>685</v>
      </c>
      <c r="T92" s="5" t="s">
        <v>445</v>
      </c>
      <c r="U92" s="5"/>
      <c r="V92" s="5"/>
      <c r="W92" s="5"/>
      <c r="X92" s="5"/>
      <c r="Y92" s="5"/>
      <c r="Z92" s="5"/>
      <c r="AA92" s="5"/>
    </row>
    <row r="93" spans="4:27" customFormat="1" ht="14">
      <c r="D93" s="214" t="s">
        <v>383</v>
      </c>
      <c r="E93" s="212" t="str">
        <f>+VLOOKUP(F93,Resumen_Base!$B$6:$F$69,5,0)</f>
        <v>Services/House</v>
      </c>
      <c r="F93" s="36" t="s">
        <v>148</v>
      </c>
      <c r="G93" s="5" t="s">
        <v>283</v>
      </c>
      <c r="H93" s="5" t="str">
        <f t="shared" si="1"/>
        <v>DEL5226</v>
      </c>
      <c r="I93" s="62">
        <v>65000</v>
      </c>
      <c r="J93" s="62">
        <v>46.428571428571402</v>
      </c>
      <c r="K93" s="62">
        <v>1400</v>
      </c>
      <c r="L93" s="100" t="s">
        <v>834</v>
      </c>
      <c r="M93" s="5" t="s">
        <v>452</v>
      </c>
      <c r="N93" s="34" t="s">
        <v>464</v>
      </c>
      <c r="O93" s="5" t="s">
        <v>835</v>
      </c>
      <c r="P93" s="5" t="s">
        <v>597</v>
      </c>
      <c r="Q93" s="5" t="s">
        <v>836</v>
      </c>
      <c r="R93" s="5" t="s">
        <v>841</v>
      </c>
      <c r="S93" s="5" t="s">
        <v>838</v>
      </c>
      <c r="T93" s="5" t="s">
        <v>445</v>
      </c>
      <c r="U93" s="5"/>
      <c r="V93" s="5"/>
      <c r="W93" s="5"/>
      <c r="X93" s="5"/>
      <c r="Y93" s="5"/>
      <c r="Z93" s="5"/>
      <c r="AA93" s="5"/>
    </row>
    <row r="94" spans="4:27" customFormat="1" ht="14">
      <c r="D94" s="214" t="s">
        <v>383</v>
      </c>
      <c r="E94" s="212" t="str">
        <f>+VLOOKUP(F94,Resumen_Base!$B$6:$F$69,5,0)</f>
        <v>Services/House</v>
      </c>
      <c r="F94" s="36" t="s">
        <v>148</v>
      </c>
      <c r="G94" s="5" t="s">
        <v>283</v>
      </c>
      <c r="H94" s="5" t="str">
        <f t="shared" si="1"/>
        <v>DEL5226</v>
      </c>
      <c r="I94" s="62">
        <v>40000</v>
      </c>
      <c r="J94" s="62">
        <v>28.571428571428601</v>
      </c>
      <c r="K94" s="62">
        <v>1400</v>
      </c>
      <c r="L94" s="100" t="s">
        <v>834</v>
      </c>
      <c r="M94" s="5" t="s">
        <v>452</v>
      </c>
      <c r="N94" s="34" t="s">
        <v>464</v>
      </c>
      <c r="O94" s="5" t="s">
        <v>835</v>
      </c>
      <c r="P94" s="5" t="s">
        <v>597</v>
      </c>
      <c r="Q94" s="5" t="s">
        <v>836</v>
      </c>
      <c r="R94" s="5" t="s">
        <v>842</v>
      </c>
      <c r="S94" s="5" t="s">
        <v>838</v>
      </c>
      <c r="T94" s="5" t="s">
        <v>445</v>
      </c>
      <c r="U94" s="5"/>
      <c r="V94" s="5"/>
      <c r="W94" s="5"/>
      <c r="X94" s="5"/>
      <c r="Y94" s="5"/>
      <c r="Z94" s="5"/>
      <c r="AA94" s="5"/>
    </row>
    <row r="95" spans="4:27" customFormat="1" ht="14">
      <c r="D95" s="214" t="s">
        <v>383</v>
      </c>
      <c r="E95" s="212" t="str">
        <f>+VLOOKUP(F95,Resumen_Base!$B$6:$F$69,5,0)</f>
        <v>Services/House</v>
      </c>
      <c r="F95" s="36" t="s">
        <v>148</v>
      </c>
      <c r="G95" s="5" t="s">
        <v>283</v>
      </c>
      <c r="H95" s="5" t="str">
        <f t="shared" si="1"/>
        <v>DEL5226</v>
      </c>
      <c r="I95" s="62">
        <v>50000</v>
      </c>
      <c r="J95" s="62">
        <v>35.971223021582702</v>
      </c>
      <c r="K95" s="62">
        <v>1390</v>
      </c>
      <c r="L95" s="100" t="s">
        <v>628</v>
      </c>
      <c r="M95" s="5" t="s">
        <v>452</v>
      </c>
      <c r="N95" s="34" t="s">
        <v>464</v>
      </c>
      <c r="O95" s="5" t="s">
        <v>629</v>
      </c>
      <c r="P95" s="5" t="s">
        <v>597</v>
      </c>
      <c r="Q95" s="5" t="s">
        <v>630</v>
      </c>
      <c r="R95" s="5" t="s">
        <v>642</v>
      </c>
      <c r="S95" s="5" t="s">
        <v>632</v>
      </c>
      <c r="T95" s="5" t="s">
        <v>445</v>
      </c>
      <c r="U95" s="5"/>
      <c r="V95" s="5"/>
      <c r="W95" s="5"/>
      <c r="X95" s="5"/>
      <c r="Y95" s="5"/>
      <c r="Z95" s="5"/>
      <c r="AA95" s="5"/>
    </row>
    <row r="96" spans="4:27" customFormat="1" ht="14">
      <c r="D96" s="214" t="s">
        <v>383</v>
      </c>
      <c r="E96" s="212" t="str">
        <f>+VLOOKUP(F96,Resumen_Base!$B$6:$F$69,5,0)</f>
        <v>Services/House</v>
      </c>
      <c r="F96" s="36" t="s">
        <v>148</v>
      </c>
      <c r="G96" s="5" t="s">
        <v>283</v>
      </c>
      <c r="H96" s="5" t="str">
        <f t="shared" si="1"/>
        <v>DEL5226</v>
      </c>
      <c r="I96" s="62">
        <v>300000</v>
      </c>
      <c r="J96" s="62">
        <v>218.978102189781</v>
      </c>
      <c r="K96" s="62">
        <v>1370</v>
      </c>
      <c r="L96" s="100" t="s">
        <v>468</v>
      </c>
      <c r="M96" s="5" t="s">
        <v>452</v>
      </c>
      <c r="N96" s="34" t="s">
        <v>464</v>
      </c>
      <c r="O96" s="5" t="s">
        <v>510</v>
      </c>
      <c r="P96" s="5" t="s">
        <v>454</v>
      </c>
      <c r="Q96" s="5" t="s">
        <v>511</v>
      </c>
      <c r="R96" s="5" t="s">
        <v>517</v>
      </c>
      <c r="S96" s="5" t="s">
        <v>513</v>
      </c>
      <c r="T96" s="5" t="s">
        <v>445</v>
      </c>
      <c r="U96" s="5"/>
      <c r="V96" s="5"/>
      <c r="W96" s="5"/>
      <c r="X96" s="5"/>
      <c r="Y96" s="5"/>
      <c r="Z96" s="5"/>
      <c r="AA96" s="5"/>
    </row>
    <row r="97" spans="4:27" customFormat="1" ht="14">
      <c r="D97" s="214" t="s">
        <v>383</v>
      </c>
      <c r="E97" s="212" t="str">
        <f>+VLOOKUP(F97,Resumen_Base!$B$6:$F$69,5,0)</f>
        <v>Services/House</v>
      </c>
      <c r="F97" s="36" t="s">
        <v>148</v>
      </c>
      <c r="G97" s="5" t="s">
        <v>283</v>
      </c>
      <c r="H97" s="5" t="str">
        <f t="shared" si="1"/>
        <v>DEL5226</v>
      </c>
      <c r="I97" s="62">
        <v>120000</v>
      </c>
      <c r="J97" s="62">
        <v>86.330935251798607</v>
      </c>
      <c r="K97" s="62">
        <v>1390</v>
      </c>
      <c r="L97" s="100" t="s">
        <v>628</v>
      </c>
      <c r="M97" s="5" t="s">
        <v>452</v>
      </c>
      <c r="N97" s="34" t="s">
        <v>464</v>
      </c>
      <c r="O97" s="5" t="s">
        <v>629</v>
      </c>
      <c r="P97" s="5" t="s">
        <v>597</v>
      </c>
      <c r="Q97" s="5" t="s">
        <v>630</v>
      </c>
      <c r="R97" s="5" t="s">
        <v>667</v>
      </c>
      <c r="S97" s="5" t="s">
        <v>632</v>
      </c>
      <c r="T97" s="5" t="s">
        <v>445</v>
      </c>
      <c r="U97" s="5"/>
      <c r="V97" s="5"/>
      <c r="W97" s="5"/>
      <c r="X97" s="5"/>
      <c r="Y97" s="5"/>
      <c r="Z97" s="5"/>
      <c r="AA97" s="5"/>
    </row>
    <row r="98" spans="4:27" customFormat="1" ht="14">
      <c r="D98" s="214" t="s">
        <v>383</v>
      </c>
      <c r="E98" s="212" t="str">
        <f>+VLOOKUP(F98,Resumen_Base!$B$6:$F$69,5,0)</f>
        <v>Services/House</v>
      </c>
      <c r="F98" s="36" t="s">
        <v>148</v>
      </c>
      <c r="G98" s="5" t="s">
        <v>283</v>
      </c>
      <c r="H98" s="5" t="str">
        <f t="shared" si="1"/>
        <v>DEL5226</v>
      </c>
      <c r="I98" s="62">
        <v>540000</v>
      </c>
      <c r="J98" s="62">
        <v>380.281690140845</v>
      </c>
      <c r="K98" s="62">
        <v>1420</v>
      </c>
      <c r="L98" s="100" t="s">
        <v>1030</v>
      </c>
      <c r="M98" s="5" t="s">
        <v>452</v>
      </c>
      <c r="N98" s="34" t="s">
        <v>464</v>
      </c>
      <c r="O98" s="5" t="s">
        <v>1031</v>
      </c>
      <c r="P98" s="5" t="s">
        <v>597</v>
      </c>
      <c r="Q98" s="5" t="s">
        <v>1032</v>
      </c>
      <c r="R98" s="5" t="s">
        <v>1067</v>
      </c>
      <c r="S98" s="5" t="s">
        <v>1033</v>
      </c>
      <c r="T98" s="5" t="s">
        <v>445</v>
      </c>
      <c r="U98" s="5"/>
      <c r="V98" s="5"/>
      <c r="W98" s="5"/>
      <c r="X98" s="5"/>
      <c r="Y98" s="5"/>
      <c r="Z98" s="5"/>
      <c r="AA98" s="5"/>
    </row>
    <row r="99" spans="4:27" customFormat="1" ht="14">
      <c r="D99" s="214" t="s">
        <v>383</v>
      </c>
      <c r="E99" s="212" t="str">
        <f>+VLOOKUP(F99,Resumen_Base!$B$6:$F$69,5,0)</f>
        <v>Services/House</v>
      </c>
      <c r="F99" s="36" t="s">
        <v>148</v>
      </c>
      <c r="G99" s="5" t="s">
        <v>283</v>
      </c>
      <c r="H99" s="5" t="str">
        <f t="shared" si="1"/>
        <v>DEL5226</v>
      </c>
      <c r="I99" s="62">
        <v>50000</v>
      </c>
      <c r="J99" s="62">
        <v>38.461538461538503</v>
      </c>
      <c r="K99" s="62">
        <v>1300</v>
      </c>
      <c r="L99" s="100" t="s">
        <v>476</v>
      </c>
      <c r="M99" s="5" t="s">
        <v>452</v>
      </c>
      <c r="N99" s="34" t="s">
        <v>464</v>
      </c>
      <c r="O99" s="5" t="s">
        <v>477</v>
      </c>
      <c r="P99" s="5" t="s">
        <v>454</v>
      </c>
      <c r="Q99" s="5" t="s">
        <v>478</v>
      </c>
      <c r="R99" s="5" t="s">
        <v>483</v>
      </c>
      <c r="S99" s="5" t="s">
        <v>480</v>
      </c>
      <c r="T99" s="5" t="s">
        <v>445</v>
      </c>
      <c r="U99" s="5"/>
      <c r="V99" s="5"/>
      <c r="W99" s="5"/>
      <c r="X99" s="5"/>
      <c r="Y99" s="5"/>
      <c r="Z99" s="5"/>
      <c r="AA99" s="5"/>
    </row>
    <row r="100" spans="4:27" customFormat="1" ht="14">
      <c r="D100" s="214" t="s">
        <v>383</v>
      </c>
      <c r="E100" s="212" t="str">
        <f>+VLOOKUP(F100,Resumen_Base!$B$6:$F$69,5,0)</f>
        <v>Services/House</v>
      </c>
      <c r="F100" s="36" t="s">
        <v>148</v>
      </c>
      <c r="G100" s="5" t="s">
        <v>283</v>
      </c>
      <c r="H100" s="5" t="str">
        <f t="shared" si="1"/>
        <v>DEL5226</v>
      </c>
      <c r="I100" s="62">
        <v>417000</v>
      </c>
      <c r="J100" s="62">
        <v>300</v>
      </c>
      <c r="K100" s="62">
        <v>1390</v>
      </c>
      <c r="L100" s="100" t="s">
        <v>628</v>
      </c>
      <c r="M100" s="5" t="s">
        <v>452</v>
      </c>
      <c r="N100" s="34" t="s">
        <v>464</v>
      </c>
      <c r="O100" s="5" t="s">
        <v>670</v>
      </c>
      <c r="P100" s="5" t="s">
        <v>597</v>
      </c>
      <c r="Q100" s="5" t="s">
        <v>671</v>
      </c>
      <c r="R100" s="5" t="s">
        <v>675</v>
      </c>
      <c r="S100" s="5" t="s">
        <v>673</v>
      </c>
      <c r="T100" s="5" t="s">
        <v>445</v>
      </c>
      <c r="U100" s="5"/>
      <c r="V100" s="5"/>
      <c r="W100" s="5"/>
      <c r="X100" s="5"/>
      <c r="Y100" s="5"/>
      <c r="Z100" s="5"/>
      <c r="AA100" s="5"/>
    </row>
    <row r="101" spans="4:27" customFormat="1" ht="14">
      <c r="D101" s="214" t="s">
        <v>383</v>
      </c>
      <c r="E101" s="212" t="str">
        <f>+VLOOKUP(F101,Resumen_Base!$B$6:$F$69,5,0)</f>
        <v>Services/House</v>
      </c>
      <c r="F101" s="36" t="s">
        <v>148</v>
      </c>
      <c r="G101" s="5" t="s">
        <v>283</v>
      </c>
      <c r="H101" s="5" t="str">
        <f t="shared" si="1"/>
        <v>DEL5226</v>
      </c>
      <c r="I101" s="62">
        <v>2100000</v>
      </c>
      <c r="J101" s="62">
        <v>1400</v>
      </c>
      <c r="K101" s="62">
        <v>1500</v>
      </c>
      <c r="L101" s="100" t="s">
        <v>858</v>
      </c>
      <c r="M101" s="5" t="s">
        <v>452</v>
      </c>
      <c r="N101" s="34" t="s">
        <v>464</v>
      </c>
      <c r="O101" s="5" t="s">
        <v>859</v>
      </c>
      <c r="P101" s="5" t="s">
        <v>597</v>
      </c>
      <c r="Q101" s="5" t="s">
        <v>860</v>
      </c>
      <c r="R101" s="5" t="s">
        <v>863</v>
      </c>
      <c r="S101" s="5" t="s">
        <v>862</v>
      </c>
      <c r="T101" s="5" t="s">
        <v>445</v>
      </c>
      <c r="U101" s="5"/>
      <c r="V101" s="5"/>
      <c r="W101" s="5"/>
      <c r="X101" s="5"/>
      <c r="Y101" s="5"/>
      <c r="Z101" s="5"/>
      <c r="AA101" s="5"/>
    </row>
    <row r="102" spans="4:27" customFormat="1" ht="14">
      <c r="D102" s="214" t="s">
        <v>383</v>
      </c>
      <c r="E102" s="212" t="str">
        <f>+VLOOKUP(F102,Resumen_Base!$B$6:$F$69,5,0)</f>
        <v>Services/House</v>
      </c>
      <c r="F102" s="36" t="s">
        <v>148</v>
      </c>
      <c r="G102" s="5" t="s">
        <v>283</v>
      </c>
      <c r="H102" s="5" t="str">
        <f t="shared" si="1"/>
        <v>DEL5226</v>
      </c>
      <c r="I102" s="62">
        <v>50000</v>
      </c>
      <c r="J102" s="62">
        <v>35.460992907801398</v>
      </c>
      <c r="K102" s="62">
        <v>1410</v>
      </c>
      <c r="L102" s="100" t="s">
        <v>678</v>
      </c>
      <c r="M102" s="5" t="s">
        <v>452</v>
      </c>
      <c r="N102" s="34" t="s">
        <v>464</v>
      </c>
      <c r="O102" s="5" t="s">
        <v>683</v>
      </c>
      <c r="P102" s="5" t="s">
        <v>597</v>
      </c>
      <c r="Q102" s="5" t="s">
        <v>684</v>
      </c>
      <c r="R102" s="5" t="s">
        <v>708</v>
      </c>
      <c r="S102" s="5" t="s">
        <v>685</v>
      </c>
      <c r="T102" s="5" t="s">
        <v>445</v>
      </c>
      <c r="U102" s="5"/>
      <c r="V102" s="5"/>
      <c r="W102" s="5"/>
      <c r="X102" s="5"/>
      <c r="Y102" s="5"/>
      <c r="Z102" s="5"/>
      <c r="AA102" s="5"/>
    </row>
    <row r="103" spans="4:27" customFormat="1" ht="14">
      <c r="D103" s="214" t="s">
        <v>383</v>
      </c>
      <c r="E103" s="212" t="str">
        <f>+VLOOKUP(F103,Resumen_Base!$B$6:$F$69,5,0)</f>
        <v>Services/House</v>
      </c>
      <c r="F103" s="36" t="s">
        <v>148</v>
      </c>
      <c r="G103" s="5" t="s">
        <v>283</v>
      </c>
      <c r="H103" s="5" t="str">
        <f t="shared" si="1"/>
        <v>DEL5226</v>
      </c>
      <c r="I103" s="62">
        <v>50000</v>
      </c>
      <c r="J103" s="62">
        <v>35.971223021582702</v>
      </c>
      <c r="K103" s="62">
        <v>1390</v>
      </c>
      <c r="L103" s="100" t="s">
        <v>628</v>
      </c>
      <c r="M103" s="5" t="s">
        <v>452</v>
      </c>
      <c r="N103" s="34" t="s">
        <v>464</v>
      </c>
      <c r="O103" s="5" t="s">
        <v>629</v>
      </c>
      <c r="P103" s="5" t="s">
        <v>597</v>
      </c>
      <c r="Q103" s="5" t="s">
        <v>630</v>
      </c>
      <c r="R103" s="5" t="s">
        <v>644</v>
      </c>
      <c r="S103" s="5" t="s">
        <v>632</v>
      </c>
      <c r="T103" s="5" t="s">
        <v>445</v>
      </c>
      <c r="U103" s="5"/>
      <c r="V103" s="5"/>
      <c r="W103" s="5"/>
      <c r="X103" s="5"/>
      <c r="Y103" s="5"/>
      <c r="Z103" s="5"/>
      <c r="AA103" s="5"/>
    </row>
    <row r="104" spans="4:27" customFormat="1" ht="14">
      <c r="D104" s="214" t="s">
        <v>383</v>
      </c>
      <c r="E104" s="212" t="str">
        <f>+VLOOKUP(F104,Resumen_Base!$B$6:$F$69,5,0)</f>
        <v>Services/House</v>
      </c>
      <c r="F104" s="36" t="s">
        <v>148</v>
      </c>
      <c r="G104" s="5" t="s">
        <v>283</v>
      </c>
      <c r="H104" s="5" t="str">
        <f t="shared" si="1"/>
        <v>DEL5226</v>
      </c>
      <c r="I104" s="62">
        <v>2370000</v>
      </c>
      <c r="J104" s="62">
        <v>1580</v>
      </c>
      <c r="K104" s="62">
        <v>1500</v>
      </c>
      <c r="L104" s="100" t="s">
        <v>858</v>
      </c>
      <c r="M104" s="5" t="s">
        <v>452</v>
      </c>
      <c r="N104" s="34" t="s">
        <v>464</v>
      </c>
      <c r="O104" s="5" t="s">
        <v>859</v>
      </c>
      <c r="P104" s="5" t="s">
        <v>597</v>
      </c>
      <c r="Q104" s="5" t="s">
        <v>860</v>
      </c>
      <c r="R104" s="5" t="s">
        <v>867</v>
      </c>
      <c r="S104" s="5" t="s">
        <v>862</v>
      </c>
      <c r="T104" s="5" t="s">
        <v>445</v>
      </c>
      <c r="U104" s="5"/>
      <c r="V104" s="5"/>
      <c r="W104" s="5"/>
      <c r="X104" s="5"/>
      <c r="Y104" s="5"/>
      <c r="Z104" s="5"/>
      <c r="AA104" s="5"/>
    </row>
    <row r="105" spans="4:27" customFormat="1" ht="14">
      <c r="D105" s="214" t="s">
        <v>383</v>
      </c>
      <c r="E105" s="212" t="str">
        <f>+VLOOKUP(F105,Resumen_Base!$B$6:$F$69,5,0)</f>
        <v>Services/House</v>
      </c>
      <c r="F105" s="36" t="s">
        <v>148</v>
      </c>
      <c r="G105" s="5" t="s">
        <v>283</v>
      </c>
      <c r="H105" s="5" t="str">
        <f t="shared" si="1"/>
        <v>DEL5226</v>
      </c>
      <c r="I105" s="62">
        <v>695000</v>
      </c>
      <c r="J105" s="62">
        <v>500</v>
      </c>
      <c r="K105" s="62">
        <v>1390</v>
      </c>
      <c r="L105" s="100" t="s">
        <v>628</v>
      </c>
      <c r="M105" s="5" t="s">
        <v>452</v>
      </c>
      <c r="N105" s="34" t="s">
        <v>464</v>
      </c>
      <c r="O105" s="5" t="s">
        <v>670</v>
      </c>
      <c r="P105" s="5" t="s">
        <v>597</v>
      </c>
      <c r="Q105" s="5" t="s">
        <v>671</v>
      </c>
      <c r="R105" s="5" t="s">
        <v>677</v>
      </c>
      <c r="S105" s="5" t="s">
        <v>673</v>
      </c>
      <c r="T105" s="5" t="s">
        <v>445</v>
      </c>
      <c r="U105" s="5"/>
      <c r="V105" s="5"/>
      <c r="W105" s="5"/>
      <c r="X105" s="5"/>
      <c r="Y105" s="5"/>
      <c r="Z105" s="5"/>
      <c r="AA105" s="5"/>
    </row>
    <row r="106" spans="4:27" customFormat="1" ht="14">
      <c r="D106" s="214" t="s">
        <v>383</v>
      </c>
      <c r="E106" s="212" t="str">
        <f>+VLOOKUP(F106,Resumen_Base!$B$6:$F$69,5,0)</f>
        <v>Services/House</v>
      </c>
      <c r="F106" s="36" t="s">
        <v>148</v>
      </c>
      <c r="G106" s="5" t="s">
        <v>283</v>
      </c>
      <c r="H106" s="5" t="str">
        <f t="shared" si="1"/>
        <v>DEL5226</v>
      </c>
      <c r="I106" s="62">
        <v>294156</v>
      </c>
      <c r="J106" s="62">
        <v>207.15211267605599</v>
      </c>
      <c r="K106" s="62">
        <v>1420</v>
      </c>
      <c r="L106" s="100" t="s">
        <v>1030</v>
      </c>
      <c r="M106" s="5" t="s">
        <v>452</v>
      </c>
      <c r="N106" s="34" t="s">
        <v>464</v>
      </c>
      <c r="O106" s="5" t="s">
        <v>1097</v>
      </c>
      <c r="P106" s="5" t="s">
        <v>597</v>
      </c>
      <c r="Q106" s="5" t="s">
        <v>1098</v>
      </c>
      <c r="R106" s="5" t="s">
        <v>1102</v>
      </c>
      <c r="S106" s="5" t="s">
        <v>1100</v>
      </c>
      <c r="T106" s="5" t="s">
        <v>445</v>
      </c>
      <c r="U106" s="5"/>
      <c r="V106" s="5"/>
      <c r="W106" s="5"/>
      <c r="X106" s="5"/>
      <c r="Y106" s="5"/>
      <c r="Z106" s="5"/>
      <c r="AA106" s="5"/>
    </row>
    <row r="107" spans="4:27" customFormat="1" ht="14">
      <c r="D107" s="214" t="s">
        <v>383</v>
      </c>
      <c r="E107" s="212" t="str">
        <f>+VLOOKUP(F107,Resumen_Base!$B$6:$F$69,5,0)</f>
        <v>Services/House</v>
      </c>
      <c r="F107" s="36" t="s">
        <v>148</v>
      </c>
      <c r="G107" s="5" t="s">
        <v>283</v>
      </c>
      <c r="H107" s="5" t="str">
        <f t="shared" si="1"/>
        <v>DEL5226</v>
      </c>
      <c r="I107" s="62">
        <v>355156</v>
      </c>
      <c r="J107" s="62">
        <v>243.25753424657501</v>
      </c>
      <c r="K107" s="62">
        <v>1460</v>
      </c>
      <c r="L107" s="100" t="s">
        <v>914</v>
      </c>
      <c r="M107" s="5" t="s">
        <v>452</v>
      </c>
      <c r="N107" s="34" t="s">
        <v>464</v>
      </c>
      <c r="O107" s="5" t="s">
        <v>946</v>
      </c>
      <c r="P107" s="5" t="s">
        <v>597</v>
      </c>
      <c r="Q107" s="5" t="s">
        <v>947</v>
      </c>
      <c r="R107" s="5" t="s">
        <v>951</v>
      </c>
      <c r="S107" s="5" t="s">
        <v>949</v>
      </c>
      <c r="T107" s="5" t="s">
        <v>445</v>
      </c>
      <c r="U107" s="5"/>
      <c r="V107" s="5"/>
      <c r="W107" s="5"/>
      <c r="X107" s="5"/>
      <c r="Y107" s="5"/>
      <c r="Z107" s="5"/>
      <c r="AA107" s="5"/>
    </row>
    <row r="108" spans="4:27" customFormat="1" ht="14">
      <c r="D108" s="214" t="s">
        <v>383</v>
      </c>
      <c r="E108" s="212" t="str">
        <f>+VLOOKUP(F108,Resumen_Base!$B$6:$F$69,5,0)</f>
        <v>Services/House</v>
      </c>
      <c r="F108" s="36" t="s">
        <v>148</v>
      </c>
      <c r="G108" s="5" t="s">
        <v>283</v>
      </c>
      <c r="H108" s="5" t="str">
        <f t="shared" si="1"/>
        <v>DEL5226</v>
      </c>
      <c r="I108" s="62">
        <v>355156</v>
      </c>
      <c r="J108" s="62">
        <v>248.36083916083899</v>
      </c>
      <c r="K108" s="62">
        <v>1430</v>
      </c>
      <c r="L108" s="100" t="s">
        <v>608</v>
      </c>
      <c r="M108" s="5" t="s">
        <v>452</v>
      </c>
      <c r="N108" s="34" t="s">
        <v>464</v>
      </c>
      <c r="O108" s="5" t="s">
        <v>729</v>
      </c>
      <c r="P108" s="5" t="s">
        <v>597</v>
      </c>
      <c r="Q108" s="5" t="s">
        <v>730</v>
      </c>
      <c r="R108" s="5" t="s">
        <v>734</v>
      </c>
      <c r="S108" s="5" t="s">
        <v>732</v>
      </c>
      <c r="T108" s="5" t="s">
        <v>445</v>
      </c>
      <c r="U108" s="5"/>
      <c r="V108" s="5"/>
      <c r="W108" s="5"/>
      <c r="X108" s="5"/>
      <c r="Y108" s="5"/>
      <c r="Z108" s="5"/>
      <c r="AA108" s="5"/>
    </row>
    <row r="109" spans="4:27" customFormat="1" ht="14">
      <c r="D109" s="214" t="s">
        <v>383</v>
      </c>
      <c r="E109" s="212" t="str">
        <f>+VLOOKUP(F109,Resumen_Base!$B$6:$F$69,5,0)</f>
        <v>Services/House</v>
      </c>
      <c r="F109" s="36" t="s">
        <v>148</v>
      </c>
      <c r="G109" s="5" t="s">
        <v>283</v>
      </c>
      <c r="H109" s="5" t="str">
        <f t="shared" si="1"/>
        <v>DEL5226</v>
      </c>
      <c r="I109" s="62">
        <v>358899.85</v>
      </c>
      <c r="J109" s="62">
        <v>276.07680769230802</v>
      </c>
      <c r="K109" s="62">
        <v>1300</v>
      </c>
      <c r="L109" s="100" t="s">
        <v>459</v>
      </c>
      <c r="M109" s="5" t="s">
        <v>452</v>
      </c>
      <c r="N109" s="34" t="s">
        <v>464</v>
      </c>
      <c r="O109" s="5" t="s">
        <v>501</v>
      </c>
      <c r="P109" s="5" t="s">
        <v>454</v>
      </c>
      <c r="Q109" s="5" t="s">
        <v>502</v>
      </c>
      <c r="R109" s="5" t="s">
        <v>503</v>
      </c>
      <c r="S109" s="5" t="s">
        <v>504</v>
      </c>
      <c r="T109" s="5" t="s">
        <v>445</v>
      </c>
      <c r="U109" s="5"/>
      <c r="V109" s="5"/>
      <c r="W109" s="5"/>
      <c r="X109" s="5"/>
      <c r="Y109" s="5"/>
      <c r="Z109" s="5"/>
      <c r="AA109" s="5"/>
    </row>
    <row r="110" spans="4:27" customFormat="1" ht="14">
      <c r="D110" s="214" t="s">
        <v>383</v>
      </c>
      <c r="E110" s="212" t="str">
        <f>+VLOOKUP(F110,Resumen_Base!$B$6:$F$69,5,0)</f>
        <v>Services/House</v>
      </c>
      <c r="F110" s="36" t="s">
        <v>148</v>
      </c>
      <c r="G110" s="5" t="s">
        <v>283</v>
      </c>
      <c r="H110" s="5" t="str">
        <f t="shared" si="1"/>
        <v>DEL5226</v>
      </c>
      <c r="I110" s="62">
        <v>1562000</v>
      </c>
      <c r="J110" s="62">
        <v>1100</v>
      </c>
      <c r="K110" s="62">
        <v>1420</v>
      </c>
      <c r="L110" s="100" t="s">
        <v>989</v>
      </c>
      <c r="M110" s="5" t="s">
        <v>452</v>
      </c>
      <c r="N110" s="34" t="s">
        <v>464</v>
      </c>
      <c r="O110" s="5" t="s">
        <v>1082</v>
      </c>
      <c r="P110" s="5" t="s">
        <v>597</v>
      </c>
      <c r="Q110" s="5" t="s">
        <v>1083</v>
      </c>
      <c r="R110" s="5" t="s">
        <v>1087</v>
      </c>
      <c r="S110" s="5" t="s">
        <v>1085</v>
      </c>
      <c r="T110" s="5" t="s">
        <v>445</v>
      </c>
      <c r="U110" s="5"/>
      <c r="V110" s="5"/>
      <c r="W110" s="5"/>
      <c r="X110" s="5"/>
      <c r="Y110" s="5"/>
      <c r="Z110" s="5"/>
      <c r="AA110" s="5"/>
    </row>
    <row r="111" spans="4:27" customFormat="1" ht="14">
      <c r="D111" s="214" t="s">
        <v>383</v>
      </c>
      <c r="E111" s="212" t="str">
        <f>+VLOOKUP(F111,Resumen_Base!$B$6:$F$69,5,0)</f>
        <v>Services/House</v>
      </c>
      <c r="F111" s="36" t="s">
        <v>148</v>
      </c>
      <c r="G111" s="5" t="s">
        <v>283</v>
      </c>
      <c r="H111" s="5" t="str">
        <f t="shared" si="1"/>
        <v>DEL5226</v>
      </c>
      <c r="I111" s="62">
        <v>1420000</v>
      </c>
      <c r="J111" s="62">
        <v>1000</v>
      </c>
      <c r="K111" s="62">
        <v>1420</v>
      </c>
      <c r="L111" s="100" t="s">
        <v>989</v>
      </c>
      <c r="M111" s="5" t="s">
        <v>452</v>
      </c>
      <c r="N111" s="34" t="s">
        <v>464</v>
      </c>
      <c r="O111" s="5" t="s">
        <v>1082</v>
      </c>
      <c r="P111" s="5" t="s">
        <v>597</v>
      </c>
      <c r="Q111" s="5" t="s">
        <v>1083</v>
      </c>
      <c r="R111" s="5" t="s">
        <v>1091</v>
      </c>
      <c r="S111" s="5" t="s">
        <v>1085</v>
      </c>
      <c r="T111" s="5" t="s">
        <v>445</v>
      </c>
      <c r="U111" s="5"/>
      <c r="V111" s="5"/>
      <c r="W111" s="5"/>
      <c r="X111" s="5"/>
      <c r="Y111" s="5"/>
      <c r="Z111" s="5"/>
      <c r="AA111" s="5"/>
    </row>
    <row r="112" spans="4:27" customFormat="1" ht="14">
      <c r="D112" s="214" t="s">
        <v>383</v>
      </c>
      <c r="E112" s="212" t="str">
        <f>+VLOOKUP(F112,Resumen_Base!$B$6:$F$69,5,0)</f>
        <v>Guides</v>
      </c>
      <c r="F112" s="36" t="s">
        <v>149</v>
      </c>
      <c r="G112" s="5" t="s">
        <v>284</v>
      </c>
      <c r="H112" s="5" t="str">
        <f t="shared" si="1"/>
        <v>DEL5227</v>
      </c>
      <c r="I112" s="62">
        <v>1050000</v>
      </c>
      <c r="J112" s="62">
        <v>700</v>
      </c>
      <c r="K112" s="62">
        <v>1500</v>
      </c>
      <c r="L112" s="100" t="s">
        <v>858</v>
      </c>
      <c r="M112" s="5" t="s">
        <v>452</v>
      </c>
      <c r="N112" s="34" t="s">
        <v>464</v>
      </c>
      <c r="O112" s="5" t="s">
        <v>859</v>
      </c>
      <c r="P112" s="5" t="s">
        <v>597</v>
      </c>
      <c r="Q112" s="5" t="s">
        <v>860</v>
      </c>
      <c r="R112" s="5" t="s">
        <v>868</v>
      </c>
      <c r="S112" s="5" t="s">
        <v>862</v>
      </c>
      <c r="T112" s="5" t="s">
        <v>445</v>
      </c>
      <c r="U112" s="5"/>
      <c r="V112" s="5"/>
      <c r="W112" s="5"/>
      <c r="X112" s="5"/>
      <c r="Y112" s="5"/>
      <c r="Z112" s="5"/>
      <c r="AA112" s="5"/>
    </row>
    <row r="113" spans="4:27" customFormat="1" ht="14">
      <c r="D113" s="214" t="s">
        <v>383</v>
      </c>
      <c r="E113" s="212" t="str">
        <f>+VLOOKUP(F113,Resumen_Base!$B$6:$F$69,5,0)</f>
        <v>Guides</v>
      </c>
      <c r="F113" s="36" t="s">
        <v>149</v>
      </c>
      <c r="G113" s="5" t="s">
        <v>284</v>
      </c>
      <c r="H113" s="5" t="str">
        <f t="shared" si="1"/>
        <v>DEL5227</v>
      </c>
      <c r="I113" s="62">
        <v>705000</v>
      </c>
      <c r="J113" s="62">
        <v>500</v>
      </c>
      <c r="K113" s="62">
        <v>1410</v>
      </c>
      <c r="L113" s="100" t="s">
        <v>678</v>
      </c>
      <c r="M113" s="5" t="s">
        <v>452</v>
      </c>
      <c r="N113" s="34" t="s">
        <v>464</v>
      </c>
      <c r="O113" s="5" t="s">
        <v>679</v>
      </c>
      <c r="P113" s="5" t="s">
        <v>597</v>
      </c>
      <c r="Q113" s="5" t="s">
        <v>680</v>
      </c>
      <c r="R113" s="5" t="s">
        <v>681</v>
      </c>
      <c r="S113" s="5" t="s">
        <v>682</v>
      </c>
      <c r="T113" s="5" t="s">
        <v>445</v>
      </c>
      <c r="U113" s="5"/>
      <c r="V113" s="5"/>
      <c r="W113" s="5"/>
      <c r="X113" s="5"/>
      <c r="Y113" s="5"/>
      <c r="Z113" s="5"/>
      <c r="AA113" s="5"/>
    </row>
    <row r="114" spans="4:27" customFormat="1" ht="14">
      <c r="D114" s="214" t="s">
        <v>383</v>
      </c>
      <c r="E114" s="212" t="str">
        <f>+VLOOKUP(F114,Resumen_Base!$B$6:$F$69,5,0)</f>
        <v>Guides</v>
      </c>
      <c r="F114" s="36" t="s">
        <v>149</v>
      </c>
      <c r="G114" s="5" t="s">
        <v>284</v>
      </c>
      <c r="H114" s="5" t="str">
        <f t="shared" si="1"/>
        <v>DEL5227</v>
      </c>
      <c r="I114" s="62">
        <v>556000</v>
      </c>
      <c r="J114" s="62">
        <v>400</v>
      </c>
      <c r="K114" s="62">
        <v>1390</v>
      </c>
      <c r="L114" s="100" t="s">
        <v>628</v>
      </c>
      <c r="M114" s="5" t="s">
        <v>452</v>
      </c>
      <c r="N114" s="34" t="s">
        <v>464</v>
      </c>
      <c r="O114" s="5" t="s">
        <v>670</v>
      </c>
      <c r="P114" s="5" t="s">
        <v>597</v>
      </c>
      <c r="Q114" s="5" t="s">
        <v>671</v>
      </c>
      <c r="R114" s="5" t="s">
        <v>672</v>
      </c>
      <c r="S114" s="5" t="s">
        <v>673</v>
      </c>
      <c r="T114" s="5" t="s">
        <v>445</v>
      </c>
      <c r="U114" s="5"/>
      <c r="V114" s="5"/>
      <c r="W114" s="5"/>
      <c r="X114" s="5"/>
      <c r="Y114" s="5"/>
      <c r="Z114" s="5"/>
      <c r="AA114" s="5"/>
    </row>
    <row r="115" spans="4:27" customFormat="1" ht="14">
      <c r="D115" s="214" t="s">
        <v>383</v>
      </c>
      <c r="E115" s="212" t="str">
        <f>+VLOOKUP(F115,Resumen_Base!$B$6:$F$69,5,0)</f>
        <v>Guides</v>
      </c>
      <c r="F115" s="36" t="s">
        <v>149</v>
      </c>
      <c r="G115" s="5" t="s">
        <v>284</v>
      </c>
      <c r="H115" s="5" t="str">
        <f t="shared" si="1"/>
        <v>DEL5227</v>
      </c>
      <c r="I115" s="62">
        <v>556000</v>
      </c>
      <c r="J115" s="62">
        <v>400</v>
      </c>
      <c r="K115" s="62">
        <v>1390</v>
      </c>
      <c r="L115" s="100" t="s">
        <v>628</v>
      </c>
      <c r="M115" s="5" t="s">
        <v>452</v>
      </c>
      <c r="N115" s="34" t="s">
        <v>464</v>
      </c>
      <c r="O115" s="5" t="s">
        <v>670</v>
      </c>
      <c r="P115" s="5" t="s">
        <v>597</v>
      </c>
      <c r="Q115" s="5" t="s">
        <v>671</v>
      </c>
      <c r="R115" s="5" t="s">
        <v>676</v>
      </c>
      <c r="S115" s="5" t="s">
        <v>673</v>
      </c>
      <c r="T115" s="5" t="s">
        <v>445</v>
      </c>
      <c r="U115" s="5"/>
      <c r="V115" s="5"/>
      <c r="W115" s="5"/>
      <c r="X115" s="5"/>
      <c r="Y115" s="5"/>
      <c r="Z115" s="5"/>
      <c r="AA115" s="5"/>
    </row>
    <row r="116" spans="4:27" customFormat="1" ht="14">
      <c r="D116" s="214" t="s">
        <v>383</v>
      </c>
      <c r="E116" s="212" t="str">
        <f>+VLOOKUP(F116,Resumen_Base!$B$6:$F$69,5,0)</f>
        <v>Guides</v>
      </c>
      <c r="F116" s="36" t="s">
        <v>149</v>
      </c>
      <c r="G116" s="5" t="s">
        <v>284</v>
      </c>
      <c r="H116" s="5" t="str">
        <f t="shared" si="1"/>
        <v>DEL5227</v>
      </c>
      <c r="I116" s="62">
        <v>2700000</v>
      </c>
      <c r="J116" s="62">
        <v>1800</v>
      </c>
      <c r="K116" s="62">
        <v>1500</v>
      </c>
      <c r="L116" s="100" t="s">
        <v>858</v>
      </c>
      <c r="M116" s="5" t="s">
        <v>452</v>
      </c>
      <c r="N116" s="34" t="s">
        <v>464</v>
      </c>
      <c r="O116" s="5" t="s">
        <v>859</v>
      </c>
      <c r="P116" s="5" t="s">
        <v>597</v>
      </c>
      <c r="Q116" s="5" t="s">
        <v>860</v>
      </c>
      <c r="R116" s="5" t="s">
        <v>676</v>
      </c>
      <c r="S116" s="5" t="s">
        <v>862</v>
      </c>
      <c r="T116" s="5" t="s">
        <v>445</v>
      </c>
      <c r="U116" s="5"/>
      <c r="V116" s="5"/>
      <c r="W116" s="5"/>
      <c r="X116" s="5"/>
      <c r="Y116" s="5"/>
      <c r="Z116" s="5"/>
      <c r="AA116" s="5"/>
    </row>
    <row r="117" spans="4:27" customFormat="1" ht="14">
      <c r="D117" s="214" t="s">
        <v>383</v>
      </c>
      <c r="E117" s="212" t="str">
        <f>+VLOOKUP(F117,Resumen_Base!$B$6:$F$69,5,0)</f>
        <v>Guides</v>
      </c>
      <c r="F117" s="36" t="s">
        <v>149</v>
      </c>
      <c r="G117" s="5" t="s">
        <v>284</v>
      </c>
      <c r="H117" s="5" t="str">
        <f t="shared" si="1"/>
        <v>DEL5227</v>
      </c>
      <c r="I117" s="62">
        <v>2820000</v>
      </c>
      <c r="J117" s="62">
        <v>2000</v>
      </c>
      <c r="K117" s="62">
        <v>1410</v>
      </c>
      <c r="L117" s="100" t="s">
        <v>604</v>
      </c>
      <c r="M117" s="5" t="s">
        <v>452</v>
      </c>
      <c r="N117" s="34" t="s">
        <v>464</v>
      </c>
      <c r="O117" s="5" t="s">
        <v>714</v>
      </c>
      <c r="P117" s="5" t="s">
        <v>597</v>
      </c>
      <c r="Q117" s="5" t="s">
        <v>715</v>
      </c>
      <c r="R117" s="5" t="s">
        <v>726</v>
      </c>
      <c r="S117" s="5" t="s">
        <v>717</v>
      </c>
      <c r="T117" s="5" t="s">
        <v>445</v>
      </c>
      <c r="U117" s="5"/>
      <c r="V117" s="5"/>
      <c r="W117" s="5"/>
      <c r="X117" s="5"/>
      <c r="Y117" s="5"/>
      <c r="Z117" s="5"/>
      <c r="AA117" s="5"/>
    </row>
    <row r="118" spans="4:27" customFormat="1" ht="14">
      <c r="D118" s="214" t="s">
        <v>383</v>
      </c>
      <c r="E118" s="212" t="str">
        <f>+VLOOKUP(F118,Resumen_Base!$B$6:$F$69,5,0)</f>
        <v>Guides</v>
      </c>
      <c r="F118" s="36" t="s">
        <v>149</v>
      </c>
      <c r="G118" s="5" t="s">
        <v>284</v>
      </c>
      <c r="H118" s="5" t="str">
        <f t="shared" si="1"/>
        <v>DEL5227</v>
      </c>
      <c r="I118" s="62">
        <v>2920000</v>
      </c>
      <c r="J118" s="62">
        <v>2000</v>
      </c>
      <c r="K118" s="62">
        <v>1460</v>
      </c>
      <c r="L118" s="100" t="s">
        <v>914</v>
      </c>
      <c r="M118" s="5" t="s">
        <v>452</v>
      </c>
      <c r="N118" s="34" t="s">
        <v>464</v>
      </c>
      <c r="O118" s="5" t="s">
        <v>922</v>
      </c>
      <c r="P118" s="5" t="s">
        <v>597</v>
      </c>
      <c r="Q118" s="5" t="s">
        <v>923</v>
      </c>
      <c r="R118" s="5" t="s">
        <v>924</v>
      </c>
      <c r="S118" s="5" t="s">
        <v>925</v>
      </c>
      <c r="T118" s="5" t="s">
        <v>445</v>
      </c>
      <c r="U118" s="5"/>
      <c r="V118" s="5"/>
      <c r="W118" s="5"/>
      <c r="X118" s="5"/>
      <c r="Y118" s="5"/>
      <c r="Z118" s="5"/>
      <c r="AA118" s="5"/>
    </row>
    <row r="119" spans="4:27" customFormat="1" ht="14">
      <c r="D119" s="214" t="s">
        <v>383</v>
      </c>
      <c r="E119" s="212" t="str">
        <f>+VLOOKUP(F119,Resumen_Base!$B$6:$F$69,5,0)</f>
        <v>Guides</v>
      </c>
      <c r="F119" s="36" t="s">
        <v>149</v>
      </c>
      <c r="G119" s="5" t="s">
        <v>284</v>
      </c>
      <c r="H119" s="5" t="str">
        <f t="shared" si="1"/>
        <v>DEL5227</v>
      </c>
      <c r="I119" s="62">
        <v>2840000</v>
      </c>
      <c r="J119" s="62">
        <v>2000</v>
      </c>
      <c r="K119" s="62">
        <v>1420</v>
      </c>
      <c r="L119" s="100" t="s">
        <v>989</v>
      </c>
      <c r="M119" s="5" t="s">
        <v>452</v>
      </c>
      <c r="N119" s="34" t="s">
        <v>464</v>
      </c>
      <c r="O119" s="5" t="s">
        <v>1082</v>
      </c>
      <c r="P119" s="5" t="s">
        <v>597</v>
      </c>
      <c r="Q119" s="5" t="s">
        <v>1083</v>
      </c>
      <c r="R119" s="5" t="s">
        <v>1096</v>
      </c>
      <c r="S119" s="5" t="s">
        <v>1085</v>
      </c>
      <c r="T119" s="5" t="s">
        <v>445</v>
      </c>
      <c r="U119" s="5"/>
      <c r="V119" s="5"/>
      <c r="W119" s="5"/>
      <c r="X119" s="5"/>
      <c r="Y119" s="5"/>
      <c r="Z119" s="5"/>
      <c r="AA119" s="5"/>
    </row>
    <row r="120" spans="4:27" customFormat="1" ht="14">
      <c r="D120" s="214" t="s">
        <v>383</v>
      </c>
      <c r="E120" s="212" t="str">
        <f>+VLOOKUP(F120,Resumen_Base!$B$6:$F$69,5,0)</f>
        <v>Guides</v>
      </c>
      <c r="F120" s="36" t="s">
        <v>149</v>
      </c>
      <c r="G120" s="5" t="s">
        <v>284</v>
      </c>
      <c r="H120" s="5" t="str">
        <f t="shared" si="1"/>
        <v>DEL5227</v>
      </c>
      <c r="I120" s="62">
        <v>994000</v>
      </c>
      <c r="J120" s="62">
        <v>700</v>
      </c>
      <c r="K120" s="62">
        <v>1420</v>
      </c>
      <c r="L120" s="100" t="s">
        <v>989</v>
      </c>
      <c r="M120" s="5" t="s">
        <v>452</v>
      </c>
      <c r="N120" s="34" t="s">
        <v>464</v>
      </c>
      <c r="O120" s="5" t="s">
        <v>1082</v>
      </c>
      <c r="P120" s="5" t="s">
        <v>597</v>
      </c>
      <c r="Q120" s="5" t="s">
        <v>1083</v>
      </c>
      <c r="R120" s="5" t="s">
        <v>1084</v>
      </c>
      <c r="S120" s="5" t="s">
        <v>1085</v>
      </c>
      <c r="T120" s="5" t="s">
        <v>445</v>
      </c>
      <c r="U120" s="5"/>
      <c r="V120" s="5"/>
      <c r="W120" s="5"/>
      <c r="X120" s="5"/>
      <c r="Y120" s="5"/>
      <c r="Z120" s="5"/>
      <c r="AA120" s="5"/>
    </row>
    <row r="121" spans="4:27" customFormat="1" ht="14">
      <c r="D121" s="214" t="s">
        <v>383</v>
      </c>
      <c r="E121" s="212" t="str">
        <f>+VLOOKUP(F121,Resumen_Base!$B$6:$F$69,5,0)</f>
        <v>Guides</v>
      </c>
      <c r="F121" s="36" t="s">
        <v>149</v>
      </c>
      <c r="G121" s="5" t="s">
        <v>284</v>
      </c>
      <c r="H121" s="5" t="str">
        <f t="shared" si="1"/>
        <v>DEL5227</v>
      </c>
      <c r="I121" s="62">
        <v>570000</v>
      </c>
      <c r="J121" s="62">
        <v>380</v>
      </c>
      <c r="K121" s="62">
        <v>1500</v>
      </c>
      <c r="L121" s="100" t="s">
        <v>914</v>
      </c>
      <c r="M121" s="5" t="s">
        <v>452</v>
      </c>
      <c r="N121" s="34" t="s">
        <v>464</v>
      </c>
      <c r="O121" s="5" t="s">
        <v>922</v>
      </c>
      <c r="P121" s="5" t="s">
        <v>597</v>
      </c>
      <c r="Q121" s="5" t="s">
        <v>923</v>
      </c>
      <c r="R121" s="5" t="s">
        <v>929</v>
      </c>
      <c r="S121" s="5" t="s">
        <v>925</v>
      </c>
      <c r="T121" s="5" t="s">
        <v>445</v>
      </c>
      <c r="U121" s="5"/>
      <c r="V121" s="5"/>
      <c r="W121" s="5"/>
      <c r="X121" s="5"/>
      <c r="Y121" s="5"/>
      <c r="Z121" s="5"/>
      <c r="AA121" s="5"/>
    </row>
    <row r="122" spans="4:27" customFormat="1" ht="14">
      <c r="D122" s="214" t="s">
        <v>383</v>
      </c>
      <c r="E122" s="212" t="str">
        <f>+VLOOKUP(F122,Resumen_Base!$B$6:$F$69,5,0)</f>
        <v>Guides</v>
      </c>
      <c r="F122" s="36" t="s">
        <v>149</v>
      </c>
      <c r="G122" s="5" t="s">
        <v>284</v>
      </c>
      <c r="H122" s="5" t="str">
        <f t="shared" si="1"/>
        <v>DEL5227</v>
      </c>
      <c r="I122" s="62">
        <v>994000</v>
      </c>
      <c r="J122" s="62">
        <v>700</v>
      </c>
      <c r="K122" s="62">
        <v>1420</v>
      </c>
      <c r="L122" s="100" t="s">
        <v>989</v>
      </c>
      <c r="M122" s="5" t="s">
        <v>452</v>
      </c>
      <c r="N122" s="34" t="s">
        <v>464</v>
      </c>
      <c r="O122" s="5" t="s">
        <v>1082</v>
      </c>
      <c r="P122" s="5" t="s">
        <v>597</v>
      </c>
      <c r="Q122" s="5" t="s">
        <v>1083</v>
      </c>
      <c r="R122" s="5" t="s">
        <v>1094</v>
      </c>
      <c r="S122" s="5" t="s">
        <v>1085</v>
      </c>
      <c r="T122" s="5" t="s">
        <v>445</v>
      </c>
      <c r="U122" s="5"/>
      <c r="V122" s="5"/>
      <c r="W122" s="5"/>
      <c r="X122" s="5"/>
      <c r="Y122" s="5"/>
      <c r="Z122" s="5"/>
      <c r="AA122" s="5"/>
    </row>
    <row r="123" spans="4:27" customFormat="1" ht="14">
      <c r="D123" s="214" t="s">
        <v>383</v>
      </c>
      <c r="E123" s="212" t="str">
        <f>+VLOOKUP(F123,Resumen_Base!$B$6:$F$69,5,0)</f>
        <v>Manager</v>
      </c>
      <c r="F123" s="36" t="s">
        <v>150</v>
      </c>
      <c r="G123" s="5" t="s">
        <v>285</v>
      </c>
      <c r="H123" s="5" t="str">
        <f t="shared" si="1"/>
        <v>DEL5228</v>
      </c>
      <c r="I123" s="62">
        <v>680184</v>
      </c>
      <c r="J123" s="62">
        <v>482.4</v>
      </c>
      <c r="K123" s="62">
        <v>1410</v>
      </c>
      <c r="L123" s="100" t="s">
        <v>608</v>
      </c>
      <c r="M123" s="5" t="s">
        <v>452</v>
      </c>
      <c r="N123" s="34" t="s">
        <v>464</v>
      </c>
      <c r="O123" s="5" t="s">
        <v>738</v>
      </c>
      <c r="P123" s="5" t="s">
        <v>597</v>
      </c>
      <c r="Q123" s="5" t="s">
        <v>739</v>
      </c>
      <c r="R123" s="5" t="s">
        <v>748</v>
      </c>
      <c r="S123" s="5" t="s">
        <v>741</v>
      </c>
      <c r="T123" s="5" t="s">
        <v>445</v>
      </c>
      <c r="U123" s="5"/>
      <c r="V123" s="5"/>
      <c r="W123" s="5"/>
      <c r="X123" s="5"/>
      <c r="Y123" s="5"/>
      <c r="Z123" s="5"/>
      <c r="AA123" s="5"/>
    </row>
    <row r="124" spans="4:27" customFormat="1" ht="14">
      <c r="D124" s="214" t="s">
        <v>383</v>
      </c>
      <c r="E124" s="212" t="str">
        <f>+VLOOKUP(F124,Resumen_Base!$B$6:$F$69,5,0)</f>
        <v>Manager</v>
      </c>
      <c r="F124" s="36" t="s">
        <v>150</v>
      </c>
      <c r="G124" s="5" t="s">
        <v>285</v>
      </c>
      <c r="H124" s="5" t="str">
        <f t="shared" si="1"/>
        <v>DEL5228</v>
      </c>
      <c r="I124" s="62">
        <v>704304</v>
      </c>
      <c r="J124" s="62">
        <v>482.4</v>
      </c>
      <c r="K124" s="62">
        <v>1460</v>
      </c>
      <c r="L124" s="100" t="s">
        <v>914</v>
      </c>
      <c r="M124" s="5" t="s">
        <v>452</v>
      </c>
      <c r="N124" s="34" t="s">
        <v>464</v>
      </c>
      <c r="O124" s="5" t="s">
        <v>922</v>
      </c>
      <c r="P124" s="5" t="s">
        <v>597</v>
      </c>
      <c r="Q124" s="5" t="s">
        <v>923</v>
      </c>
      <c r="R124" s="5" t="s">
        <v>926</v>
      </c>
      <c r="S124" s="5" t="s">
        <v>925</v>
      </c>
      <c r="T124" s="5" t="s">
        <v>445</v>
      </c>
      <c r="U124" s="5"/>
      <c r="V124" s="5"/>
      <c r="W124" s="5"/>
      <c r="X124" s="5"/>
      <c r="Y124" s="5"/>
      <c r="Z124" s="5"/>
      <c r="AA124" s="5"/>
    </row>
    <row r="125" spans="4:27" customFormat="1" ht="14">
      <c r="D125" s="214" t="s">
        <v>383</v>
      </c>
      <c r="E125" s="212" t="str">
        <f>+VLOOKUP(F125,Resumen_Base!$B$6:$F$69,5,0)</f>
        <v>Manager</v>
      </c>
      <c r="F125" s="36" t="s">
        <v>150</v>
      </c>
      <c r="G125" s="5" t="s">
        <v>285</v>
      </c>
      <c r="H125" s="5" t="str">
        <f t="shared" si="1"/>
        <v>DEL5228</v>
      </c>
      <c r="I125" s="62">
        <v>664560</v>
      </c>
      <c r="J125" s="62">
        <v>468</v>
      </c>
      <c r="K125" s="62">
        <v>1420</v>
      </c>
      <c r="L125" s="100" t="s">
        <v>989</v>
      </c>
      <c r="M125" s="5" t="s">
        <v>452</v>
      </c>
      <c r="N125" s="34" t="s">
        <v>464</v>
      </c>
      <c r="O125" s="5" t="s">
        <v>1082</v>
      </c>
      <c r="P125" s="5" t="s">
        <v>597</v>
      </c>
      <c r="Q125" s="5" t="s">
        <v>1083</v>
      </c>
      <c r="R125" s="5" t="s">
        <v>1086</v>
      </c>
      <c r="S125" s="5" t="s">
        <v>1085</v>
      </c>
      <c r="T125" s="5" t="s">
        <v>445</v>
      </c>
      <c r="U125" s="5"/>
      <c r="V125" s="5"/>
      <c r="W125" s="5"/>
      <c r="X125" s="5"/>
      <c r="Y125" s="5"/>
      <c r="Z125" s="5"/>
      <c r="AA125" s="5"/>
    </row>
    <row r="126" spans="4:27" customFormat="1" ht="14">
      <c r="D126" s="214" t="s">
        <v>383</v>
      </c>
      <c r="E126" s="212" t="str">
        <f>+VLOOKUP(F126,Resumen_Base!$B$6:$F$69,5,0)</f>
        <v>Manager</v>
      </c>
      <c r="F126" s="36" t="s">
        <v>150</v>
      </c>
      <c r="G126" s="5" t="s">
        <v>285</v>
      </c>
      <c r="H126" s="5" t="str">
        <f t="shared" si="1"/>
        <v>DEL5228</v>
      </c>
      <c r="I126" s="62">
        <v>1500000</v>
      </c>
      <c r="J126" s="62">
        <v>1000</v>
      </c>
      <c r="K126" s="62">
        <v>1500</v>
      </c>
      <c r="L126" s="100" t="s">
        <v>858</v>
      </c>
      <c r="M126" s="5" t="s">
        <v>452</v>
      </c>
      <c r="N126" s="34" t="s">
        <v>464</v>
      </c>
      <c r="O126" s="5" t="s">
        <v>859</v>
      </c>
      <c r="P126" s="5" t="s">
        <v>597</v>
      </c>
      <c r="Q126" s="5" t="s">
        <v>860</v>
      </c>
      <c r="R126" s="5" t="s">
        <v>861</v>
      </c>
      <c r="S126" s="5" t="s">
        <v>862</v>
      </c>
      <c r="T126" s="5" t="s">
        <v>445</v>
      </c>
      <c r="U126" s="5"/>
      <c r="V126" s="5"/>
      <c r="W126" s="5"/>
      <c r="X126" s="5"/>
      <c r="Y126" s="5"/>
      <c r="Z126" s="5"/>
      <c r="AA126" s="5"/>
    </row>
    <row r="127" spans="4:27" customFormat="1" ht="14">
      <c r="D127" s="214" t="s">
        <v>383</v>
      </c>
      <c r="E127" s="212" t="str">
        <f>+VLOOKUP(F127,Resumen_Base!$B$6:$F$69,5,0)</f>
        <v>Manager</v>
      </c>
      <c r="F127" s="36" t="s">
        <v>150</v>
      </c>
      <c r="G127" s="5" t="s">
        <v>285</v>
      </c>
      <c r="H127" s="5" t="str">
        <f t="shared" si="1"/>
        <v>DEL5228</v>
      </c>
      <c r="I127" s="62">
        <v>-5070000</v>
      </c>
      <c r="J127" s="62">
        <v>-3380</v>
      </c>
      <c r="K127" s="62">
        <v>1500</v>
      </c>
      <c r="L127" s="100" t="s">
        <v>858</v>
      </c>
      <c r="M127" s="5" t="s">
        <v>452</v>
      </c>
      <c r="N127" s="34" t="s">
        <v>464</v>
      </c>
      <c r="O127" s="5" t="s">
        <v>900</v>
      </c>
      <c r="P127" s="5" t="s">
        <v>597</v>
      </c>
      <c r="Q127" s="5" t="s">
        <v>901</v>
      </c>
      <c r="R127" s="5" t="s">
        <v>902</v>
      </c>
      <c r="S127" s="5" t="s">
        <v>903</v>
      </c>
      <c r="T127" s="5" t="s">
        <v>445</v>
      </c>
      <c r="U127" s="5"/>
      <c r="V127" s="5"/>
      <c r="W127" s="5"/>
      <c r="X127" s="5"/>
      <c r="Y127" s="5"/>
      <c r="Z127" s="5"/>
      <c r="AA127" s="5"/>
    </row>
    <row r="128" spans="4:27" customFormat="1" ht="14">
      <c r="D128" s="214" t="s">
        <v>383</v>
      </c>
      <c r="E128" s="212" t="str">
        <f>+VLOOKUP(F128,Resumen_Base!$B$6:$F$69,5,0)</f>
        <v>Manager</v>
      </c>
      <c r="F128" s="36" t="s">
        <v>150</v>
      </c>
      <c r="G128" s="5" t="s">
        <v>285</v>
      </c>
      <c r="H128" s="5" t="str">
        <f t="shared" si="1"/>
        <v>DEL5228</v>
      </c>
      <c r="I128" s="62">
        <v>2280000</v>
      </c>
      <c r="J128" s="62">
        <v>1520</v>
      </c>
      <c r="K128" s="62">
        <v>1500</v>
      </c>
      <c r="L128" s="100" t="s">
        <v>858</v>
      </c>
      <c r="M128" s="5" t="s">
        <v>452</v>
      </c>
      <c r="N128" s="34" t="s">
        <v>464</v>
      </c>
      <c r="O128" s="5" t="s">
        <v>859</v>
      </c>
      <c r="P128" s="5" t="s">
        <v>597</v>
      </c>
      <c r="Q128" s="5" t="s">
        <v>860</v>
      </c>
      <c r="R128" s="5" t="s">
        <v>864</v>
      </c>
      <c r="S128" s="5" t="s">
        <v>862</v>
      </c>
      <c r="T128" s="5" t="s">
        <v>445</v>
      </c>
      <c r="U128" s="5"/>
      <c r="V128" s="5"/>
      <c r="W128" s="5"/>
      <c r="X128" s="5"/>
      <c r="Y128" s="5"/>
      <c r="Z128" s="5"/>
      <c r="AA128" s="5"/>
    </row>
    <row r="129" spans="4:27" customFormat="1" ht="14">
      <c r="D129" s="214" t="s">
        <v>383</v>
      </c>
      <c r="E129" s="212" t="str">
        <f>+VLOOKUP(F129,Resumen_Base!$B$6:$F$69,5,0)</f>
        <v>Manager</v>
      </c>
      <c r="F129" s="36" t="s">
        <v>150</v>
      </c>
      <c r="G129" s="5" t="s">
        <v>285</v>
      </c>
      <c r="H129" s="5" t="str">
        <f t="shared" si="1"/>
        <v>DEL5228</v>
      </c>
      <c r="I129" s="62">
        <v>1278000</v>
      </c>
      <c r="J129" s="62">
        <v>900</v>
      </c>
      <c r="K129" s="62">
        <v>1420</v>
      </c>
      <c r="L129" s="100" t="s">
        <v>989</v>
      </c>
      <c r="M129" s="5" t="s">
        <v>452</v>
      </c>
      <c r="N129" s="34" t="s">
        <v>464</v>
      </c>
      <c r="O129" s="5" t="s">
        <v>1082</v>
      </c>
      <c r="P129" s="5" t="s">
        <v>597</v>
      </c>
      <c r="Q129" s="5" t="s">
        <v>1083</v>
      </c>
      <c r="R129" s="5" t="s">
        <v>1092</v>
      </c>
      <c r="S129" s="5" t="s">
        <v>1085</v>
      </c>
      <c r="T129" s="5" t="s">
        <v>445</v>
      </c>
      <c r="U129" s="5"/>
      <c r="V129" s="5"/>
      <c r="W129" s="5"/>
      <c r="X129" s="5"/>
      <c r="Y129" s="5"/>
      <c r="Z129" s="5"/>
      <c r="AA129" s="5"/>
    </row>
    <row r="130" spans="4:27" customFormat="1" ht="14">
      <c r="D130" s="214" t="s">
        <v>383</v>
      </c>
      <c r="E130" s="212" t="str">
        <f>+VLOOKUP(F130,Resumen_Base!$B$6:$F$69,5,0)</f>
        <v>Manager</v>
      </c>
      <c r="F130" s="36" t="s">
        <v>150</v>
      </c>
      <c r="G130" s="5" t="s">
        <v>285</v>
      </c>
      <c r="H130" s="5" t="str">
        <f t="shared" si="1"/>
        <v>DEL5228</v>
      </c>
      <c r="I130" s="62">
        <v>3742700</v>
      </c>
      <c r="J130" s="62">
        <v>2879</v>
      </c>
      <c r="K130" s="62">
        <v>1300</v>
      </c>
      <c r="L130" s="100" t="s">
        <v>441</v>
      </c>
      <c r="M130" s="5"/>
      <c r="N130" s="34" t="s">
        <v>464</v>
      </c>
      <c r="O130" s="5"/>
      <c r="P130" s="5"/>
      <c r="Q130" s="5" t="s">
        <v>593</v>
      </c>
      <c r="R130" s="5" t="s">
        <v>593</v>
      </c>
      <c r="S130" s="5" t="s">
        <v>594</v>
      </c>
      <c r="T130" s="5" t="s">
        <v>445</v>
      </c>
      <c r="U130" s="5"/>
      <c r="V130" s="5"/>
      <c r="W130" s="5"/>
      <c r="X130" s="5"/>
      <c r="Y130" s="5"/>
      <c r="Z130" s="5"/>
      <c r="AA130" s="5"/>
    </row>
    <row r="131" spans="4:27" customFormat="1" ht="14">
      <c r="D131" s="214" t="s">
        <v>383</v>
      </c>
      <c r="E131" s="212" t="str">
        <f>+VLOOKUP(F131,Resumen_Base!$B$6:$F$69,5,0)</f>
        <v>Social Security Contributions</v>
      </c>
      <c r="F131" s="36" t="s">
        <v>153</v>
      </c>
      <c r="G131" s="5" t="s">
        <v>154</v>
      </c>
      <c r="H131" s="5" t="str">
        <f t="shared" si="1"/>
        <v>DEL5235</v>
      </c>
      <c r="I131" s="62">
        <v>184428</v>
      </c>
      <c r="J131" s="62">
        <v>130.80000000000001</v>
      </c>
      <c r="K131" s="62">
        <v>1410</v>
      </c>
      <c r="L131" s="100" t="s">
        <v>608</v>
      </c>
      <c r="M131" s="5" t="s">
        <v>452</v>
      </c>
      <c r="N131" s="34" t="s">
        <v>464</v>
      </c>
      <c r="O131" s="5" t="s">
        <v>738</v>
      </c>
      <c r="P131" s="5" t="s">
        <v>597</v>
      </c>
      <c r="Q131" s="5" t="s">
        <v>739</v>
      </c>
      <c r="R131" s="5" t="s">
        <v>747</v>
      </c>
      <c r="S131" s="5" t="s">
        <v>741</v>
      </c>
      <c r="T131" s="5" t="s">
        <v>445</v>
      </c>
      <c r="U131" s="5"/>
      <c r="V131" s="5"/>
      <c r="W131" s="5"/>
      <c r="X131" s="5"/>
      <c r="Y131" s="5"/>
      <c r="Z131" s="5"/>
      <c r="AA131" s="5"/>
    </row>
    <row r="132" spans="4:27" customFormat="1" ht="14">
      <c r="D132" s="214" t="s">
        <v>383</v>
      </c>
      <c r="E132" s="212" t="str">
        <f>+VLOOKUP(F132,Resumen_Base!$B$6:$F$69,5,0)</f>
        <v>Social Security Contributions</v>
      </c>
      <c r="F132" s="36" t="s">
        <v>153</v>
      </c>
      <c r="G132" s="5" t="s">
        <v>154</v>
      </c>
      <c r="H132" s="5" t="str">
        <f t="shared" si="1"/>
        <v>DEL5235</v>
      </c>
      <c r="I132" s="62">
        <v>190968</v>
      </c>
      <c r="J132" s="62">
        <v>130.80000000000001</v>
      </c>
      <c r="K132" s="62">
        <v>1460</v>
      </c>
      <c r="L132" s="100" t="s">
        <v>914</v>
      </c>
      <c r="M132" s="5" t="s">
        <v>452</v>
      </c>
      <c r="N132" s="34" t="s">
        <v>464</v>
      </c>
      <c r="O132" s="5" t="s">
        <v>922</v>
      </c>
      <c r="P132" s="5" t="s">
        <v>597</v>
      </c>
      <c r="Q132" s="5" t="s">
        <v>923</v>
      </c>
      <c r="R132" s="5" t="s">
        <v>928</v>
      </c>
      <c r="S132" s="5" t="s">
        <v>925</v>
      </c>
      <c r="T132" s="5" t="s">
        <v>445</v>
      </c>
      <c r="U132" s="5"/>
      <c r="V132" s="5"/>
      <c r="W132" s="5"/>
      <c r="X132" s="5"/>
      <c r="Y132" s="5"/>
      <c r="Z132" s="5"/>
      <c r="AA132" s="5"/>
    </row>
    <row r="133" spans="4:27" customFormat="1" ht="14">
      <c r="D133" s="214" t="s">
        <v>383</v>
      </c>
      <c r="E133" s="212" t="str">
        <f>+VLOOKUP(F133,Resumen_Base!$B$6:$F$69,5,0)</f>
        <v>Social Security Contributions</v>
      </c>
      <c r="F133" s="36" t="s">
        <v>153</v>
      </c>
      <c r="G133" s="5" t="s">
        <v>154</v>
      </c>
      <c r="H133" s="5" t="str">
        <f t="shared" si="1"/>
        <v>DEL5235</v>
      </c>
      <c r="I133" s="62">
        <v>651780</v>
      </c>
      <c r="J133" s="62">
        <v>459</v>
      </c>
      <c r="K133" s="62">
        <v>1420</v>
      </c>
      <c r="L133" s="100" t="s">
        <v>989</v>
      </c>
      <c r="M133" s="5" t="s">
        <v>452</v>
      </c>
      <c r="N133" s="34" t="s">
        <v>464</v>
      </c>
      <c r="O133" s="5" t="s">
        <v>1082</v>
      </c>
      <c r="P133" s="5" t="s">
        <v>597</v>
      </c>
      <c r="Q133" s="5" t="s">
        <v>1083</v>
      </c>
      <c r="R133" s="5" t="s">
        <v>1090</v>
      </c>
      <c r="S133" s="5" t="s">
        <v>1085</v>
      </c>
      <c r="T133" s="5" t="s">
        <v>445</v>
      </c>
      <c r="U133" s="5"/>
      <c r="V133" s="5"/>
      <c r="W133" s="5"/>
      <c r="X133" s="5"/>
      <c r="Y133" s="5"/>
      <c r="Z133" s="5"/>
      <c r="AA133" s="5"/>
    </row>
    <row r="134" spans="4:27" customFormat="1" ht="14">
      <c r="D134" s="214" t="s">
        <v>383</v>
      </c>
      <c r="E134" s="212" t="str">
        <f>+VLOOKUP(F134,Resumen_Base!$B$6:$F$69,5,0)</f>
        <v>Social Security Contributions</v>
      </c>
      <c r="F134" s="36" t="s">
        <v>157</v>
      </c>
      <c r="G134" s="5" t="s">
        <v>158</v>
      </c>
      <c r="H134" s="5" t="str">
        <f t="shared" si="1"/>
        <v>DEL5237</v>
      </c>
      <c r="I134" s="62">
        <v>276642</v>
      </c>
      <c r="J134" s="62">
        <v>196.2</v>
      </c>
      <c r="K134" s="62">
        <v>1410</v>
      </c>
      <c r="L134" s="100" t="s">
        <v>608</v>
      </c>
      <c r="M134" s="5" t="s">
        <v>452</v>
      </c>
      <c r="N134" s="34" t="s">
        <v>464</v>
      </c>
      <c r="O134" s="5" t="s">
        <v>738</v>
      </c>
      <c r="P134" s="5" t="s">
        <v>597</v>
      </c>
      <c r="Q134" s="5" t="s">
        <v>739</v>
      </c>
      <c r="R134" s="5" t="s">
        <v>746</v>
      </c>
      <c r="S134" s="5" t="s">
        <v>741</v>
      </c>
      <c r="T134" s="5" t="s">
        <v>445</v>
      </c>
      <c r="U134" s="5"/>
      <c r="V134" s="5"/>
      <c r="W134" s="5"/>
      <c r="X134" s="5"/>
      <c r="Y134" s="5"/>
      <c r="Z134" s="5"/>
      <c r="AA134" s="5"/>
    </row>
    <row r="135" spans="4:27" customFormat="1" ht="14">
      <c r="D135" s="214" t="s">
        <v>383</v>
      </c>
      <c r="E135" s="212" t="str">
        <f>+VLOOKUP(F135,Resumen_Base!$B$6:$F$69,5,0)</f>
        <v>Social Security Contributions</v>
      </c>
      <c r="F135" s="36" t="s">
        <v>157</v>
      </c>
      <c r="G135" s="5" t="s">
        <v>158</v>
      </c>
      <c r="H135" s="5" t="str">
        <f t="shared" si="1"/>
        <v>DEL5237</v>
      </c>
      <c r="I135" s="62">
        <v>286452</v>
      </c>
      <c r="J135" s="62">
        <v>196.2</v>
      </c>
      <c r="K135" s="62">
        <v>1460</v>
      </c>
      <c r="L135" s="100" t="s">
        <v>914</v>
      </c>
      <c r="M135" s="5" t="s">
        <v>452</v>
      </c>
      <c r="N135" s="34" t="s">
        <v>464</v>
      </c>
      <c r="O135" s="5" t="s">
        <v>922</v>
      </c>
      <c r="P135" s="5" t="s">
        <v>597</v>
      </c>
      <c r="Q135" s="5" t="s">
        <v>923</v>
      </c>
      <c r="R135" s="5" t="s">
        <v>927</v>
      </c>
      <c r="S135" s="5" t="s">
        <v>925</v>
      </c>
      <c r="T135" s="5" t="s">
        <v>445</v>
      </c>
      <c r="U135" s="5"/>
      <c r="V135" s="5"/>
      <c r="W135" s="5"/>
      <c r="X135" s="5"/>
      <c r="Y135" s="5"/>
      <c r="Z135" s="5"/>
      <c r="AA135" s="5"/>
    </row>
    <row r="136" spans="4:27" customFormat="1" ht="14">
      <c r="D136" s="214" t="s">
        <v>383</v>
      </c>
      <c r="E136" s="212" t="str">
        <f>+VLOOKUP(F136,Resumen_Base!$B$6:$F$69,5,0)</f>
        <v>Social Security Contributions</v>
      </c>
      <c r="F136" s="36" t="s">
        <v>157</v>
      </c>
      <c r="G136" s="5" t="s">
        <v>158</v>
      </c>
      <c r="H136" s="5" t="str">
        <f t="shared" si="1"/>
        <v>DEL5237</v>
      </c>
      <c r="I136" s="62">
        <v>269800</v>
      </c>
      <c r="J136" s="62">
        <v>190</v>
      </c>
      <c r="K136" s="62">
        <v>1420</v>
      </c>
      <c r="L136" s="100" t="s">
        <v>989</v>
      </c>
      <c r="M136" s="5" t="s">
        <v>452</v>
      </c>
      <c r="N136" s="34" t="s">
        <v>464</v>
      </c>
      <c r="O136" s="5" t="s">
        <v>1082</v>
      </c>
      <c r="P136" s="5" t="s">
        <v>597</v>
      </c>
      <c r="Q136" s="5" t="s">
        <v>1083</v>
      </c>
      <c r="R136" s="5" t="s">
        <v>1088</v>
      </c>
      <c r="S136" s="5" t="s">
        <v>1085</v>
      </c>
      <c r="T136" s="5" t="s">
        <v>445</v>
      </c>
      <c r="U136" s="5"/>
      <c r="V136" s="5"/>
      <c r="W136" s="5"/>
      <c r="X136" s="5"/>
      <c r="Y136" s="5"/>
      <c r="Z136" s="5"/>
      <c r="AA136" s="5"/>
    </row>
    <row r="137" spans="4:27" customFormat="1" ht="14">
      <c r="D137" s="214" t="s">
        <v>383</v>
      </c>
      <c r="E137" s="212" t="str">
        <f>+VLOOKUP(F137,Resumen_Base!$B$6:$F$69,5,0)</f>
        <v>Electricity</v>
      </c>
      <c r="F137" s="36" t="s">
        <v>39</v>
      </c>
      <c r="G137" s="5" t="s">
        <v>38</v>
      </c>
      <c r="H137" s="5" t="str">
        <f t="shared" si="1"/>
        <v>DEL5247</v>
      </c>
      <c r="I137" s="62">
        <v>76000</v>
      </c>
      <c r="J137" s="62">
        <v>54.676258992805799</v>
      </c>
      <c r="K137" s="62">
        <v>1390</v>
      </c>
      <c r="L137" s="100" t="s">
        <v>628</v>
      </c>
      <c r="M137" s="5" t="s">
        <v>452</v>
      </c>
      <c r="N137" s="34" t="s">
        <v>464</v>
      </c>
      <c r="O137" s="5" t="s">
        <v>629</v>
      </c>
      <c r="P137" s="5" t="s">
        <v>597</v>
      </c>
      <c r="Q137" s="5" t="s">
        <v>630</v>
      </c>
      <c r="R137" s="5" t="s">
        <v>664</v>
      </c>
      <c r="S137" s="5" t="s">
        <v>632</v>
      </c>
      <c r="T137" s="5" t="s">
        <v>445</v>
      </c>
      <c r="U137" s="5"/>
      <c r="V137" s="5"/>
      <c r="W137" s="5"/>
      <c r="X137" s="5"/>
      <c r="Y137" s="5"/>
      <c r="Z137" s="5"/>
      <c r="AA137" s="5"/>
    </row>
    <row r="138" spans="4:27" customFormat="1" ht="14">
      <c r="D138" s="214" t="s">
        <v>383</v>
      </c>
      <c r="E138" s="212" t="str">
        <f>+VLOOKUP(F138,Resumen_Base!$B$6:$F$69,5,0)</f>
        <v>Electricity</v>
      </c>
      <c r="F138" s="36" t="s">
        <v>39</v>
      </c>
      <c r="G138" s="5" t="s">
        <v>38</v>
      </c>
      <c r="H138" s="5" t="str">
        <f t="shared" si="1"/>
        <v>DEL5247</v>
      </c>
      <c r="I138" s="62">
        <v>99050</v>
      </c>
      <c r="J138" s="62">
        <v>69.753521126760603</v>
      </c>
      <c r="K138" s="62">
        <v>1420</v>
      </c>
      <c r="L138" s="100" t="s">
        <v>1030</v>
      </c>
      <c r="M138" s="5" t="s">
        <v>452</v>
      </c>
      <c r="N138" s="34" t="s">
        <v>464</v>
      </c>
      <c r="O138" s="5" t="s">
        <v>1031</v>
      </c>
      <c r="P138" s="5" t="s">
        <v>597</v>
      </c>
      <c r="Q138" s="5" t="s">
        <v>1032</v>
      </c>
      <c r="R138" s="5" t="s">
        <v>1057</v>
      </c>
      <c r="S138" s="5" t="s">
        <v>1033</v>
      </c>
      <c r="T138" s="5" t="s">
        <v>445</v>
      </c>
      <c r="U138" s="5"/>
      <c r="V138" s="5"/>
      <c r="W138" s="5"/>
      <c r="X138" s="5"/>
      <c r="Y138" s="5"/>
      <c r="Z138" s="5"/>
      <c r="AA138" s="5"/>
    </row>
    <row r="139" spans="4:27" customFormat="1" ht="14">
      <c r="D139" s="214" t="s">
        <v>383</v>
      </c>
      <c r="E139" s="212" t="str">
        <f>+VLOOKUP(F139,Resumen_Base!$B$6:$F$69,5,0)</f>
        <v>Electricity</v>
      </c>
      <c r="F139" s="36" t="s">
        <v>39</v>
      </c>
      <c r="G139" s="5" t="s">
        <v>38</v>
      </c>
      <c r="H139" s="5" t="str">
        <f t="shared" si="1"/>
        <v>DEL5247</v>
      </c>
      <c r="I139" s="62">
        <v>33000</v>
      </c>
      <c r="J139" s="62">
        <v>23.404255319148898</v>
      </c>
      <c r="K139" s="62">
        <v>1410</v>
      </c>
      <c r="L139" s="100" t="s">
        <v>678</v>
      </c>
      <c r="M139" s="5" t="s">
        <v>452</v>
      </c>
      <c r="N139" s="34" t="s">
        <v>464</v>
      </c>
      <c r="O139" s="5" t="s">
        <v>683</v>
      </c>
      <c r="P139" s="5" t="s">
        <v>597</v>
      </c>
      <c r="Q139" s="5" t="s">
        <v>684</v>
      </c>
      <c r="R139" s="5" t="s">
        <v>686</v>
      </c>
      <c r="S139" s="5" t="s">
        <v>685</v>
      </c>
      <c r="T139" s="5" t="s">
        <v>445</v>
      </c>
      <c r="U139" s="5"/>
      <c r="V139" s="5"/>
      <c r="W139" s="5"/>
      <c r="X139" s="5"/>
      <c r="Y139" s="5"/>
      <c r="Z139" s="5"/>
      <c r="AA139" s="5"/>
    </row>
    <row r="140" spans="4:27" customFormat="1" ht="14">
      <c r="D140" s="214" t="s">
        <v>383</v>
      </c>
      <c r="E140" s="212" t="str">
        <f>+VLOOKUP(F140,Resumen_Base!$B$6:$F$69,5,0)</f>
        <v>Electricity - Gas for Boats &amp; Vehicles</v>
      </c>
      <c r="F140" s="36" t="s">
        <v>60</v>
      </c>
      <c r="G140" s="5" t="s">
        <v>61</v>
      </c>
      <c r="H140" s="5" t="str">
        <f t="shared" ref="H140:H203" si="2">+D140&amp;F140</f>
        <v>DEL5248</v>
      </c>
      <c r="I140" s="62">
        <v>55781</v>
      </c>
      <c r="J140" s="62">
        <v>37.187333333333299</v>
      </c>
      <c r="K140" s="62">
        <v>1500</v>
      </c>
      <c r="L140" s="100" t="s">
        <v>858</v>
      </c>
      <c r="M140" s="5" t="s">
        <v>452</v>
      </c>
      <c r="N140" s="34" t="s">
        <v>464</v>
      </c>
      <c r="O140" s="5" t="s">
        <v>880</v>
      </c>
      <c r="P140" s="5" t="s">
        <v>597</v>
      </c>
      <c r="Q140" s="5" t="s">
        <v>881</v>
      </c>
      <c r="R140" s="5" t="s">
        <v>885</v>
      </c>
      <c r="S140" s="5" t="s">
        <v>882</v>
      </c>
      <c r="T140" s="5" t="s">
        <v>445</v>
      </c>
      <c r="U140" s="5"/>
      <c r="V140" s="5"/>
      <c r="W140" s="5"/>
      <c r="X140" s="5"/>
      <c r="Y140" s="5"/>
      <c r="Z140" s="5"/>
      <c r="AA140" s="5"/>
    </row>
    <row r="141" spans="4:27" customFormat="1" ht="14">
      <c r="D141" s="214" t="s">
        <v>383</v>
      </c>
      <c r="E141" s="212" t="str">
        <f>+VLOOKUP(F141,Resumen_Base!$B$6:$F$69,5,0)</f>
        <v>Electricity - Gas for Boats &amp; Vehicles</v>
      </c>
      <c r="F141" s="36" t="s">
        <v>60</v>
      </c>
      <c r="G141" s="5" t="s">
        <v>61</v>
      </c>
      <c r="H141" s="5" t="str">
        <f t="shared" si="2"/>
        <v>DEL5248</v>
      </c>
      <c r="I141" s="62">
        <v>185922</v>
      </c>
      <c r="J141" s="62">
        <v>130.93098591549301</v>
      </c>
      <c r="K141" s="62">
        <v>1420</v>
      </c>
      <c r="L141" s="100" t="s">
        <v>1030</v>
      </c>
      <c r="M141" s="5" t="s">
        <v>452</v>
      </c>
      <c r="N141" s="34" t="s">
        <v>464</v>
      </c>
      <c r="O141" s="5" t="s">
        <v>1031</v>
      </c>
      <c r="P141" s="5" t="s">
        <v>597</v>
      </c>
      <c r="Q141" s="5" t="s">
        <v>1032</v>
      </c>
      <c r="R141" s="5" t="s">
        <v>1054</v>
      </c>
      <c r="S141" s="5" t="s">
        <v>1033</v>
      </c>
      <c r="T141" s="5" t="s">
        <v>445</v>
      </c>
      <c r="U141" s="5"/>
      <c r="V141" s="5"/>
      <c r="W141" s="5"/>
      <c r="X141" s="5"/>
      <c r="Y141" s="5"/>
      <c r="Z141" s="5"/>
      <c r="AA141" s="5"/>
    </row>
    <row r="142" spans="4:27" customFormat="1" ht="14">
      <c r="D142" s="214" t="s">
        <v>383</v>
      </c>
      <c r="E142" s="212" t="str">
        <f>+VLOOKUP(F142,Resumen_Base!$B$6:$F$69,5,0)</f>
        <v>Electricity - Gas for Boats &amp; Vehicles</v>
      </c>
      <c r="F142" s="36" t="s">
        <v>60</v>
      </c>
      <c r="G142" s="5" t="s">
        <v>61</v>
      </c>
      <c r="H142" s="5" t="str">
        <f t="shared" si="2"/>
        <v>DEL5248</v>
      </c>
      <c r="I142" s="62">
        <v>281200</v>
      </c>
      <c r="J142" s="62">
        <v>187.46666666666701</v>
      </c>
      <c r="K142" s="62">
        <v>1500</v>
      </c>
      <c r="L142" s="100" t="s">
        <v>858</v>
      </c>
      <c r="M142" s="5" t="s">
        <v>452</v>
      </c>
      <c r="N142" s="34" t="s">
        <v>464</v>
      </c>
      <c r="O142" s="5" t="s">
        <v>880</v>
      </c>
      <c r="P142" s="5" t="s">
        <v>597</v>
      </c>
      <c r="Q142" s="5" t="s">
        <v>881</v>
      </c>
      <c r="R142" s="5" t="s">
        <v>886</v>
      </c>
      <c r="S142" s="5" t="s">
        <v>882</v>
      </c>
      <c r="T142" s="5" t="s">
        <v>445</v>
      </c>
      <c r="U142" s="5"/>
      <c r="V142" s="5"/>
      <c r="W142" s="5"/>
      <c r="X142" s="5"/>
      <c r="Y142" s="5"/>
      <c r="Z142" s="5"/>
      <c r="AA142" s="5"/>
    </row>
    <row r="143" spans="4:27" customFormat="1" ht="14">
      <c r="D143" s="214" t="s">
        <v>383</v>
      </c>
      <c r="E143" s="212" t="str">
        <f>+VLOOKUP(F143,Resumen_Base!$B$6:$F$69,5,0)</f>
        <v>Electricity - Gas for Boats &amp; Vehicles</v>
      </c>
      <c r="F143" s="36" t="s">
        <v>60</v>
      </c>
      <c r="G143" s="5" t="s">
        <v>61</v>
      </c>
      <c r="H143" s="5" t="str">
        <f t="shared" si="2"/>
        <v>DEL5248</v>
      </c>
      <c r="I143" s="62">
        <v>73600</v>
      </c>
      <c r="J143" s="62">
        <v>49.066666666666698</v>
      </c>
      <c r="K143" s="62">
        <v>1500</v>
      </c>
      <c r="L143" s="100" t="s">
        <v>858</v>
      </c>
      <c r="M143" s="5" t="s">
        <v>452</v>
      </c>
      <c r="N143" s="34" t="s">
        <v>464</v>
      </c>
      <c r="O143" s="5" t="s">
        <v>880</v>
      </c>
      <c r="P143" s="5" t="s">
        <v>597</v>
      </c>
      <c r="Q143" s="5" t="s">
        <v>881</v>
      </c>
      <c r="R143" s="5" t="s">
        <v>899</v>
      </c>
      <c r="S143" s="5" t="s">
        <v>882</v>
      </c>
      <c r="T143" s="5" t="s">
        <v>445</v>
      </c>
      <c r="U143" s="5"/>
      <c r="V143" s="5"/>
      <c r="W143" s="5"/>
      <c r="X143" s="5"/>
      <c r="Y143" s="5"/>
      <c r="Z143" s="5"/>
      <c r="AA143" s="5"/>
    </row>
    <row r="144" spans="4:27" customFormat="1" ht="14">
      <c r="D144" s="214" t="s">
        <v>383</v>
      </c>
      <c r="E144" s="212" t="str">
        <f>+VLOOKUP(F144,Resumen_Base!$B$6:$F$69,5,0)</f>
        <v>Electricity - Gas for Boats &amp; Vehicles</v>
      </c>
      <c r="F144" s="36" t="s">
        <v>60</v>
      </c>
      <c r="G144" s="5" t="s">
        <v>61</v>
      </c>
      <c r="H144" s="5" t="str">
        <f t="shared" si="2"/>
        <v>DEL5248</v>
      </c>
      <c r="I144" s="62">
        <v>234619</v>
      </c>
      <c r="J144" s="62">
        <v>164.06923076923101</v>
      </c>
      <c r="K144" s="62">
        <v>1430</v>
      </c>
      <c r="L144" s="100" t="s">
        <v>751</v>
      </c>
      <c r="M144" s="5" t="s">
        <v>452</v>
      </c>
      <c r="N144" s="34" t="s">
        <v>464</v>
      </c>
      <c r="O144" s="5" t="s">
        <v>752</v>
      </c>
      <c r="P144" s="5" t="s">
        <v>597</v>
      </c>
      <c r="Q144" s="5" t="s">
        <v>753</v>
      </c>
      <c r="R144" s="5" t="s">
        <v>758</v>
      </c>
      <c r="S144" s="5" t="s">
        <v>755</v>
      </c>
      <c r="T144" s="5" t="s">
        <v>445</v>
      </c>
      <c r="U144" s="5"/>
      <c r="V144" s="5"/>
      <c r="W144" s="5"/>
      <c r="X144" s="5"/>
      <c r="Y144" s="5"/>
      <c r="Z144" s="5"/>
      <c r="AA144" s="5"/>
    </row>
    <row r="145" spans="4:27" customFormat="1" ht="14">
      <c r="D145" s="214" t="s">
        <v>383</v>
      </c>
      <c r="E145" s="212" t="str">
        <f>+VLOOKUP(F145,Resumen_Base!$B$6:$F$69,5,0)</f>
        <v>Electricity - Gas for Boats &amp; Vehicles</v>
      </c>
      <c r="F145" s="36" t="s">
        <v>60</v>
      </c>
      <c r="G145" s="5" t="s">
        <v>61</v>
      </c>
      <c r="H145" s="5" t="str">
        <f t="shared" si="2"/>
        <v>DEL5248</v>
      </c>
      <c r="I145" s="62">
        <v>152000</v>
      </c>
      <c r="J145" s="62">
        <v>109.352517985612</v>
      </c>
      <c r="K145" s="62">
        <v>1390</v>
      </c>
      <c r="L145" s="100" t="s">
        <v>628</v>
      </c>
      <c r="M145" s="5" t="s">
        <v>452</v>
      </c>
      <c r="N145" s="34" t="s">
        <v>464</v>
      </c>
      <c r="O145" s="5" t="s">
        <v>629</v>
      </c>
      <c r="P145" s="5" t="s">
        <v>597</v>
      </c>
      <c r="Q145" s="5" t="s">
        <v>630</v>
      </c>
      <c r="R145" s="5" t="s">
        <v>651</v>
      </c>
      <c r="S145" s="5" t="s">
        <v>632</v>
      </c>
      <c r="T145" s="5" t="s">
        <v>445</v>
      </c>
      <c r="U145" s="5"/>
      <c r="V145" s="5"/>
      <c r="W145" s="5"/>
      <c r="X145" s="5"/>
      <c r="Y145" s="5"/>
      <c r="Z145" s="5"/>
      <c r="AA145" s="5"/>
    </row>
    <row r="146" spans="4:27" customFormat="1" ht="14">
      <c r="D146" s="214" t="s">
        <v>383</v>
      </c>
      <c r="E146" s="212" t="str">
        <f>+VLOOKUP(F146,Resumen_Base!$B$6:$F$69,5,0)</f>
        <v>Electricity - Gas for Boats &amp; Vehicles</v>
      </c>
      <c r="F146" s="36" t="s">
        <v>60</v>
      </c>
      <c r="G146" s="5" t="s">
        <v>61</v>
      </c>
      <c r="H146" s="5" t="str">
        <f t="shared" si="2"/>
        <v>DEL5248</v>
      </c>
      <c r="I146" s="62">
        <v>123957</v>
      </c>
      <c r="J146" s="62">
        <v>89.177697841726598</v>
      </c>
      <c r="K146" s="62">
        <v>1390</v>
      </c>
      <c r="L146" s="100" t="s">
        <v>628</v>
      </c>
      <c r="M146" s="5" t="s">
        <v>452</v>
      </c>
      <c r="N146" s="34" t="s">
        <v>464</v>
      </c>
      <c r="O146" s="5" t="s">
        <v>629</v>
      </c>
      <c r="P146" s="5" t="s">
        <v>597</v>
      </c>
      <c r="Q146" s="5" t="s">
        <v>630</v>
      </c>
      <c r="R146" s="5" t="s">
        <v>651</v>
      </c>
      <c r="S146" s="5" t="s">
        <v>632</v>
      </c>
      <c r="T146" s="5" t="s">
        <v>445</v>
      </c>
      <c r="U146" s="5"/>
      <c r="V146" s="5"/>
      <c r="W146" s="5"/>
      <c r="X146" s="5"/>
      <c r="Y146" s="5"/>
      <c r="Z146" s="5"/>
      <c r="AA146" s="5"/>
    </row>
    <row r="147" spans="4:27" customFormat="1" ht="14">
      <c r="D147" s="214" t="s">
        <v>383</v>
      </c>
      <c r="E147" s="212" t="str">
        <f>+VLOOKUP(F147,Resumen_Base!$B$6:$F$69,5,0)</f>
        <v>Electricity - Gas for Boats &amp; Vehicles</v>
      </c>
      <c r="F147" s="36" t="s">
        <v>60</v>
      </c>
      <c r="G147" s="5" t="s">
        <v>61</v>
      </c>
      <c r="H147" s="5" t="str">
        <f t="shared" si="2"/>
        <v>DEL5248</v>
      </c>
      <c r="I147" s="62">
        <v>181420</v>
      </c>
      <c r="J147" s="62">
        <v>126.86713286713299</v>
      </c>
      <c r="K147" s="62">
        <v>1430</v>
      </c>
      <c r="L147" s="100" t="s">
        <v>751</v>
      </c>
      <c r="M147" s="5" t="s">
        <v>452</v>
      </c>
      <c r="N147" s="34" t="s">
        <v>464</v>
      </c>
      <c r="O147" s="5" t="s">
        <v>752</v>
      </c>
      <c r="P147" s="5" t="s">
        <v>597</v>
      </c>
      <c r="Q147" s="5" t="s">
        <v>753</v>
      </c>
      <c r="R147" s="5" t="s">
        <v>651</v>
      </c>
      <c r="S147" s="5" t="s">
        <v>755</v>
      </c>
      <c r="T147" s="5" t="s">
        <v>445</v>
      </c>
      <c r="U147" s="5"/>
      <c r="V147" s="5"/>
      <c r="W147" s="5"/>
      <c r="X147" s="5"/>
      <c r="Y147" s="5"/>
      <c r="Z147" s="5"/>
      <c r="AA147" s="5"/>
    </row>
    <row r="148" spans="4:27" customFormat="1" ht="14">
      <c r="D148" s="214" t="s">
        <v>383</v>
      </c>
      <c r="E148" s="212" t="str">
        <f>+VLOOKUP(F148,Resumen_Base!$B$6:$F$69,5,0)</f>
        <v>Electricity - Gas for Boats &amp; Vehicles</v>
      </c>
      <c r="F148" s="36" t="s">
        <v>60</v>
      </c>
      <c r="G148" s="5" t="s">
        <v>61</v>
      </c>
      <c r="H148" s="5" t="str">
        <f t="shared" si="2"/>
        <v>DEL5248</v>
      </c>
      <c r="I148" s="62">
        <v>383620</v>
      </c>
      <c r="J148" s="62">
        <v>255.74666666666701</v>
      </c>
      <c r="K148" s="62">
        <v>1500</v>
      </c>
      <c r="L148" s="100" t="s">
        <v>858</v>
      </c>
      <c r="M148" s="5" t="s">
        <v>452</v>
      </c>
      <c r="N148" s="34" t="s">
        <v>464</v>
      </c>
      <c r="O148" s="5" t="s">
        <v>880</v>
      </c>
      <c r="P148" s="5" t="s">
        <v>597</v>
      </c>
      <c r="Q148" s="5" t="s">
        <v>881</v>
      </c>
      <c r="R148" s="5" t="s">
        <v>651</v>
      </c>
      <c r="S148" s="5" t="s">
        <v>882</v>
      </c>
      <c r="T148" s="5" t="s">
        <v>445</v>
      </c>
      <c r="U148" s="5"/>
      <c r="V148" s="5"/>
      <c r="W148" s="5"/>
      <c r="X148" s="5"/>
      <c r="Y148" s="5"/>
      <c r="Z148" s="5"/>
      <c r="AA148" s="5"/>
    </row>
    <row r="149" spans="4:27" customFormat="1" ht="14">
      <c r="D149" s="214" t="s">
        <v>383</v>
      </c>
      <c r="E149" s="212" t="str">
        <f>+VLOOKUP(F149,Resumen_Base!$B$6:$F$69,5,0)</f>
        <v>Electricity - Gas for Boats &amp; Vehicles</v>
      </c>
      <c r="F149" s="36" t="s">
        <v>60</v>
      </c>
      <c r="G149" s="5" t="s">
        <v>61</v>
      </c>
      <c r="H149" s="5" t="str">
        <f t="shared" si="2"/>
        <v>DEL5248</v>
      </c>
      <c r="I149" s="62">
        <v>84377</v>
      </c>
      <c r="J149" s="62">
        <v>59.420422535211301</v>
      </c>
      <c r="K149" s="62">
        <v>1420</v>
      </c>
      <c r="L149" s="100" t="s">
        <v>1030</v>
      </c>
      <c r="M149" s="5" t="s">
        <v>452</v>
      </c>
      <c r="N149" s="34" t="s">
        <v>464</v>
      </c>
      <c r="O149" s="5" t="s">
        <v>1031</v>
      </c>
      <c r="P149" s="5" t="s">
        <v>597</v>
      </c>
      <c r="Q149" s="5" t="s">
        <v>1032</v>
      </c>
      <c r="R149" s="5" t="s">
        <v>651</v>
      </c>
      <c r="S149" s="5" t="s">
        <v>1033</v>
      </c>
      <c r="T149" s="5" t="s">
        <v>445</v>
      </c>
      <c r="U149" s="5"/>
      <c r="V149" s="5"/>
      <c r="W149" s="5"/>
      <c r="X149" s="5"/>
      <c r="Y149" s="5"/>
      <c r="Z149" s="5"/>
      <c r="AA149" s="5"/>
    </row>
    <row r="150" spans="4:27" customFormat="1" ht="14">
      <c r="D150" s="214" t="s">
        <v>383</v>
      </c>
      <c r="E150" s="212" t="str">
        <f>+VLOOKUP(F150,Resumen_Base!$B$6:$F$69,5,0)</f>
        <v>Electricity - Gas for Boats &amp; Vehicles</v>
      </c>
      <c r="F150" s="36" t="s">
        <v>60</v>
      </c>
      <c r="G150" s="5" t="s">
        <v>61</v>
      </c>
      <c r="H150" s="5" t="str">
        <f t="shared" si="2"/>
        <v>DEL5248</v>
      </c>
      <c r="I150" s="62">
        <v>110062</v>
      </c>
      <c r="J150" s="62">
        <v>77.508450704225396</v>
      </c>
      <c r="K150" s="62">
        <v>1420</v>
      </c>
      <c r="L150" s="100" t="s">
        <v>1030</v>
      </c>
      <c r="M150" s="5" t="s">
        <v>452</v>
      </c>
      <c r="N150" s="34" t="s">
        <v>464</v>
      </c>
      <c r="O150" s="5" t="s">
        <v>1031</v>
      </c>
      <c r="P150" s="5" t="s">
        <v>597</v>
      </c>
      <c r="Q150" s="5" t="s">
        <v>1032</v>
      </c>
      <c r="R150" s="5" t="s">
        <v>651</v>
      </c>
      <c r="S150" s="5" t="s">
        <v>1033</v>
      </c>
      <c r="T150" s="5" t="s">
        <v>445</v>
      </c>
      <c r="U150" s="5"/>
      <c r="V150" s="5"/>
      <c r="W150" s="5"/>
      <c r="X150" s="5"/>
      <c r="Y150" s="5"/>
      <c r="Z150" s="5"/>
      <c r="AA150" s="5"/>
    </row>
    <row r="151" spans="4:27" customFormat="1" ht="14">
      <c r="D151" s="214" t="s">
        <v>383</v>
      </c>
      <c r="E151" s="212" t="str">
        <f>+VLOOKUP(F151,Resumen_Base!$B$6:$F$69,5,0)</f>
        <v>Electricity - Gas for Boats &amp; Vehicles</v>
      </c>
      <c r="F151" s="36" t="s">
        <v>60</v>
      </c>
      <c r="G151" s="5" t="s">
        <v>61</v>
      </c>
      <c r="H151" s="5" t="str">
        <f t="shared" si="2"/>
        <v>DEL5248</v>
      </c>
      <c r="I151" s="62">
        <v>196000</v>
      </c>
      <c r="J151" s="62">
        <v>138.02816901408499</v>
      </c>
      <c r="K151" s="62">
        <v>1420</v>
      </c>
      <c r="L151" s="100" t="s">
        <v>1030</v>
      </c>
      <c r="M151" s="5" t="s">
        <v>452</v>
      </c>
      <c r="N151" s="34" t="s">
        <v>464</v>
      </c>
      <c r="O151" s="5" t="s">
        <v>1031</v>
      </c>
      <c r="P151" s="5" t="s">
        <v>597</v>
      </c>
      <c r="Q151" s="5" t="s">
        <v>1032</v>
      </c>
      <c r="R151" s="5" t="s">
        <v>651</v>
      </c>
      <c r="S151" s="5" t="s">
        <v>1033</v>
      </c>
      <c r="T151" s="5" t="s">
        <v>445</v>
      </c>
      <c r="U151" s="5"/>
      <c r="V151" s="5"/>
      <c r="W151" s="5"/>
      <c r="X151" s="5"/>
      <c r="Y151" s="5"/>
      <c r="Z151" s="5"/>
      <c r="AA151" s="5"/>
    </row>
    <row r="152" spans="4:27" customFormat="1" ht="14">
      <c r="D152" s="214" t="s">
        <v>383</v>
      </c>
      <c r="E152" s="212" t="str">
        <f>+VLOOKUP(F152,Resumen_Base!$B$6:$F$69,5,0)</f>
        <v>Electricity - Gas for Boats &amp; Vehicles</v>
      </c>
      <c r="F152" s="36" t="s">
        <v>60</v>
      </c>
      <c r="G152" s="5" t="s">
        <v>61</v>
      </c>
      <c r="H152" s="5" t="str">
        <f t="shared" si="2"/>
        <v>DEL5248</v>
      </c>
      <c r="I152" s="62">
        <v>188200</v>
      </c>
      <c r="J152" s="62">
        <v>131.608391608392</v>
      </c>
      <c r="K152" s="62">
        <v>1430</v>
      </c>
      <c r="L152" s="100" t="s">
        <v>751</v>
      </c>
      <c r="M152" s="5" t="s">
        <v>452</v>
      </c>
      <c r="N152" s="34" t="s">
        <v>464</v>
      </c>
      <c r="O152" s="5" t="s">
        <v>752</v>
      </c>
      <c r="P152" s="5" t="s">
        <v>597</v>
      </c>
      <c r="Q152" s="5" t="s">
        <v>753</v>
      </c>
      <c r="R152" s="5" t="s">
        <v>757</v>
      </c>
      <c r="S152" s="5" t="s">
        <v>755</v>
      </c>
      <c r="T152" s="5" t="s">
        <v>445</v>
      </c>
      <c r="U152" s="5"/>
      <c r="V152" s="5"/>
      <c r="W152" s="5"/>
      <c r="X152" s="5"/>
      <c r="Y152" s="5"/>
      <c r="Z152" s="5"/>
      <c r="AA152" s="5"/>
    </row>
    <row r="153" spans="4:27" customFormat="1" ht="14">
      <c r="D153" s="214" t="s">
        <v>383</v>
      </c>
      <c r="E153" s="212" t="str">
        <f>+VLOOKUP(F153,Resumen_Base!$B$6:$F$69,5,0)</f>
        <v>Electricity - Gas for Boats &amp; Vehicles</v>
      </c>
      <c r="F153" s="36" t="s">
        <v>60</v>
      </c>
      <c r="G153" s="5" t="s">
        <v>61</v>
      </c>
      <c r="H153" s="5" t="str">
        <f t="shared" si="2"/>
        <v>DEL5248</v>
      </c>
      <c r="I153" s="62">
        <v>108179</v>
      </c>
      <c r="J153" s="62">
        <v>77.270714285714305</v>
      </c>
      <c r="K153" s="62">
        <v>1400</v>
      </c>
      <c r="L153" s="100" t="s">
        <v>834</v>
      </c>
      <c r="M153" s="5" t="s">
        <v>452</v>
      </c>
      <c r="N153" s="34" t="s">
        <v>464</v>
      </c>
      <c r="O153" s="5" t="s">
        <v>835</v>
      </c>
      <c r="P153" s="5" t="s">
        <v>597</v>
      </c>
      <c r="Q153" s="5" t="s">
        <v>836</v>
      </c>
      <c r="R153" s="5" t="s">
        <v>757</v>
      </c>
      <c r="S153" s="5" t="s">
        <v>838</v>
      </c>
      <c r="T153" s="5" t="s">
        <v>445</v>
      </c>
      <c r="U153" s="5"/>
      <c r="V153" s="5"/>
      <c r="W153" s="5"/>
      <c r="X153" s="5"/>
      <c r="Y153" s="5"/>
      <c r="Z153" s="5"/>
      <c r="AA153" s="5"/>
    </row>
    <row r="154" spans="4:27" customFormat="1" ht="14">
      <c r="D154" s="214" t="s">
        <v>383</v>
      </c>
      <c r="E154" s="212" t="str">
        <f>+VLOOKUP(F154,Resumen_Base!$B$6:$F$69,5,0)</f>
        <v>Electricity - Gas for Boats &amp; Vehicles</v>
      </c>
      <c r="F154" s="36" t="s">
        <v>60</v>
      </c>
      <c r="G154" s="5" t="s">
        <v>61</v>
      </c>
      <c r="H154" s="5" t="str">
        <f t="shared" si="2"/>
        <v>DEL5248</v>
      </c>
      <c r="I154" s="62">
        <v>227186</v>
      </c>
      <c r="J154" s="62">
        <v>162.275714285714</v>
      </c>
      <c r="K154" s="62">
        <v>1400</v>
      </c>
      <c r="L154" s="100" t="s">
        <v>834</v>
      </c>
      <c r="M154" s="5" t="s">
        <v>452</v>
      </c>
      <c r="N154" s="34" t="s">
        <v>464</v>
      </c>
      <c r="O154" s="5" t="s">
        <v>835</v>
      </c>
      <c r="P154" s="5" t="s">
        <v>597</v>
      </c>
      <c r="Q154" s="5" t="s">
        <v>836</v>
      </c>
      <c r="R154" s="5" t="s">
        <v>757</v>
      </c>
      <c r="S154" s="5" t="s">
        <v>838</v>
      </c>
      <c r="T154" s="5" t="s">
        <v>445</v>
      </c>
      <c r="U154" s="5"/>
      <c r="V154" s="5"/>
      <c r="W154" s="5"/>
      <c r="X154" s="5"/>
      <c r="Y154" s="5"/>
      <c r="Z154" s="5"/>
      <c r="AA154" s="5"/>
    </row>
    <row r="155" spans="4:27" customFormat="1" ht="14">
      <c r="D155" s="214" t="s">
        <v>383</v>
      </c>
      <c r="E155" s="212" t="str">
        <f>+VLOOKUP(F155,Resumen_Base!$B$6:$F$69,5,0)</f>
        <v>Electricity - Gas for Boats &amp; Vehicles</v>
      </c>
      <c r="F155" s="36" t="s">
        <v>60</v>
      </c>
      <c r="G155" s="5" t="s">
        <v>61</v>
      </c>
      <c r="H155" s="5" t="str">
        <f t="shared" si="2"/>
        <v>DEL5248</v>
      </c>
      <c r="I155" s="62">
        <v>200000</v>
      </c>
      <c r="J155" s="62">
        <v>136.98630136986301</v>
      </c>
      <c r="K155" s="62">
        <v>1460</v>
      </c>
      <c r="L155" s="100" t="s">
        <v>914</v>
      </c>
      <c r="M155" s="5" t="s">
        <v>452</v>
      </c>
      <c r="N155" s="34" t="s">
        <v>464</v>
      </c>
      <c r="O155" s="5" t="s">
        <v>935</v>
      </c>
      <c r="P155" s="5" t="s">
        <v>597</v>
      </c>
      <c r="Q155" s="5" t="s">
        <v>936</v>
      </c>
      <c r="R155" s="5" t="s">
        <v>943</v>
      </c>
      <c r="S155" s="5" t="s">
        <v>938</v>
      </c>
      <c r="T155" s="5" t="s">
        <v>445</v>
      </c>
      <c r="U155" s="5"/>
      <c r="V155" s="5"/>
      <c r="W155" s="5"/>
      <c r="X155" s="5"/>
      <c r="Y155" s="5"/>
      <c r="Z155" s="5"/>
      <c r="AA155" s="5"/>
    </row>
    <row r="156" spans="4:27" customFormat="1" ht="14">
      <c r="D156" s="214" t="s">
        <v>383</v>
      </c>
      <c r="E156" s="212" t="str">
        <f>+VLOOKUP(F156,Resumen_Base!$B$6:$F$69,5,0)</f>
        <v>Electricity - Gas for Boats &amp; Vehicles</v>
      </c>
      <c r="F156" s="36" t="s">
        <v>60</v>
      </c>
      <c r="G156" s="5" t="s">
        <v>61</v>
      </c>
      <c r="H156" s="5" t="str">
        <f t="shared" si="2"/>
        <v>DEL5248</v>
      </c>
      <c r="I156" s="62">
        <v>400000</v>
      </c>
      <c r="J156" s="62">
        <v>266.66666666666703</v>
      </c>
      <c r="K156" s="62">
        <v>1500</v>
      </c>
      <c r="L156" s="100" t="s">
        <v>854</v>
      </c>
      <c r="M156" s="5" t="s">
        <v>452</v>
      </c>
      <c r="N156" s="34" t="s">
        <v>464</v>
      </c>
      <c r="O156" s="5" t="s">
        <v>870</v>
      </c>
      <c r="P156" s="5" t="s">
        <v>597</v>
      </c>
      <c r="Q156" s="5" t="s">
        <v>871</v>
      </c>
      <c r="R156" s="5" t="s">
        <v>875</v>
      </c>
      <c r="S156" s="5" t="s">
        <v>873</v>
      </c>
      <c r="T156" s="5" t="s">
        <v>445</v>
      </c>
      <c r="U156" s="5"/>
      <c r="V156" s="5"/>
      <c r="W156" s="5"/>
      <c r="X156" s="5"/>
      <c r="Y156" s="5"/>
      <c r="Z156" s="5"/>
      <c r="AA156" s="5"/>
    </row>
    <row r="157" spans="4:27" customFormat="1" ht="14">
      <c r="D157" s="214" t="s">
        <v>383</v>
      </c>
      <c r="E157" s="212" t="str">
        <f>+VLOOKUP(F157,Resumen_Base!$B$6:$F$69,5,0)</f>
        <v>Propane</v>
      </c>
      <c r="F157" s="36" t="s">
        <v>37</v>
      </c>
      <c r="G157" s="5" t="s">
        <v>36</v>
      </c>
      <c r="H157" s="5" t="str">
        <f t="shared" si="2"/>
        <v>DEL5249</v>
      </c>
      <c r="I157" s="62">
        <v>60900</v>
      </c>
      <c r="J157" s="62">
        <v>40.6</v>
      </c>
      <c r="K157" s="62">
        <v>1500</v>
      </c>
      <c r="L157" s="100" t="s">
        <v>858</v>
      </c>
      <c r="M157" s="5" t="s">
        <v>452</v>
      </c>
      <c r="N157" s="34" t="s">
        <v>464</v>
      </c>
      <c r="O157" s="5" t="s">
        <v>880</v>
      </c>
      <c r="P157" s="5" t="s">
        <v>597</v>
      </c>
      <c r="Q157" s="5" t="s">
        <v>881</v>
      </c>
      <c r="R157" s="5" t="s">
        <v>883</v>
      </c>
      <c r="S157" s="5" t="s">
        <v>882</v>
      </c>
      <c r="T157" s="5" t="s">
        <v>445</v>
      </c>
      <c r="U157" s="5"/>
      <c r="V157" s="5"/>
      <c r="W157" s="5"/>
      <c r="X157" s="5"/>
      <c r="Y157" s="5"/>
      <c r="Z157" s="5"/>
      <c r="AA157" s="5"/>
    </row>
    <row r="158" spans="4:27" customFormat="1" ht="14">
      <c r="D158" s="214" t="s">
        <v>383</v>
      </c>
      <c r="E158" s="212" t="str">
        <f>+VLOOKUP(F158,Resumen_Base!$B$6:$F$69,5,0)</f>
        <v>Propane</v>
      </c>
      <c r="F158" s="36" t="s">
        <v>37</v>
      </c>
      <c r="G158" s="5" t="s">
        <v>36</v>
      </c>
      <c r="H158" s="5" t="str">
        <f t="shared" si="2"/>
        <v>DEL5249</v>
      </c>
      <c r="I158" s="62">
        <v>233800</v>
      </c>
      <c r="J158" s="62">
        <v>163.49650349650301</v>
      </c>
      <c r="K158" s="62">
        <v>1430</v>
      </c>
      <c r="L158" s="100" t="s">
        <v>751</v>
      </c>
      <c r="M158" s="5" t="s">
        <v>452</v>
      </c>
      <c r="N158" s="34" t="s">
        <v>464</v>
      </c>
      <c r="O158" s="5" t="s">
        <v>752</v>
      </c>
      <c r="P158" s="5" t="s">
        <v>597</v>
      </c>
      <c r="Q158" s="5" t="s">
        <v>753</v>
      </c>
      <c r="R158" s="5" t="s">
        <v>759</v>
      </c>
      <c r="S158" s="5" t="s">
        <v>755</v>
      </c>
      <c r="T158" s="5" t="s">
        <v>445</v>
      </c>
      <c r="U158" s="5"/>
      <c r="V158" s="5"/>
      <c r="W158" s="5"/>
      <c r="X158" s="5"/>
      <c r="Y158" s="5"/>
      <c r="Z158" s="5"/>
      <c r="AA158" s="5"/>
    </row>
    <row r="159" spans="4:27" customFormat="1" ht="14">
      <c r="D159" s="214" t="s">
        <v>383</v>
      </c>
      <c r="E159" s="212" t="str">
        <f>+VLOOKUP(F159,Resumen_Base!$B$6:$F$69,5,0)</f>
        <v>Propane</v>
      </c>
      <c r="F159" s="36" t="s">
        <v>37</v>
      </c>
      <c r="G159" s="5" t="s">
        <v>36</v>
      </c>
      <c r="H159" s="5" t="str">
        <f t="shared" si="2"/>
        <v>DEL5249</v>
      </c>
      <c r="I159" s="62">
        <v>219600</v>
      </c>
      <c r="J159" s="62">
        <v>157.98561151079099</v>
      </c>
      <c r="K159" s="62">
        <v>1390</v>
      </c>
      <c r="L159" s="100" t="s">
        <v>628</v>
      </c>
      <c r="M159" s="5" t="s">
        <v>452</v>
      </c>
      <c r="N159" s="34" t="s">
        <v>464</v>
      </c>
      <c r="O159" s="5" t="s">
        <v>1019</v>
      </c>
      <c r="P159" s="5" t="s">
        <v>597</v>
      </c>
      <c r="Q159" s="5" t="s">
        <v>1020</v>
      </c>
      <c r="R159" s="5" t="s">
        <v>759</v>
      </c>
      <c r="S159" s="5" t="s">
        <v>1022</v>
      </c>
      <c r="T159" s="5" t="s">
        <v>445</v>
      </c>
      <c r="U159" s="5"/>
      <c r="V159" s="5"/>
      <c r="W159" s="5"/>
      <c r="X159" s="5"/>
      <c r="Y159" s="5"/>
      <c r="Z159" s="5"/>
      <c r="AA159" s="5"/>
    </row>
    <row r="160" spans="4:27" customFormat="1" ht="14">
      <c r="D160" s="214" t="s">
        <v>383</v>
      </c>
      <c r="E160" s="212" t="str">
        <f>+VLOOKUP(F160,Resumen_Base!$B$6:$F$69,5,0)</f>
        <v>Propane</v>
      </c>
      <c r="F160" s="36" t="s">
        <v>37</v>
      </c>
      <c r="G160" s="5" t="s">
        <v>36</v>
      </c>
      <c r="H160" s="5" t="str">
        <f t="shared" si="2"/>
        <v>DEL5249</v>
      </c>
      <c r="I160" s="62">
        <v>99200</v>
      </c>
      <c r="J160" s="62">
        <v>70.857142857142904</v>
      </c>
      <c r="K160" s="62">
        <v>1400</v>
      </c>
      <c r="L160" s="100" t="s">
        <v>834</v>
      </c>
      <c r="M160" s="5" t="s">
        <v>452</v>
      </c>
      <c r="N160" s="34" t="s">
        <v>464</v>
      </c>
      <c r="O160" s="5" t="s">
        <v>835</v>
      </c>
      <c r="P160" s="5" t="s">
        <v>597</v>
      </c>
      <c r="Q160" s="5" t="s">
        <v>836</v>
      </c>
      <c r="R160" s="5" t="s">
        <v>840</v>
      </c>
      <c r="S160" s="5" t="s">
        <v>838</v>
      </c>
      <c r="T160" s="5" t="s">
        <v>445</v>
      </c>
      <c r="U160" s="5"/>
      <c r="V160" s="5"/>
      <c r="W160" s="5"/>
      <c r="X160" s="5"/>
      <c r="Y160" s="5"/>
      <c r="Z160" s="5"/>
      <c r="AA160" s="5"/>
    </row>
    <row r="161" spans="1:27" customFormat="1" ht="14">
      <c r="D161" s="214" t="s">
        <v>383</v>
      </c>
      <c r="E161" s="212" t="str">
        <f>+VLOOKUP(F161,Resumen_Base!$B$6:$F$69,5,0)</f>
        <v>Propane</v>
      </c>
      <c r="F161" s="36" t="s">
        <v>37</v>
      </c>
      <c r="G161" s="5" t="s">
        <v>36</v>
      </c>
      <c r="H161" s="5" t="str">
        <f t="shared" si="2"/>
        <v>DEL5249</v>
      </c>
      <c r="I161" s="62">
        <v>71400</v>
      </c>
      <c r="J161" s="62">
        <v>51.366906474820098</v>
      </c>
      <c r="K161" s="62">
        <v>1390</v>
      </c>
      <c r="L161" s="100" t="s">
        <v>628</v>
      </c>
      <c r="M161" s="5" t="s">
        <v>452</v>
      </c>
      <c r="N161" s="34" t="s">
        <v>464</v>
      </c>
      <c r="O161" s="5" t="s">
        <v>629</v>
      </c>
      <c r="P161" s="5" t="s">
        <v>597</v>
      </c>
      <c r="Q161" s="5" t="s">
        <v>630</v>
      </c>
      <c r="R161" s="5" t="s">
        <v>652</v>
      </c>
      <c r="S161" s="5" t="s">
        <v>632</v>
      </c>
      <c r="T161" s="5" t="s">
        <v>445</v>
      </c>
      <c r="U161" s="5"/>
      <c r="V161" s="5"/>
      <c r="W161" s="5"/>
      <c r="X161" s="5"/>
      <c r="Y161" s="5"/>
      <c r="Z161" s="5"/>
      <c r="AA161" s="5"/>
    </row>
    <row r="162" spans="1:27" customFormat="1" ht="14">
      <c r="D162" s="214" t="s">
        <v>383</v>
      </c>
      <c r="E162" s="212" t="str">
        <f>+VLOOKUP(F162,Resumen_Base!$B$6:$F$69,5,0)</f>
        <v>Propane</v>
      </c>
      <c r="F162" s="36" t="s">
        <v>37</v>
      </c>
      <c r="G162" s="5" t="s">
        <v>36</v>
      </c>
      <c r="H162" s="5" t="str">
        <f t="shared" si="2"/>
        <v>DEL5249</v>
      </c>
      <c r="I162" s="62">
        <v>207900</v>
      </c>
      <c r="J162" s="62">
        <v>146.408450704225</v>
      </c>
      <c r="K162" s="62">
        <v>1420</v>
      </c>
      <c r="L162" s="100" t="s">
        <v>1030</v>
      </c>
      <c r="M162" s="5" t="s">
        <v>452</v>
      </c>
      <c r="N162" s="34" t="s">
        <v>464</v>
      </c>
      <c r="O162" s="5" t="s">
        <v>1031</v>
      </c>
      <c r="P162" s="5" t="s">
        <v>597</v>
      </c>
      <c r="Q162" s="5" t="s">
        <v>1032</v>
      </c>
      <c r="R162" s="5" t="s">
        <v>652</v>
      </c>
      <c r="S162" s="5" t="s">
        <v>1033</v>
      </c>
      <c r="T162" s="5" t="s">
        <v>445</v>
      </c>
      <c r="U162" s="5"/>
      <c r="V162" s="5"/>
      <c r="W162" s="5"/>
      <c r="X162" s="5"/>
      <c r="Y162" s="5"/>
      <c r="Z162" s="5"/>
      <c r="AA162" s="5"/>
    </row>
    <row r="163" spans="1:27" customFormat="1" ht="14">
      <c r="D163" s="214" t="s">
        <v>383</v>
      </c>
      <c r="E163" s="212" t="str">
        <f>+VLOOKUP(F163,Resumen_Base!$B$6:$F$69,5,0)</f>
        <v>Propane</v>
      </c>
      <c r="F163" s="36" t="s">
        <v>37</v>
      </c>
      <c r="G163" s="5" t="s">
        <v>36</v>
      </c>
      <c r="H163" s="5" t="str">
        <f t="shared" si="2"/>
        <v>DEL5249</v>
      </c>
      <c r="I163" s="62">
        <v>52000</v>
      </c>
      <c r="J163" s="62">
        <v>36.619718309859202</v>
      </c>
      <c r="K163" s="62">
        <v>1420</v>
      </c>
      <c r="L163" s="100" t="s">
        <v>1030</v>
      </c>
      <c r="M163" s="5" t="s">
        <v>452</v>
      </c>
      <c r="N163" s="34" t="s">
        <v>464</v>
      </c>
      <c r="O163" s="5" t="s">
        <v>1031</v>
      </c>
      <c r="P163" s="5" t="s">
        <v>597</v>
      </c>
      <c r="Q163" s="5" t="s">
        <v>1032</v>
      </c>
      <c r="R163" s="5" t="s">
        <v>1061</v>
      </c>
      <c r="S163" s="5" t="s">
        <v>1033</v>
      </c>
      <c r="T163" s="5" t="s">
        <v>445</v>
      </c>
      <c r="U163" s="5"/>
      <c r="V163" s="5"/>
      <c r="W163" s="5"/>
      <c r="X163" s="5"/>
      <c r="Y163" s="5"/>
      <c r="Z163" s="5"/>
      <c r="AA163" s="5"/>
    </row>
    <row r="164" spans="1:27" customFormat="1" ht="14">
      <c r="A164" s="300">
        <v>5250</v>
      </c>
      <c r="B164">
        <v>5257</v>
      </c>
      <c r="D164" s="214" t="s">
        <v>383</v>
      </c>
      <c r="E164" s="212" t="str">
        <f>+VLOOKUP(F164,Resumen_Base!$B$6:$F$69,5,0)</f>
        <v>Food &amp; Wine</v>
      </c>
      <c r="F164" s="179" t="s">
        <v>35</v>
      </c>
      <c r="G164" s="168" t="s">
        <v>232</v>
      </c>
      <c r="H164" s="5" t="str">
        <f t="shared" si="2"/>
        <v>DEL5250</v>
      </c>
      <c r="I164" s="62">
        <v>45000</v>
      </c>
      <c r="J164" s="62">
        <v>31.914893617021299</v>
      </c>
      <c r="K164" s="62">
        <v>1410</v>
      </c>
      <c r="L164" s="100" t="s">
        <v>678</v>
      </c>
      <c r="M164" s="5" t="s">
        <v>452</v>
      </c>
      <c r="N164" s="34" t="s">
        <v>464</v>
      </c>
      <c r="O164" s="5" t="s">
        <v>683</v>
      </c>
      <c r="P164" s="5" t="s">
        <v>597</v>
      </c>
      <c r="Q164" s="5" t="s">
        <v>684</v>
      </c>
      <c r="R164" s="5" t="s">
        <v>707</v>
      </c>
      <c r="S164" s="5" t="s">
        <v>685</v>
      </c>
      <c r="T164" s="5" t="s">
        <v>445</v>
      </c>
      <c r="U164" s="5"/>
      <c r="V164" s="5"/>
      <c r="W164" s="5"/>
      <c r="X164" s="5"/>
      <c r="Y164" s="5"/>
      <c r="Z164" s="5"/>
      <c r="AA164" s="5"/>
    </row>
    <row r="165" spans="1:27" customFormat="1" ht="14">
      <c r="D165" s="214" t="s">
        <v>383</v>
      </c>
      <c r="E165" s="212" t="str">
        <f>+VLOOKUP(F165,Resumen_Base!$B$6:$F$69,5,0)</f>
        <v>Food &amp; Wine</v>
      </c>
      <c r="F165" s="36" t="s">
        <v>35</v>
      </c>
      <c r="G165" s="5" t="s">
        <v>34</v>
      </c>
      <c r="H165" s="5" t="str">
        <f t="shared" si="2"/>
        <v>DEL5250</v>
      </c>
      <c r="I165" s="62">
        <v>220200</v>
      </c>
      <c r="J165" s="62">
        <v>158.41726618704999</v>
      </c>
      <c r="K165" s="62">
        <v>1390</v>
      </c>
      <c r="L165" s="100" t="s">
        <v>628</v>
      </c>
      <c r="M165" s="5" t="s">
        <v>452</v>
      </c>
      <c r="N165" s="34" t="s">
        <v>464</v>
      </c>
      <c r="O165" s="5" t="s">
        <v>1019</v>
      </c>
      <c r="P165" s="5" t="s">
        <v>597</v>
      </c>
      <c r="Q165" s="5" t="s">
        <v>1020</v>
      </c>
      <c r="R165" s="5" t="s">
        <v>1028</v>
      </c>
      <c r="S165" s="5" t="s">
        <v>1022</v>
      </c>
      <c r="T165" s="5" t="s">
        <v>445</v>
      </c>
      <c r="U165" s="5"/>
      <c r="V165" s="5"/>
      <c r="W165" s="5"/>
      <c r="X165" s="5"/>
      <c r="Y165" s="5"/>
      <c r="Z165" s="5"/>
      <c r="AA165" s="5"/>
    </row>
    <row r="166" spans="1:27" customFormat="1" ht="14">
      <c r="D166" s="214" t="s">
        <v>383</v>
      </c>
      <c r="E166" s="212" t="str">
        <f>+VLOOKUP(F166,Resumen_Base!$B$6:$F$69,5,0)</f>
        <v>Food &amp; Wine</v>
      </c>
      <c r="F166" s="36" t="s">
        <v>35</v>
      </c>
      <c r="G166" s="5" t="s">
        <v>34</v>
      </c>
      <c r="H166" s="5" t="str">
        <f t="shared" si="2"/>
        <v>DEL5250</v>
      </c>
      <c r="I166" s="62">
        <v>19000</v>
      </c>
      <c r="J166" s="62">
        <v>13.6690647482014</v>
      </c>
      <c r="K166" s="62">
        <v>1390</v>
      </c>
      <c r="L166" s="100" t="s">
        <v>628</v>
      </c>
      <c r="M166" s="5" t="s">
        <v>452</v>
      </c>
      <c r="N166" s="34" t="s">
        <v>464</v>
      </c>
      <c r="O166" s="5" t="s">
        <v>629</v>
      </c>
      <c r="P166" s="5" t="s">
        <v>597</v>
      </c>
      <c r="Q166" s="5" t="s">
        <v>630</v>
      </c>
      <c r="R166" s="5" t="s">
        <v>665</v>
      </c>
      <c r="S166" s="5" t="s">
        <v>632</v>
      </c>
      <c r="T166" s="5" t="s">
        <v>445</v>
      </c>
      <c r="U166" s="5"/>
      <c r="V166" s="5"/>
      <c r="W166" s="5"/>
      <c r="X166" s="5"/>
      <c r="Y166" s="5"/>
      <c r="Z166" s="5"/>
      <c r="AA166" s="5"/>
    </row>
    <row r="167" spans="1:27" customFormat="1" ht="14">
      <c r="D167" s="214" t="s">
        <v>383</v>
      </c>
      <c r="E167" s="212" t="str">
        <f>+VLOOKUP(F167,Resumen_Base!$B$6:$F$69,5,0)</f>
        <v>Food &amp; Wine</v>
      </c>
      <c r="F167" s="36" t="s">
        <v>35</v>
      </c>
      <c r="G167" s="5" t="s">
        <v>34</v>
      </c>
      <c r="H167" s="5" t="str">
        <f t="shared" si="2"/>
        <v>DEL5250</v>
      </c>
      <c r="I167" s="62">
        <v>4000</v>
      </c>
      <c r="J167" s="62">
        <v>2.8776978417266199</v>
      </c>
      <c r="K167" s="62">
        <v>1390</v>
      </c>
      <c r="L167" s="100" t="s">
        <v>628</v>
      </c>
      <c r="M167" s="5" t="s">
        <v>452</v>
      </c>
      <c r="N167" s="34" t="s">
        <v>464</v>
      </c>
      <c r="O167" s="5" t="s">
        <v>629</v>
      </c>
      <c r="P167" s="5" t="s">
        <v>597</v>
      </c>
      <c r="Q167" s="5" t="s">
        <v>630</v>
      </c>
      <c r="R167" s="5" t="s">
        <v>636</v>
      </c>
      <c r="S167" s="5" t="s">
        <v>632</v>
      </c>
      <c r="T167" s="5" t="s">
        <v>445</v>
      </c>
      <c r="U167" s="5"/>
      <c r="V167" s="5"/>
      <c r="W167" s="5"/>
      <c r="X167" s="5"/>
      <c r="Y167" s="5"/>
      <c r="Z167" s="5"/>
      <c r="AA167" s="5"/>
    </row>
    <row r="168" spans="1:27" customFormat="1" ht="14">
      <c r="D168" s="214" t="s">
        <v>383</v>
      </c>
      <c r="E168" s="212" t="str">
        <f>+VLOOKUP(F168,Resumen_Base!$B$6:$F$69,5,0)</f>
        <v>Food &amp; Wine</v>
      </c>
      <c r="F168" s="36" t="s">
        <v>35</v>
      </c>
      <c r="G168" s="5" t="s">
        <v>34</v>
      </c>
      <c r="H168" s="5" t="str">
        <f t="shared" si="2"/>
        <v>DEL5250</v>
      </c>
      <c r="I168" s="62">
        <v>31400</v>
      </c>
      <c r="J168" s="62">
        <v>22.589928057554001</v>
      </c>
      <c r="K168" s="62">
        <v>1390</v>
      </c>
      <c r="L168" s="100" t="s">
        <v>628</v>
      </c>
      <c r="M168" s="5" t="s">
        <v>452</v>
      </c>
      <c r="N168" s="34" t="s">
        <v>464</v>
      </c>
      <c r="O168" s="5" t="s">
        <v>629</v>
      </c>
      <c r="P168" s="5" t="s">
        <v>597</v>
      </c>
      <c r="Q168" s="5" t="s">
        <v>630</v>
      </c>
      <c r="R168" s="5" t="s">
        <v>636</v>
      </c>
      <c r="S168" s="5" t="s">
        <v>632</v>
      </c>
      <c r="T168" s="5" t="s">
        <v>445</v>
      </c>
      <c r="U168" s="5"/>
      <c r="V168" s="5"/>
      <c r="W168" s="5"/>
      <c r="X168" s="5"/>
      <c r="Y168" s="5"/>
      <c r="Z168" s="5"/>
      <c r="AA168" s="5"/>
    </row>
    <row r="169" spans="1:27" customFormat="1" ht="14">
      <c r="D169" s="214" t="s">
        <v>383</v>
      </c>
      <c r="E169" s="212" t="str">
        <f>+VLOOKUP(F169,Resumen_Base!$B$6:$F$69,5,0)</f>
        <v>Food &amp; Wine</v>
      </c>
      <c r="F169" s="36" t="s">
        <v>35</v>
      </c>
      <c r="G169" s="5" t="s">
        <v>34</v>
      </c>
      <c r="H169" s="5" t="str">
        <f t="shared" si="2"/>
        <v>DEL5250</v>
      </c>
      <c r="I169" s="62">
        <v>1300</v>
      </c>
      <c r="J169" s="62">
        <v>0.93525179856115104</v>
      </c>
      <c r="K169" s="62">
        <v>1390</v>
      </c>
      <c r="L169" s="100" t="s">
        <v>628</v>
      </c>
      <c r="M169" s="5" t="s">
        <v>452</v>
      </c>
      <c r="N169" s="34" t="s">
        <v>464</v>
      </c>
      <c r="O169" s="5" t="s">
        <v>629</v>
      </c>
      <c r="P169" s="5" t="s">
        <v>597</v>
      </c>
      <c r="Q169" s="5" t="s">
        <v>630</v>
      </c>
      <c r="R169" s="5" t="s">
        <v>631</v>
      </c>
      <c r="S169" s="5" t="s">
        <v>632</v>
      </c>
      <c r="T169" s="5" t="s">
        <v>445</v>
      </c>
      <c r="U169" s="5"/>
      <c r="V169" s="5"/>
      <c r="W169" s="5"/>
      <c r="X169" s="5"/>
      <c r="Y169" s="5"/>
      <c r="Z169" s="5"/>
      <c r="AA169" s="5"/>
    </row>
    <row r="170" spans="1:27" customFormat="1" ht="14">
      <c r="D170" s="214" t="s">
        <v>383</v>
      </c>
      <c r="E170" s="212" t="str">
        <f>+VLOOKUP(F170,Resumen_Base!$B$6:$F$69,5,0)</f>
        <v>Food &amp; Wine</v>
      </c>
      <c r="F170" s="36" t="s">
        <v>35</v>
      </c>
      <c r="G170" s="5" t="s">
        <v>34</v>
      </c>
      <c r="H170" s="5" t="str">
        <f t="shared" si="2"/>
        <v>DEL5250</v>
      </c>
      <c r="I170" s="62">
        <v>522400</v>
      </c>
      <c r="J170" s="62">
        <v>370.49645390070901</v>
      </c>
      <c r="K170" s="62">
        <v>1410</v>
      </c>
      <c r="L170" s="100" t="s">
        <v>678</v>
      </c>
      <c r="M170" s="5" t="s">
        <v>452</v>
      </c>
      <c r="N170" s="34" t="s">
        <v>464</v>
      </c>
      <c r="O170" s="5" t="s">
        <v>683</v>
      </c>
      <c r="P170" s="5" t="s">
        <v>597</v>
      </c>
      <c r="Q170" s="5" t="s">
        <v>684</v>
      </c>
      <c r="R170" s="5" t="s">
        <v>691</v>
      </c>
      <c r="S170" s="5" t="s">
        <v>685</v>
      </c>
      <c r="T170" s="5" t="s">
        <v>445</v>
      </c>
      <c r="U170" s="5"/>
      <c r="V170" s="5"/>
      <c r="W170" s="5"/>
      <c r="X170" s="5"/>
      <c r="Y170" s="5"/>
      <c r="Z170" s="5"/>
      <c r="AA170" s="5"/>
    </row>
    <row r="171" spans="1:27" customFormat="1" ht="14">
      <c r="D171" s="214" t="s">
        <v>383</v>
      </c>
      <c r="E171" s="212" t="str">
        <f>+VLOOKUP(F171,Resumen_Base!$B$6:$F$69,5,0)</f>
        <v>Food &amp; Wine</v>
      </c>
      <c r="F171" s="36" t="s">
        <v>35</v>
      </c>
      <c r="G171" s="5" t="s">
        <v>34</v>
      </c>
      <c r="H171" s="5" t="str">
        <f t="shared" si="2"/>
        <v>DEL5250</v>
      </c>
      <c r="I171" s="62">
        <v>35000</v>
      </c>
      <c r="J171" s="62">
        <v>25</v>
      </c>
      <c r="K171" s="62">
        <v>1400</v>
      </c>
      <c r="L171" s="100" t="s">
        <v>834</v>
      </c>
      <c r="M171" s="5" t="s">
        <v>452</v>
      </c>
      <c r="N171" s="34" t="s">
        <v>464</v>
      </c>
      <c r="O171" s="5" t="s">
        <v>835</v>
      </c>
      <c r="P171" s="5" t="s">
        <v>597</v>
      </c>
      <c r="Q171" s="5" t="s">
        <v>836</v>
      </c>
      <c r="R171" s="5" t="s">
        <v>837</v>
      </c>
      <c r="S171" s="5" t="s">
        <v>838</v>
      </c>
      <c r="T171" s="5" t="s">
        <v>445</v>
      </c>
      <c r="U171" s="5"/>
      <c r="V171" s="5"/>
      <c r="W171" s="5"/>
      <c r="X171" s="5"/>
      <c r="Y171" s="5"/>
      <c r="Z171" s="5"/>
      <c r="AA171" s="5"/>
    </row>
    <row r="172" spans="1:27" customFormat="1" ht="14">
      <c r="D172" s="214" t="s">
        <v>383</v>
      </c>
      <c r="E172" s="212" t="str">
        <f>+VLOOKUP(F172,Resumen_Base!$B$6:$F$69,5,0)</f>
        <v>Food &amp; Wine</v>
      </c>
      <c r="F172" s="36" t="s">
        <v>35</v>
      </c>
      <c r="G172" s="5" t="s">
        <v>34</v>
      </c>
      <c r="H172" s="5" t="str">
        <f t="shared" si="2"/>
        <v>DEL5250</v>
      </c>
      <c r="I172" s="62">
        <v>11400</v>
      </c>
      <c r="J172" s="62">
        <v>7.6</v>
      </c>
      <c r="K172" s="62">
        <v>1500</v>
      </c>
      <c r="L172" s="100" t="s">
        <v>858</v>
      </c>
      <c r="M172" s="5" t="s">
        <v>452</v>
      </c>
      <c r="N172" s="34" t="s">
        <v>464</v>
      </c>
      <c r="O172" s="5" t="s">
        <v>880</v>
      </c>
      <c r="P172" s="5" t="s">
        <v>597</v>
      </c>
      <c r="Q172" s="5" t="s">
        <v>881</v>
      </c>
      <c r="R172" s="5" t="s">
        <v>837</v>
      </c>
      <c r="S172" s="5" t="s">
        <v>882</v>
      </c>
      <c r="T172" s="5" t="s">
        <v>445</v>
      </c>
      <c r="U172" s="5"/>
      <c r="V172" s="5"/>
      <c r="W172" s="5"/>
      <c r="X172" s="5"/>
      <c r="Y172" s="5"/>
      <c r="Z172" s="5"/>
      <c r="AA172" s="5"/>
    </row>
    <row r="173" spans="1:27" customFormat="1" ht="14">
      <c r="D173" s="214" t="s">
        <v>383</v>
      </c>
      <c r="E173" s="212" t="str">
        <f>+VLOOKUP(F173,Resumen_Base!$B$6:$F$69,5,0)</f>
        <v>Food &amp; Wine</v>
      </c>
      <c r="F173" s="36" t="s">
        <v>35</v>
      </c>
      <c r="G173" s="5" t="s">
        <v>34</v>
      </c>
      <c r="H173" s="5" t="str">
        <f t="shared" si="2"/>
        <v>DEL5250</v>
      </c>
      <c r="I173" s="62">
        <v>15400</v>
      </c>
      <c r="J173" s="62">
        <v>10.845070422535199</v>
      </c>
      <c r="K173" s="62">
        <v>1420</v>
      </c>
      <c r="L173" s="100" t="s">
        <v>1030</v>
      </c>
      <c r="M173" s="5" t="s">
        <v>452</v>
      </c>
      <c r="N173" s="34" t="s">
        <v>464</v>
      </c>
      <c r="O173" s="5" t="s">
        <v>1031</v>
      </c>
      <c r="P173" s="5" t="s">
        <v>597</v>
      </c>
      <c r="Q173" s="5" t="s">
        <v>1032</v>
      </c>
      <c r="R173" s="5" t="s">
        <v>1063</v>
      </c>
      <c r="S173" s="5" t="s">
        <v>1033</v>
      </c>
      <c r="T173" s="5" t="s">
        <v>445</v>
      </c>
      <c r="U173" s="5"/>
      <c r="V173" s="5"/>
      <c r="W173" s="5"/>
      <c r="X173" s="5"/>
      <c r="Y173" s="5"/>
      <c r="Z173" s="5"/>
      <c r="AA173" s="5"/>
    </row>
    <row r="174" spans="1:27" customFormat="1" ht="14">
      <c r="D174" s="214" t="s">
        <v>383</v>
      </c>
      <c r="E174" s="212" t="str">
        <f>+VLOOKUP(F174,Resumen_Base!$B$6:$F$69,5,0)</f>
        <v>Food &amp; Wine</v>
      </c>
      <c r="F174" s="36" t="s">
        <v>35</v>
      </c>
      <c r="G174" s="5" t="s">
        <v>34</v>
      </c>
      <c r="H174" s="5" t="str">
        <f t="shared" si="2"/>
        <v>DEL5250</v>
      </c>
      <c r="I174" s="62">
        <v>18000</v>
      </c>
      <c r="J174" s="62">
        <v>12.6760563380282</v>
      </c>
      <c r="K174" s="62">
        <v>1420</v>
      </c>
      <c r="L174" s="100" t="s">
        <v>1030</v>
      </c>
      <c r="M174" s="5" t="s">
        <v>452</v>
      </c>
      <c r="N174" s="34" t="s">
        <v>464</v>
      </c>
      <c r="O174" s="5" t="s">
        <v>1031</v>
      </c>
      <c r="P174" s="5" t="s">
        <v>597</v>
      </c>
      <c r="Q174" s="5" t="s">
        <v>1032</v>
      </c>
      <c r="R174" s="5" t="s">
        <v>1063</v>
      </c>
      <c r="S174" s="5" t="s">
        <v>1033</v>
      </c>
      <c r="T174" s="5" t="s">
        <v>445</v>
      </c>
      <c r="U174" s="5"/>
      <c r="V174" s="5"/>
      <c r="W174" s="5"/>
      <c r="X174" s="5"/>
      <c r="Y174" s="5"/>
      <c r="Z174" s="5"/>
      <c r="AA174" s="5"/>
    </row>
    <row r="175" spans="1:27" customFormat="1" ht="14">
      <c r="D175" s="214" t="s">
        <v>383</v>
      </c>
      <c r="E175" s="212" t="str">
        <f>+VLOOKUP(F175,Resumen_Base!$B$6:$F$69,5,0)</f>
        <v>Food &amp; Wine</v>
      </c>
      <c r="F175" s="36" t="s">
        <v>35</v>
      </c>
      <c r="G175" s="5" t="s">
        <v>34</v>
      </c>
      <c r="H175" s="5" t="str">
        <f t="shared" si="2"/>
        <v>DEL5250</v>
      </c>
      <c r="I175" s="62">
        <v>37600</v>
      </c>
      <c r="J175" s="62">
        <v>27.0503597122302</v>
      </c>
      <c r="K175" s="62">
        <v>1390</v>
      </c>
      <c r="L175" s="100" t="s">
        <v>628</v>
      </c>
      <c r="M175" s="5" t="s">
        <v>452</v>
      </c>
      <c r="N175" s="34" t="s">
        <v>464</v>
      </c>
      <c r="O175" s="5" t="s">
        <v>629</v>
      </c>
      <c r="P175" s="5" t="s">
        <v>597</v>
      </c>
      <c r="Q175" s="5" t="s">
        <v>630</v>
      </c>
      <c r="R175" s="5" t="s">
        <v>666</v>
      </c>
      <c r="S175" s="5" t="s">
        <v>632</v>
      </c>
      <c r="T175" s="5" t="s">
        <v>445</v>
      </c>
      <c r="U175" s="5"/>
      <c r="V175" s="5"/>
      <c r="W175" s="5"/>
      <c r="X175" s="5"/>
      <c r="Y175" s="5"/>
      <c r="Z175" s="5"/>
      <c r="AA175" s="5"/>
    </row>
    <row r="176" spans="1:27" customFormat="1" ht="14">
      <c r="D176" s="214" t="s">
        <v>383</v>
      </c>
      <c r="E176" s="212" t="str">
        <f>+VLOOKUP(F176,Resumen_Base!$B$6:$F$69,5,0)</f>
        <v>Food &amp; Wine</v>
      </c>
      <c r="F176" s="36" t="s">
        <v>35</v>
      </c>
      <c r="G176" s="5" t="s">
        <v>34</v>
      </c>
      <c r="H176" s="5" t="str">
        <f t="shared" si="2"/>
        <v>DEL5250</v>
      </c>
      <c r="I176" s="62">
        <v>257220</v>
      </c>
      <c r="J176" s="62">
        <v>185.05035971223001</v>
      </c>
      <c r="K176" s="62">
        <v>1390</v>
      </c>
      <c r="L176" s="100" t="s">
        <v>628</v>
      </c>
      <c r="M176" s="5" t="s">
        <v>452</v>
      </c>
      <c r="N176" s="34" t="s">
        <v>464</v>
      </c>
      <c r="O176" s="5" t="s">
        <v>1019</v>
      </c>
      <c r="P176" s="5" t="s">
        <v>597</v>
      </c>
      <c r="Q176" s="5" t="s">
        <v>1020</v>
      </c>
      <c r="R176" s="5" t="s">
        <v>663</v>
      </c>
      <c r="S176" s="5" t="s">
        <v>1022</v>
      </c>
      <c r="T176" s="5" t="s">
        <v>445</v>
      </c>
      <c r="U176" s="5"/>
      <c r="V176" s="5"/>
      <c r="W176" s="5"/>
      <c r="X176" s="5"/>
      <c r="Y176" s="5"/>
      <c r="Z176" s="5"/>
      <c r="AA176" s="5"/>
    </row>
    <row r="177" spans="4:27" customFormat="1" ht="14">
      <c r="D177" s="214" t="s">
        <v>383</v>
      </c>
      <c r="E177" s="212" t="str">
        <f>+VLOOKUP(F177,Resumen_Base!$B$6:$F$69,5,0)</f>
        <v>Food &amp; Wine</v>
      </c>
      <c r="F177" s="36" t="s">
        <v>35</v>
      </c>
      <c r="G177" s="5" t="s">
        <v>34</v>
      </c>
      <c r="H177" s="5" t="str">
        <f t="shared" si="2"/>
        <v>DEL5250</v>
      </c>
      <c r="I177" s="62">
        <v>78000</v>
      </c>
      <c r="J177" s="62">
        <v>55.319148936170201</v>
      </c>
      <c r="K177" s="62">
        <v>1410</v>
      </c>
      <c r="L177" s="100" t="s">
        <v>678</v>
      </c>
      <c r="M177" s="5" t="s">
        <v>452</v>
      </c>
      <c r="N177" s="34" t="s">
        <v>464</v>
      </c>
      <c r="O177" s="5" t="s">
        <v>683</v>
      </c>
      <c r="P177" s="5" t="s">
        <v>597</v>
      </c>
      <c r="Q177" s="5" t="s">
        <v>684</v>
      </c>
      <c r="R177" s="5" t="s">
        <v>694</v>
      </c>
      <c r="S177" s="5" t="s">
        <v>685</v>
      </c>
      <c r="T177" s="5" t="s">
        <v>445</v>
      </c>
      <c r="U177" s="5"/>
      <c r="V177" s="5"/>
      <c r="W177" s="5"/>
      <c r="X177" s="5"/>
      <c r="Y177" s="5"/>
      <c r="Z177" s="5"/>
      <c r="AA177" s="5"/>
    </row>
    <row r="178" spans="4:27" customFormat="1" ht="14">
      <c r="D178" s="214" t="s">
        <v>383</v>
      </c>
      <c r="E178" s="212" t="str">
        <f>+VLOOKUP(F178,Resumen_Base!$B$6:$F$69,5,0)</f>
        <v>Food &amp; Wine</v>
      </c>
      <c r="F178" s="36" t="s">
        <v>35</v>
      </c>
      <c r="G178" s="5" t="s">
        <v>34</v>
      </c>
      <c r="H178" s="5" t="str">
        <f t="shared" si="2"/>
        <v>DEL5250</v>
      </c>
      <c r="I178" s="62">
        <v>37000</v>
      </c>
      <c r="J178" s="62">
        <v>26.056338028169002</v>
      </c>
      <c r="K178" s="62">
        <v>1420</v>
      </c>
      <c r="L178" s="100" t="s">
        <v>1030</v>
      </c>
      <c r="M178" s="5" t="s">
        <v>452</v>
      </c>
      <c r="N178" s="34" t="s">
        <v>464</v>
      </c>
      <c r="O178" s="5" t="s">
        <v>1031</v>
      </c>
      <c r="P178" s="5" t="s">
        <v>597</v>
      </c>
      <c r="Q178" s="5" t="s">
        <v>1032</v>
      </c>
      <c r="R178" s="5" t="s">
        <v>1040</v>
      </c>
      <c r="S178" s="5" t="s">
        <v>1033</v>
      </c>
      <c r="T178" s="5" t="s">
        <v>445</v>
      </c>
      <c r="U178" s="5"/>
      <c r="V178" s="5"/>
      <c r="W178" s="5"/>
      <c r="X178" s="5"/>
      <c r="Y178" s="5"/>
      <c r="Z178" s="5"/>
      <c r="AA178" s="5"/>
    </row>
    <row r="179" spans="4:27" customFormat="1" ht="14">
      <c r="D179" s="214" t="s">
        <v>383</v>
      </c>
      <c r="E179" s="212" t="str">
        <f>+VLOOKUP(F179,Resumen_Base!$B$6:$F$69,5,0)</f>
        <v>Food &amp; Wine</v>
      </c>
      <c r="F179" s="36" t="s">
        <v>35</v>
      </c>
      <c r="G179" s="5" t="s">
        <v>34</v>
      </c>
      <c r="H179" s="5" t="str">
        <f t="shared" si="2"/>
        <v>DEL5250</v>
      </c>
      <c r="I179" s="62">
        <v>443260</v>
      </c>
      <c r="J179" s="62">
        <v>314.36879432624102</v>
      </c>
      <c r="K179" s="62">
        <v>1410</v>
      </c>
      <c r="L179" s="100" t="s">
        <v>678</v>
      </c>
      <c r="M179" s="5" t="s">
        <v>452</v>
      </c>
      <c r="N179" s="34" t="s">
        <v>464</v>
      </c>
      <c r="O179" s="5" t="s">
        <v>683</v>
      </c>
      <c r="P179" s="5" t="s">
        <v>597</v>
      </c>
      <c r="Q179" s="5" t="s">
        <v>684</v>
      </c>
      <c r="R179" s="5" t="s">
        <v>687</v>
      </c>
      <c r="S179" s="5" t="s">
        <v>685</v>
      </c>
      <c r="T179" s="5" t="s">
        <v>445</v>
      </c>
      <c r="U179" s="5"/>
      <c r="V179" s="5"/>
      <c r="W179" s="5"/>
      <c r="X179" s="5"/>
      <c r="Y179" s="5"/>
      <c r="Z179" s="5"/>
      <c r="AA179" s="5"/>
    </row>
    <row r="180" spans="4:27" customFormat="1" ht="14">
      <c r="D180" s="214" t="s">
        <v>383</v>
      </c>
      <c r="E180" s="212" t="str">
        <f>+VLOOKUP(F180,Resumen_Base!$B$6:$F$69,5,0)</f>
        <v>Food &amp; Wine</v>
      </c>
      <c r="F180" s="36" t="s">
        <v>35</v>
      </c>
      <c r="G180" s="5" t="s">
        <v>34</v>
      </c>
      <c r="H180" s="5" t="str">
        <f t="shared" si="2"/>
        <v>DEL5250</v>
      </c>
      <c r="I180" s="62">
        <v>16000</v>
      </c>
      <c r="J180" s="62">
        <v>11.510791366906499</v>
      </c>
      <c r="K180" s="62">
        <v>1390</v>
      </c>
      <c r="L180" s="100" t="s">
        <v>628</v>
      </c>
      <c r="M180" s="5" t="s">
        <v>452</v>
      </c>
      <c r="N180" s="34" t="s">
        <v>464</v>
      </c>
      <c r="O180" s="5" t="s">
        <v>1019</v>
      </c>
      <c r="P180" s="5" t="s">
        <v>597</v>
      </c>
      <c r="Q180" s="5" t="s">
        <v>1020</v>
      </c>
      <c r="R180" s="5" t="s">
        <v>1021</v>
      </c>
      <c r="S180" s="5" t="s">
        <v>1022</v>
      </c>
      <c r="T180" s="5" t="s">
        <v>445</v>
      </c>
      <c r="U180" s="5"/>
      <c r="V180" s="5"/>
      <c r="W180" s="5"/>
      <c r="X180" s="5"/>
      <c r="Y180" s="5"/>
      <c r="Z180" s="5"/>
      <c r="AA180" s="5"/>
    </row>
    <row r="181" spans="4:27" customFormat="1" ht="14">
      <c r="D181" s="214" t="s">
        <v>383</v>
      </c>
      <c r="E181" s="212" t="str">
        <f>+VLOOKUP(F181,Resumen_Base!$B$6:$F$69,5,0)</f>
        <v>Food &amp; Wine</v>
      </c>
      <c r="F181" s="36" t="s">
        <v>35</v>
      </c>
      <c r="G181" s="5" t="s">
        <v>34</v>
      </c>
      <c r="H181" s="5" t="str">
        <f t="shared" si="2"/>
        <v>DEL5250</v>
      </c>
      <c r="I181" s="62">
        <v>40000</v>
      </c>
      <c r="J181" s="62">
        <v>27.972027972027998</v>
      </c>
      <c r="K181" s="62">
        <v>1430</v>
      </c>
      <c r="L181" s="100" t="s">
        <v>751</v>
      </c>
      <c r="M181" s="5" t="s">
        <v>452</v>
      </c>
      <c r="N181" s="34" t="s">
        <v>464</v>
      </c>
      <c r="O181" s="5" t="s">
        <v>752</v>
      </c>
      <c r="P181" s="5" t="s">
        <v>597</v>
      </c>
      <c r="Q181" s="5" t="s">
        <v>753</v>
      </c>
      <c r="R181" s="5" t="s">
        <v>764</v>
      </c>
      <c r="S181" s="5" t="s">
        <v>755</v>
      </c>
      <c r="T181" s="5" t="s">
        <v>445</v>
      </c>
      <c r="U181" s="5"/>
      <c r="V181" s="5"/>
      <c r="W181" s="5"/>
      <c r="X181" s="5"/>
      <c r="Y181" s="5"/>
      <c r="Z181" s="5"/>
      <c r="AA181" s="5"/>
    </row>
    <row r="182" spans="4:27" customFormat="1" ht="14">
      <c r="D182" s="214" t="s">
        <v>383</v>
      </c>
      <c r="E182" s="212" t="str">
        <f>+VLOOKUP(F182,Resumen_Base!$B$6:$F$69,5,0)</f>
        <v>Food &amp; Wine</v>
      </c>
      <c r="F182" s="36" t="s">
        <v>35</v>
      </c>
      <c r="G182" s="5" t="s">
        <v>34</v>
      </c>
      <c r="H182" s="5" t="str">
        <f t="shared" si="2"/>
        <v>DEL5250</v>
      </c>
      <c r="I182" s="62">
        <v>18000</v>
      </c>
      <c r="J182" s="62">
        <v>12.8571428571429</v>
      </c>
      <c r="K182" s="62">
        <v>1400</v>
      </c>
      <c r="L182" s="100" t="s">
        <v>834</v>
      </c>
      <c r="M182" s="5" t="s">
        <v>452</v>
      </c>
      <c r="N182" s="34" t="s">
        <v>464</v>
      </c>
      <c r="O182" s="5" t="s">
        <v>835</v>
      </c>
      <c r="P182" s="5" t="s">
        <v>597</v>
      </c>
      <c r="Q182" s="5" t="s">
        <v>836</v>
      </c>
      <c r="R182" s="5" t="s">
        <v>764</v>
      </c>
      <c r="S182" s="5" t="s">
        <v>838</v>
      </c>
      <c r="T182" s="5" t="s">
        <v>445</v>
      </c>
      <c r="U182" s="5"/>
      <c r="V182" s="5"/>
      <c r="W182" s="5"/>
      <c r="X182" s="5"/>
      <c r="Y182" s="5"/>
      <c r="Z182" s="5"/>
      <c r="AA182" s="5"/>
    </row>
    <row r="183" spans="4:27" customFormat="1" ht="14">
      <c r="D183" s="214" t="s">
        <v>383</v>
      </c>
      <c r="E183" s="212" t="str">
        <f>+VLOOKUP(F183,Resumen_Base!$B$6:$F$69,5,0)</f>
        <v>Food &amp; Wine</v>
      </c>
      <c r="F183" s="36" t="s">
        <v>35</v>
      </c>
      <c r="G183" s="5" t="s">
        <v>34</v>
      </c>
      <c r="H183" s="5" t="str">
        <f t="shared" si="2"/>
        <v>DEL5250</v>
      </c>
      <c r="I183" s="62">
        <v>18000</v>
      </c>
      <c r="J183" s="62">
        <v>12.8571428571429</v>
      </c>
      <c r="K183" s="62">
        <v>1400</v>
      </c>
      <c r="L183" s="100" t="s">
        <v>834</v>
      </c>
      <c r="M183" s="5" t="s">
        <v>452</v>
      </c>
      <c r="N183" s="34" t="s">
        <v>464</v>
      </c>
      <c r="O183" s="5" t="s">
        <v>835</v>
      </c>
      <c r="P183" s="5" t="s">
        <v>597</v>
      </c>
      <c r="Q183" s="5" t="s">
        <v>836</v>
      </c>
      <c r="R183" s="5" t="s">
        <v>764</v>
      </c>
      <c r="S183" s="5" t="s">
        <v>838</v>
      </c>
      <c r="T183" s="5" t="s">
        <v>445</v>
      </c>
      <c r="U183" s="5"/>
      <c r="V183" s="5"/>
      <c r="W183" s="5"/>
      <c r="X183" s="5"/>
      <c r="Y183" s="5"/>
      <c r="Z183" s="5"/>
      <c r="AA183" s="5"/>
    </row>
    <row r="184" spans="4:27" customFormat="1" ht="14">
      <c r="D184" s="214" t="s">
        <v>383</v>
      </c>
      <c r="E184" s="212" t="str">
        <f>+VLOOKUP(F184,Resumen_Base!$B$6:$F$69,5,0)</f>
        <v>Food &amp; Wine</v>
      </c>
      <c r="F184" s="36" t="s">
        <v>35</v>
      </c>
      <c r="G184" s="5" t="s">
        <v>34</v>
      </c>
      <c r="H184" s="5" t="str">
        <f t="shared" si="2"/>
        <v>DEL5250</v>
      </c>
      <c r="I184" s="62">
        <v>40000</v>
      </c>
      <c r="J184" s="62">
        <v>26.6666666666667</v>
      </c>
      <c r="K184" s="62">
        <v>1500</v>
      </c>
      <c r="L184" s="100" t="s">
        <v>858</v>
      </c>
      <c r="M184" s="5" t="s">
        <v>452</v>
      </c>
      <c r="N184" s="34" t="s">
        <v>464</v>
      </c>
      <c r="O184" s="5" t="s">
        <v>880</v>
      </c>
      <c r="P184" s="5" t="s">
        <v>597</v>
      </c>
      <c r="Q184" s="5" t="s">
        <v>881</v>
      </c>
      <c r="R184" s="5" t="s">
        <v>764</v>
      </c>
      <c r="S184" s="5" t="s">
        <v>882</v>
      </c>
      <c r="T184" s="5" t="s">
        <v>445</v>
      </c>
      <c r="U184" s="5"/>
      <c r="V184" s="5"/>
      <c r="W184" s="5"/>
      <c r="X184" s="5"/>
      <c r="Y184" s="5"/>
      <c r="Z184" s="5"/>
      <c r="AA184" s="5"/>
    </row>
    <row r="185" spans="4:27" customFormat="1" ht="14">
      <c r="D185" s="214" t="s">
        <v>383</v>
      </c>
      <c r="E185" s="212" t="str">
        <f>+VLOOKUP(F185,Resumen_Base!$B$6:$F$69,5,0)</f>
        <v>Food &amp; Wine</v>
      </c>
      <c r="F185" s="36" t="s">
        <v>35</v>
      </c>
      <c r="G185" s="5" t="s">
        <v>34</v>
      </c>
      <c r="H185" s="5" t="str">
        <f t="shared" si="2"/>
        <v>DEL5250</v>
      </c>
      <c r="I185" s="62">
        <v>20000</v>
      </c>
      <c r="J185" s="62">
        <v>13.3333333333333</v>
      </c>
      <c r="K185" s="62">
        <v>1500</v>
      </c>
      <c r="L185" s="100" t="s">
        <v>858</v>
      </c>
      <c r="M185" s="5" t="s">
        <v>452</v>
      </c>
      <c r="N185" s="34" t="s">
        <v>464</v>
      </c>
      <c r="O185" s="5" t="s">
        <v>880</v>
      </c>
      <c r="P185" s="5" t="s">
        <v>597</v>
      </c>
      <c r="Q185" s="5" t="s">
        <v>881</v>
      </c>
      <c r="R185" s="5" t="s">
        <v>764</v>
      </c>
      <c r="S185" s="5" t="s">
        <v>882</v>
      </c>
      <c r="T185" s="5" t="s">
        <v>445</v>
      </c>
      <c r="U185" s="5"/>
      <c r="V185" s="5"/>
      <c r="W185" s="5"/>
      <c r="X185" s="5"/>
      <c r="Y185" s="5"/>
      <c r="Z185" s="5"/>
      <c r="AA185" s="5"/>
    </row>
    <row r="186" spans="4:27" customFormat="1" ht="14">
      <c r="D186" s="214" t="s">
        <v>383</v>
      </c>
      <c r="E186" s="212" t="str">
        <f>+VLOOKUP(F186,Resumen_Base!$B$6:$F$69,5,0)</f>
        <v>Food &amp; Wine</v>
      </c>
      <c r="F186" s="36" t="s">
        <v>35</v>
      </c>
      <c r="G186" s="5" t="s">
        <v>34</v>
      </c>
      <c r="H186" s="5" t="str">
        <f t="shared" si="2"/>
        <v>DEL5250</v>
      </c>
      <c r="I186" s="62">
        <v>60000</v>
      </c>
      <c r="J186" s="62">
        <v>42.253521126760603</v>
      </c>
      <c r="K186" s="62">
        <v>1420</v>
      </c>
      <c r="L186" s="100" t="s">
        <v>1030</v>
      </c>
      <c r="M186" s="5" t="s">
        <v>452</v>
      </c>
      <c r="N186" s="34" t="s">
        <v>464</v>
      </c>
      <c r="O186" s="5" t="s">
        <v>1031</v>
      </c>
      <c r="P186" s="5" t="s">
        <v>597</v>
      </c>
      <c r="Q186" s="5" t="s">
        <v>1032</v>
      </c>
      <c r="R186" s="5" t="s">
        <v>764</v>
      </c>
      <c r="S186" s="5" t="s">
        <v>1033</v>
      </c>
      <c r="T186" s="5" t="s">
        <v>445</v>
      </c>
      <c r="U186" s="5"/>
      <c r="V186" s="5"/>
      <c r="W186" s="5"/>
      <c r="X186" s="5"/>
      <c r="Y186" s="5"/>
      <c r="Z186" s="5"/>
      <c r="AA186" s="5"/>
    </row>
    <row r="187" spans="4:27" customFormat="1" ht="14">
      <c r="D187" s="214" t="s">
        <v>383</v>
      </c>
      <c r="E187" s="212" t="str">
        <f>+VLOOKUP(F187,Resumen_Base!$B$6:$F$69,5,0)</f>
        <v>Food &amp; Wine</v>
      </c>
      <c r="F187" s="36" t="s">
        <v>35</v>
      </c>
      <c r="G187" s="5" t="s">
        <v>34</v>
      </c>
      <c r="H187" s="5" t="str">
        <f t="shared" si="2"/>
        <v>DEL5250</v>
      </c>
      <c r="I187" s="62">
        <v>24000</v>
      </c>
      <c r="J187" s="62">
        <v>16.901408450704199</v>
      </c>
      <c r="K187" s="62">
        <v>1420</v>
      </c>
      <c r="L187" s="100" t="s">
        <v>1030</v>
      </c>
      <c r="M187" s="5" t="s">
        <v>452</v>
      </c>
      <c r="N187" s="34" t="s">
        <v>464</v>
      </c>
      <c r="O187" s="5" t="s">
        <v>1031</v>
      </c>
      <c r="P187" s="5" t="s">
        <v>597</v>
      </c>
      <c r="Q187" s="5" t="s">
        <v>1032</v>
      </c>
      <c r="R187" s="5" t="s">
        <v>764</v>
      </c>
      <c r="S187" s="5" t="s">
        <v>1033</v>
      </c>
      <c r="T187" s="5" t="s">
        <v>445</v>
      </c>
      <c r="U187" s="5"/>
      <c r="V187" s="5"/>
      <c r="W187" s="5"/>
      <c r="X187" s="5"/>
      <c r="Y187" s="5"/>
      <c r="Z187" s="5"/>
      <c r="AA187" s="5"/>
    </row>
    <row r="188" spans="4:27" customFormat="1" ht="14">
      <c r="D188" s="214" t="s">
        <v>383</v>
      </c>
      <c r="E188" s="212" t="str">
        <f>+VLOOKUP(F188,Resumen_Base!$B$6:$F$69,5,0)</f>
        <v>Food &amp; Wine</v>
      </c>
      <c r="F188" s="36" t="s">
        <v>35</v>
      </c>
      <c r="G188" s="5" t="s">
        <v>34</v>
      </c>
      <c r="H188" s="5" t="str">
        <f t="shared" si="2"/>
        <v>DEL5250</v>
      </c>
      <c r="I188" s="62">
        <v>693302</v>
      </c>
      <c r="J188" s="62">
        <v>498.77841726618698</v>
      </c>
      <c r="K188" s="62">
        <v>1390</v>
      </c>
      <c r="L188" s="100" t="s">
        <v>628</v>
      </c>
      <c r="M188" s="5" t="s">
        <v>452</v>
      </c>
      <c r="N188" s="34" t="s">
        <v>464</v>
      </c>
      <c r="O188" s="5" t="s">
        <v>1019</v>
      </c>
      <c r="P188" s="5" t="s">
        <v>597</v>
      </c>
      <c r="Q188" s="5" t="s">
        <v>1020</v>
      </c>
      <c r="R188" s="5" t="s">
        <v>1027</v>
      </c>
      <c r="S188" s="5" t="s">
        <v>1022</v>
      </c>
      <c r="T188" s="5" t="s">
        <v>445</v>
      </c>
      <c r="U188" s="5"/>
      <c r="V188" s="5"/>
      <c r="W188" s="5"/>
      <c r="X188" s="5"/>
      <c r="Y188" s="5"/>
      <c r="Z188" s="5"/>
      <c r="AA188" s="5"/>
    </row>
    <row r="189" spans="4:27" customFormat="1" ht="14">
      <c r="D189" s="214" t="s">
        <v>383</v>
      </c>
      <c r="E189" s="212" t="str">
        <f>+VLOOKUP(F189,Resumen_Base!$B$6:$F$69,5,0)</f>
        <v>Food &amp; Wine</v>
      </c>
      <c r="F189" s="36" t="s">
        <v>35</v>
      </c>
      <c r="G189" s="5" t="s">
        <v>34</v>
      </c>
      <c r="H189" s="5" t="str">
        <f t="shared" si="2"/>
        <v>DEL5250</v>
      </c>
      <c r="I189" s="62">
        <v>298122</v>
      </c>
      <c r="J189" s="62">
        <v>214.47625899280601</v>
      </c>
      <c r="K189" s="62">
        <v>1390</v>
      </c>
      <c r="L189" s="100" t="s">
        <v>628</v>
      </c>
      <c r="M189" s="5" t="s">
        <v>452</v>
      </c>
      <c r="N189" s="34" t="s">
        <v>464</v>
      </c>
      <c r="O189" s="5" t="s">
        <v>1019</v>
      </c>
      <c r="P189" s="5" t="s">
        <v>597</v>
      </c>
      <c r="Q189" s="5" t="s">
        <v>1020</v>
      </c>
      <c r="R189" s="5" t="s">
        <v>1029</v>
      </c>
      <c r="S189" s="5" t="s">
        <v>1022</v>
      </c>
      <c r="T189" s="5" t="s">
        <v>445</v>
      </c>
      <c r="U189" s="5"/>
      <c r="V189" s="5"/>
      <c r="W189" s="5"/>
      <c r="X189" s="5"/>
      <c r="Y189" s="5"/>
      <c r="Z189" s="5"/>
      <c r="AA189" s="5"/>
    </row>
    <row r="190" spans="4:27" customFormat="1" ht="14">
      <c r="D190" s="214" t="s">
        <v>383</v>
      </c>
      <c r="E190" s="212" t="str">
        <f>+VLOOKUP(F190,Resumen_Base!$B$6:$F$69,5,0)</f>
        <v>Food &amp; Wine</v>
      </c>
      <c r="F190" s="36" t="s">
        <v>35</v>
      </c>
      <c r="G190" s="5" t="s">
        <v>34</v>
      </c>
      <c r="H190" s="5" t="str">
        <f t="shared" si="2"/>
        <v>DEL5250</v>
      </c>
      <c r="I190" s="62">
        <v>34000</v>
      </c>
      <c r="J190" s="62">
        <v>24.113475177304998</v>
      </c>
      <c r="K190" s="62">
        <v>1410</v>
      </c>
      <c r="L190" s="100" t="s">
        <v>678</v>
      </c>
      <c r="M190" s="5" t="s">
        <v>452</v>
      </c>
      <c r="N190" s="34" t="s">
        <v>464</v>
      </c>
      <c r="O190" s="5" t="s">
        <v>683</v>
      </c>
      <c r="P190" s="5" t="s">
        <v>597</v>
      </c>
      <c r="Q190" s="5" t="s">
        <v>684</v>
      </c>
      <c r="R190" s="5" t="s">
        <v>692</v>
      </c>
      <c r="S190" s="5" t="s">
        <v>685</v>
      </c>
      <c r="T190" s="5" t="s">
        <v>445</v>
      </c>
      <c r="U190" s="5"/>
      <c r="V190" s="5"/>
      <c r="W190" s="5"/>
      <c r="X190" s="5"/>
      <c r="Y190" s="5"/>
      <c r="Z190" s="5"/>
      <c r="AA190" s="5"/>
    </row>
    <row r="191" spans="4:27" customFormat="1" ht="14">
      <c r="D191" s="214" t="s">
        <v>383</v>
      </c>
      <c r="E191" s="212" t="str">
        <f>+VLOOKUP(F191,Resumen_Base!$B$6:$F$69,5,0)</f>
        <v>Food &amp; Wine</v>
      </c>
      <c r="F191" s="36" t="s">
        <v>35</v>
      </c>
      <c r="G191" s="5" t="s">
        <v>34</v>
      </c>
      <c r="H191" s="5" t="str">
        <f t="shared" si="2"/>
        <v>DEL5250</v>
      </c>
      <c r="I191" s="62">
        <v>29400</v>
      </c>
      <c r="J191" s="62">
        <v>20.704225352112701</v>
      </c>
      <c r="K191" s="62">
        <v>1420</v>
      </c>
      <c r="L191" s="100" t="s">
        <v>1030</v>
      </c>
      <c r="M191" s="5" t="s">
        <v>452</v>
      </c>
      <c r="N191" s="34" t="s">
        <v>464</v>
      </c>
      <c r="O191" s="5" t="s">
        <v>1031</v>
      </c>
      <c r="P191" s="5" t="s">
        <v>597</v>
      </c>
      <c r="Q191" s="5" t="s">
        <v>1032</v>
      </c>
      <c r="R191" s="5" t="s">
        <v>1060</v>
      </c>
      <c r="S191" s="5" t="s">
        <v>1033</v>
      </c>
      <c r="T191" s="5" t="s">
        <v>445</v>
      </c>
      <c r="U191" s="5"/>
      <c r="V191" s="5"/>
      <c r="W191" s="5"/>
      <c r="X191" s="5"/>
      <c r="Y191" s="5"/>
      <c r="Z191" s="5"/>
      <c r="AA191" s="5"/>
    </row>
    <row r="192" spans="4:27" customFormat="1" ht="14">
      <c r="D192" s="214" t="s">
        <v>383</v>
      </c>
      <c r="E192" s="212" t="str">
        <f>+VLOOKUP(F192,Resumen_Base!$B$6:$F$69,5,0)</f>
        <v>Food &amp; Wine</v>
      </c>
      <c r="F192" s="36" t="s">
        <v>35</v>
      </c>
      <c r="G192" s="5" t="s">
        <v>34</v>
      </c>
      <c r="H192" s="5" t="str">
        <f t="shared" si="2"/>
        <v>DEL5250</v>
      </c>
      <c r="I192" s="62">
        <v>26200</v>
      </c>
      <c r="J192" s="62">
        <v>18.848920863309399</v>
      </c>
      <c r="K192" s="62">
        <v>1390</v>
      </c>
      <c r="L192" s="100" t="s">
        <v>628</v>
      </c>
      <c r="M192" s="5" t="s">
        <v>452</v>
      </c>
      <c r="N192" s="34" t="s">
        <v>464</v>
      </c>
      <c r="O192" s="5" t="s">
        <v>629</v>
      </c>
      <c r="P192" s="5" t="s">
        <v>597</v>
      </c>
      <c r="Q192" s="5" t="s">
        <v>630</v>
      </c>
      <c r="R192" s="5" t="s">
        <v>653</v>
      </c>
      <c r="S192" s="5" t="s">
        <v>632</v>
      </c>
      <c r="T192" s="5" t="s">
        <v>445</v>
      </c>
      <c r="U192" s="5"/>
      <c r="V192" s="5"/>
      <c r="W192" s="5"/>
      <c r="X192" s="5"/>
      <c r="Y192" s="5"/>
      <c r="Z192" s="5"/>
      <c r="AA192" s="5"/>
    </row>
    <row r="193" spans="4:27" customFormat="1" ht="14">
      <c r="D193" s="214" t="s">
        <v>383</v>
      </c>
      <c r="E193" s="212" t="str">
        <f>+VLOOKUP(F193,Resumen_Base!$B$6:$F$69,5,0)</f>
        <v>Food &amp; Wine</v>
      </c>
      <c r="F193" s="36" t="s">
        <v>35</v>
      </c>
      <c r="G193" s="5" t="s">
        <v>34</v>
      </c>
      <c r="H193" s="5" t="str">
        <f t="shared" si="2"/>
        <v>DEL5250</v>
      </c>
      <c r="I193" s="62">
        <v>18487</v>
      </c>
      <c r="J193" s="62">
        <v>13.3</v>
      </c>
      <c r="K193" s="62">
        <v>1390</v>
      </c>
      <c r="L193" s="100" t="s">
        <v>628</v>
      </c>
      <c r="M193" s="5" t="s">
        <v>452</v>
      </c>
      <c r="N193" s="34" t="s">
        <v>464</v>
      </c>
      <c r="O193" s="5" t="s">
        <v>629</v>
      </c>
      <c r="P193" s="5" t="s">
        <v>597</v>
      </c>
      <c r="Q193" s="5" t="s">
        <v>630</v>
      </c>
      <c r="R193" s="5" t="s">
        <v>649</v>
      </c>
      <c r="S193" s="5" t="s">
        <v>632</v>
      </c>
      <c r="T193" s="5" t="s">
        <v>445</v>
      </c>
      <c r="U193" s="5"/>
      <c r="V193" s="5"/>
      <c r="W193" s="5"/>
      <c r="X193" s="5"/>
      <c r="Y193" s="5"/>
      <c r="Z193" s="5"/>
      <c r="AA193" s="5"/>
    </row>
    <row r="194" spans="4:27" customFormat="1" ht="14">
      <c r="D194" s="214" t="s">
        <v>383</v>
      </c>
      <c r="E194" s="212" t="str">
        <f>+VLOOKUP(F194,Resumen_Base!$B$6:$F$69,5,0)</f>
        <v>Food &amp; Wine</v>
      </c>
      <c r="F194" s="36" t="s">
        <v>35</v>
      </c>
      <c r="G194" s="5" t="s">
        <v>34</v>
      </c>
      <c r="H194" s="5" t="str">
        <f t="shared" si="2"/>
        <v>DEL5250</v>
      </c>
      <c r="I194" s="62">
        <v>51013</v>
      </c>
      <c r="J194" s="62">
        <v>36.179432624113502</v>
      </c>
      <c r="K194" s="62">
        <v>1410</v>
      </c>
      <c r="L194" s="100" t="s">
        <v>678</v>
      </c>
      <c r="M194" s="5" t="s">
        <v>452</v>
      </c>
      <c r="N194" s="34" t="s">
        <v>464</v>
      </c>
      <c r="O194" s="5" t="s">
        <v>683</v>
      </c>
      <c r="P194" s="5" t="s">
        <v>597</v>
      </c>
      <c r="Q194" s="5" t="s">
        <v>684</v>
      </c>
      <c r="R194" s="5" t="s">
        <v>690</v>
      </c>
      <c r="S194" s="5" t="s">
        <v>685</v>
      </c>
      <c r="T194" s="5" t="s">
        <v>445</v>
      </c>
      <c r="U194" s="5"/>
      <c r="V194" s="5"/>
      <c r="W194" s="5"/>
      <c r="X194" s="5"/>
      <c r="Y194" s="5"/>
      <c r="Z194" s="5"/>
      <c r="AA194" s="5"/>
    </row>
    <row r="195" spans="4:27" customFormat="1" ht="14">
      <c r="D195" s="214" t="s">
        <v>383</v>
      </c>
      <c r="E195" s="212" t="str">
        <f>+VLOOKUP(F195,Resumen_Base!$B$6:$F$69,5,0)</f>
        <v>Food &amp; Wine</v>
      </c>
      <c r="F195" s="36" t="s">
        <v>35</v>
      </c>
      <c r="G195" s="5" t="s">
        <v>34</v>
      </c>
      <c r="H195" s="5" t="str">
        <f t="shared" si="2"/>
        <v>DEL5250</v>
      </c>
      <c r="I195" s="62">
        <v>34000</v>
      </c>
      <c r="J195" s="62">
        <v>23.943661971830998</v>
      </c>
      <c r="K195" s="62">
        <v>1420</v>
      </c>
      <c r="L195" s="100" t="s">
        <v>1030</v>
      </c>
      <c r="M195" s="5" t="s">
        <v>452</v>
      </c>
      <c r="N195" s="34" t="s">
        <v>464</v>
      </c>
      <c r="O195" s="5" t="s">
        <v>1031</v>
      </c>
      <c r="P195" s="5" t="s">
        <v>597</v>
      </c>
      <c r="Q195" s="5" t="s">
        <v>1032</v>
      </c>
      <c r="R195" s="5" t="s">
        <v>1039</v>
      </c>
      <c r="S195" s="5" t="s">
        <v>1033</v>
      </c>
      <c r="T195" s="5" t="s">
        <v>445</v>
      </c>
      <c r="U195" s="5"/>
      <c r="V195" s="5"/>
      <c r="W195" s="5"/>
      <c r="X195" s="5"/>
      <c r="Y195" s="5"/>
      <c r="Z195" s="5"/>
      <c r="AA195" s="5"/>
    </row>
    <row r="196" spans="4:27" customFormat="1" ht="14">
      <c r="D196" s="214" t="s">
        <v>383</v>
      </c>
      <c r="E196" s="212" t="str">
        <f>+VLOOKUP(F196,Resumen_Base!$B$6:$F$69,5,0)</f>
        <v>Food &amp; Wine</v>
      </c>
      <c r="F196" s="36" t="s">
        <v>35</v>
      </c>
      <c r="G196" s="5" t="s">
        <v>34</v>
      </c>
      <c r="H196" s="5" t="str">
        <f t="shared" si="2"/>
        <v>DEL5250</v>
      </c>
      <c r="I196" s="62">
        <v>25500</v>
      </c>
      <c r="J196" s="62">
        <v>18.345323741007199</v>
      </c>
      <c r="K196" s="62">
        <v>1390</v>
      </c>
      <c r="L196" s="100" t="s">
        <v>628</v>
      </c>
      <c r="M196" s="5" t="s">
        <v>452</v>
      </c>
      <c r="N196" s="34" t="s">
        <v>464</v>
      </c>
      <c r="O196" s="5" t="s">
        <v>629</v>
      </c>
      <c r="P196" s="5" t="s">
        <v>597</v>
      </c>
      <c r="Q196" s="5" t="s">
        <v>630</v>
      </c>
      <c r="R196" s="5" t="s">
        <v>634</v>
      </c>
      <c r="S196" s="5" t="s">
        <v>632</v>
      </c>
      <c r="T196" s="5" t="s">
        <v>445</v>
      </c>
      <c r="U196" s="5"/>
      <c r="V196" s="5"/>
      <c r="W196" s="5"/>
      <c r="X196" s="5"/>
      <c r="Y196" s="5"/>
      <c r="Z196" s="5"/>
      <c r="AA196" s="5"/>
    </row>
    <row r="197" spans="4:27" customFormat="1" ht="14">
      <c r="D197" s="214" t="s">
        <v>383</v>
      </c>
      <c r="E197" s="212" t="str">
        <f>+VLOOKUP(F197,Resumen_Base!$B$6:$F$69,5,0)</f>
        <v>Food &amp; Wine</v>
      </c>
      <c r="F197" s="36" t="s">
        <v>35</v>
      </c>
      <c r="G197" s="5" t="s">
        <v>34</v>
      </c>
      <c r="H197" s="5" t="str">
        <f t="shared" si="2"/>
        <v>DEL5250</v>
      </c>
      <c r="I197" s="62">
        <v>11500</v>
      </c>
      <c r="J197" s="62">
        <v>8.2733812949640306</v>
      </c>
      <c r="K197" s="62">
        <v>1390</v>
      </c>
      <c r="L197" s="100" t="s">
        <v>628</v>
      </c>
      <c r="M197" s="5" t="s">
        <v>452</v>
      </c>
      <c r="N197" s="34" t="s">
        <v>464</v>
      </c>
      <c r="O197" s="5" t="s">
        <v>629</v>
      </c>
      <c r="P197" s="5" t="s">
        <v>597</v>
      </c>
      <c r="Q197" s="5" t="s">
        <v>630</v>
      </c>
      <c r="R197" s="5" t="s">
        <v>634</v>
      </c>
      <c r="S197" s="5" t="s">
        <v>632</v>
      </c>
      <c r="T197" s="5" t="s">
        <v>445</v>
      </c>
      <c r="U197" s="5"/>
      <c r="V197" s="5"/>
      <c r="W197" s="5"/>
      <c r="X197" s="5"/>
      <c r="Y197" s="5"/>
      <c r="Z197" s="5"/>
      <c r="AA197" s="5"/>
    </row>
    <row r="198" spans="4:27" customFormat="1" ht="14">
      <c r="D198" s="214" t="s">
        <v>383</v>
      </c>
      <c r="E198" s="212" t="str">
        <f>+VLOOKUP(F198,Resumen_Base!$B$6:$F$69,5,0)</f>
        <v>Food &amp; Wine</v>
      </c>
      <c r="F198" s="36" t="s">
        <v>35</v>
      </c>
      <c r="G198" s="5" t="s">
        <v>34</v>
      </c>
      <c r="H198" s="5" t="str">
        <f t="shared" si="2"/>
        <v>DEL5250</v>
      </c>
      <c r="I198" s="62">
        <v>5120</v>
      </c>
      <c r="J198" s="62">
        <v>3.6834532374100699</v>
      </c>
      <c r="K198" s="62">
        <v>1390</v>
      </c>
      <c r="L198" s="100" t="s">
        <v>628</v>
      </c>
      <c r="M198" s="5" t="s">
        <v>452</v>
      </c>
      <c r="N198" s="34" t="s">
        <v>464</v>
      </c>
      <c r="O198" s="5" t="s">
        <v>629</v>
      </c>
      <c r="P198" s="5" t="s">
        <v>597</v>
      </c>
      <c r="Q198" s="5" t="s">
        <v>630</v>
      </c>
      <c r="R198" s="5" t="s">
        <v>634</v>
      </c>
      <c r="S198" s="5" t="s">
        <v>632</v>
      </c>
      <c r="T198" s="5" t="s">
        <v>445</v>
      </c>
      <c r="U198" s="5"/>
      <c r="V198" s="5"/>
      <c r="W198" s="5"/>
      <c r="X198" s="5"/>
      <c r="Y198" s="5"/>
      <c r="Z198" s="5"/>
      <c r="AA198" s="5"/>
    </row>
    <row r="199" spans="4:27" customFormat="1" ht="14">
      <c r="D199" s="214" t="s">
        <v>383</v>
      </c>
      <c r="E199" s="212" t="str">
        <f>+VLOOKUP(F199,Resumen_Base!$B$6:$F$69,5,0)</f>
        <v>Food &amp; Wine</v>
      </c>
      <c r="F199" s="36" t="s">
        <v>35</v>
      </c>
      <c r="G199" s="5" t="s">
        <v>34</v>
      </c>
      <c r="H199" s="5" t="str">
        <f t="shared" si="2"/>
        <v>DEL5250</v>
      </c>
      <c r="I199" s="62">
        <v>22500</v>
      </c>
      <c r="J199" s="62">
        <v>15.7342657342657</v>
      </c>
      <c r="K199" s="62">
        <v>1430</v>
      </c>
      <c r="L199" s="100" t="s">
        <v>751</v>
      </c>
      <c r="M199" s="5" t="s">
        <v>452</v>
      </c>
      <c r="N199" s="34" t="s">
        <v>464</v>
      </c>
      <c r="O199" s="5" t="s">
        <v>752</v>
      </c>
      <c r="P199" s="5" t="s">
        <v>597</v>
      </c>
      <c r="Q199" s="5" t="s">
        <v>753</v>
      </c>
      <c r="R199" s="5" t="s">
        <v>634</v>
      </c>
      <c r="S199" s="5" t="s">
        <v>755</v>
      </c>
      <c r="T199" s="5" t="s">
        <v>445</v>
      </c>
      <c r="U199" s="5"/>
      <c r="V199" s="5"/>
      <c r="W199" s="5"/>
      <c r="X199" s="5"/>
      <c r="Y199" s="5"/>
      <c r="Z199" s="5"/>
      <c r="AA199" s="5"/>
    </row>
    <row r="200" spans="4:27" customFormat="1" ht="14">
      <c r="D200" s="214" t="s">
        <v>383</v>
      </c>
      <c r="E200" s="212" t="str">
        <f>+VLOOKUP(F200,Resumen_Base!$B$6:$F$69,5,0)</f>
        <v>Food &amp; Wine</v>
      </c>
      <c r="F200" s="36" t="s">
        <v>35</v>
      </c>
      <c r="G200" s="5" t="s">
        <v>34</v>
      </c>
      <c r="H200" s="5" t="str">
        <f t="shared" si="2"/>
        <v>DEL5250</v>
      </c>
      <c r="I200" s="62">
        <v>28000</v>
      </c>
      <c r="J200" s="62">
        <v>18.6666666666667</v>
      </c>
      <c r="K200" s="62">
        <v>1500</v>
      </c>
      <c r="L200" s="100" t="s">
        <v>858</v>
      </c>
      <c r="M200" s="5" t="s">
        <v>452</v>
      </c>
      <c r="N200" s="34" t="s">
        <v>464</v>
      </c>
      <c r="O200" s="5" t="s">
        <v>880</v>
      </c>
      <c r="P200" s="5" t="s">
        <v>597</v>
      </c>
      <c r="Q200" s="5" t="s">
        <v>881</v>
      </c>
      <c r="R200" s="5" t="s">
        <v>634</v>
      </c>
      <c r="S200" s="5" t="s">
        <v>882</v>
      </c>
      <c r="T200" s="5" t="s">
        <v>445</v>
      </c>
      <c r="U200" s="5"/>
      <c r="V200" s="5"/>
      <c r="W200" s="5"/>
      <c r="X200" s="5"/>
      <c r="Y200" s="5"/>
      <c r="Z200" s="5"/>
      <c r="AA200" s="5"/>
    </row>
    <row r="201" spans="4:27" customFormat="1" ht="14">
      <c r="D201" s="214" t="s">
        <v>383</v>
      </c>
      <c r="E201" s="212" t="str">
        <f>+VLOOKUP(F201,Resumen_Base!$B$6:$F$69,5,0)</f>
        <v>Food &amp; Wine</v>
      </c>
      <c r="F201" s="36" t="s">
        <v>35</v>
      </c>
      <c r="G201" s="5" t="s">
        <v>34</v>
      </c>
      <c r="H201" s="5" t="str">
        <f t="shared" si="2"/>
        <v>DEL5250</v>
      </c>
      <c r="I201" s="62">
        <v>160100</v>
      </c>
      <c r="J201" s="62">
        <v>115.179856115108</v>
      </c>
      <c r="K201" s="62">
        <v>1390</v>
      </c>
      <c r="L201" s="100" t="s">
        <v>628</v>
      </c>
      <c r="M201" s="5" t="s">
        <v>452</v>
      </c>
      <c r="N201" s="34" t="s">
        <v>464</v>
      </c>
      <c r="O201" s="5" t="s">
        <v>1019</v>
      </c>
      <c r="P201" s="5" t="s">
        <v>597</v>
      </c>
      <c r="Q201" s="5" t="s">
        <v>1020</v>
      </c>
      <c r="R201" s="5" t="s">
        <v>634</v>
      </c>
      <c r="S201" s="5" t="s">
        <v>1022</v>
      </c>
      <c r="T201" s="5" t="s">
        <v>445</v>
      </c>
      <c r="U201" s="5"/>
      <c r="V201" s="5"/>
      <c r="W201" s="5"/>
      <c r="X201" s="5"/>
      <c r="Y201" s="5"/>
      <c r="Z201" s="5"/>
      <c r="AA201" s="5"/>
    </row>
    <row r="202" spans="4:27" customFormat="1" ht="14">
      <c r="D202" s="214" t="s">
        <v>383</v>
      </c>
      <c r="E202" s="212" t="str">
        <f>+VLOOKUP(F202,Resumen_Base!$B$6:$F$69,5,0)</f>
        <v>Food &amp; Wine</v>
      </c>
      <c r="F202" s="36" t="s">
        <v>35</v>
      </c>
      <c r="G202" s="5" t="s">
        <v>34</v>
      </c>
      <c r="H202" s="5" t="str">
        <f t="shared" si="2"/>
        <v>DEL5250</v>
      </c>
      <c r="I202" s="62">
        <v>15000</v>
      </c>
      <c r="J202" s="62">
        <v>10.563380281690099</v>
      </c>
      <c r="K202" s="62">
        <v>1420</v>
      </c>
      <c r="L202" s="100" t="s">
        <v>1030</v>
      </c>
      <c r="M202" s="5" t="s">
        <v>452</v>
      </c>
      <c r="N202" s="34" t="s">
        <v>464</v>
      </c>
      <c r="O202" s="5" t="s">
        <v>1031</v>
      </c>
      <c r="P202" s="5" t="s">
        <v>597</v>
      </c>
      <c r="Q202" s="5" t="s">
        <v>1032</v>
      </c>
      <c r="R202" s="5" t="s">
        <v>634</v>
      </c>
      <c r="S202" s="5" t="s">
        <v>1033</v>
      </c>
      <c r="T202" s="5" t="s">
        <v>445</v>
      </c>
      <c r="U202" s="5"/>
      <c r="V202" s="5"/>
      <c r="W202" s="5"/>
      <c r="X202" s="5"/>
      <c r="Y202" s="5"/>
      <c r="Z202" s="5"/>
      <c r="AA202" s="5"/>
    </row>
    <row r="203" spans="4:27" customFormat="1" ht="14">
      <c r="D203" s="214" t="s">
        <v>383</v>
      </c>
      <c r="E203" s="212" t="str">
        <f>+VLOOKUP(F203,Resumen_Base!$B$6:$F$69,5,0)</f>
        <v>Food &amp; Wine</v>
      </c>
      <c r="F203" s="36" t="s">
        <v>35</v>
      </c>
      <c r="G203" s="5" t="s">
        <v>34</v>
      </c>
      <c r="H203" s="5" t="str">
        <f t="shared" si="2"/>
        <v>DEL5250</v>
      </c>
      <c r="I203" s="62">
        <v>46500</v>
      </c>
      <c r="J203" s="62">
        <v>32.746478873239397</v>
      </c>
      <c r="K203" s="62">
        <v>1420</v>
      </c>
      <c r="L203" s="100" t="s">
        <v>1030</v>
      </c>
      <c r="M203" s="5" t="s">
        <v>452</v>
      </c>
      <c r="N203" s="34" t="s">
        <v>464</v>
      </c>
      <c r="O203" s="5" t="s">
        <v>1031</v>
      </c>
      <c r="P203" s="5" t="s">
        <v>597</v>
      </c>
      <c r="Q203" s="5" t="s">
        <v>1032</v>
      </c>
      <c r="R203" s="5" t="s">
        <v>634</v>
      </c>
      <c r="S203" s="5" t="s">
        <v>1033</v>
      </c>
      <c r="T203" s="5" t="s">
        <v>445</v>
      </c>
      <c r="U203" s="5"/>
      <c r="V203" s="5"/>
      <c r="W203" s="5"/>
      <c r="X203" s="5"/>
      <c r="Y203" s="5"/>
      <c r="Z203" s="5"/>
      <c r="AA203" s="5"/>
    </row>
    <row r="204" spans="4:27" customFormat="1" ht="14">
      <c r="D204" s="214" t="s">
        <v>383</v>
      </c>
      <c r="E204" s="212" t="str">
        <f>+VLOOKUP(F204,Resumen_Base!$B$6:$F$69,5,0)</f>
        <v>Food &amp; Wine</v>
      </c>
      <c r="F204" s="36" t="s">
        <v>35</v>
      </c>
      <c r="G204" s="5" t="s">
        <v>34</v>
      </c>
      <c r="H204" s="5" t="str">
        <f t="shared" ref="H204:H267" si="3">+D204&amp;F204</f>
        <v>DEL5250</v>
      </c>
      <c r="I204" s="62">
        <v>30600</v>
      </c>
      <c r="J204" s="62">
        <v>21.549295774647899</v>
      </c>
      <c r="K204" s="62">
        <v>1420</v>
      </c>
      <c r="L204" s="100" t="s">
        <v>1030</v>
      </c>
      <c r="M204" s="5" t="s">
        <v>452</v>
      </c>
      <c r="N204" s="34" t="s">
        <v>464</v>
      </c>
      <c r="O204" s="5" t="s">
        <v>1031</v>
      </c>
      <c r="P204" s="5" t="s">
        <v>597</v>
      </c>
      <c r="Q204" s="5" t="s">
        <v>1032</v>
      </c>
      <c r="R204" s="5" t="s">
        <v>634</v>
      </c>
      <c r="S204" s="5" t="s">
        <v>1033</v>
      </c>
      <c r="T204" s="5" t="s">
        <v>445</v>
      </c>
      <c r="U204" s="5"/>
      <c r="V204" s="5"/>
      <c r="W204" s="5"/>
      <c r="X204" s="5"/>
      <c r="Y204" s="5"/>
      <c r="Z204" s="5"/>
      <c r="AA204" s="5"/>
    </row>
    <row r="205" spans="4:27" customFormat="1" ht="14">
      <c r="D205" s="214" t="s">
        <v>383</v>
      </c>
      <c r="E205" s="212" t="str">
        <f>+VLOOKUP(F205,Resumen_Base!$B$6:$F$69,5,0)</f>
        <v>Food &amp; Wine</v>
      </c>
      <c r="F205" s="36" t="s">
        <v>35</v>
      </c>
      <c r="G205" s="5" t="s">
        <v>34</v>
      </c>
      <c r="H205" s="5" t="str">
        <f t="shared" si="3"/>
        <v>DEL5250</v>
      </c>
      <c r="I205" s="62">
        <v>19800</v>
      </c>
      <c r="J205" s="62">
        <v>14.1428571428571</v>
      </c>
      <c r="K205" s="62">
        <v>1400</v>
      </c>
      <c r="L205" s="100" t="s">
        <v>834</v>
      </c>
      <c r="M205" s="5" t="s">
        <v>452</v>
      </c>
      <c r="N205" s="34" t="s">
        <v>464</v>
      </c>
      <c r="O205" s="5" t="s">
        <v>835</v>
      </c>
      <c r="P205" s="5" t="s">
        <v>597</v>
      </c>
      <c r="Q205" s="5" t="s">
        <v>836</v>
      </c>
      <c r="R205" s="5" t="s">
        <v>839</v>
      </c>
      <c r="S205" s="5" t="s">
        <v>838</v>
      </c>
      <c r="T205" s="5" t="s">
        <v>445</v>
      </c>
      <c r="U205" s="5"/>
      <c r="V205" s="5"/>
      <c r="W205" s="5"/>
      <c r="X205" s="5"/>
      <c r="Y205" s="5"/>
      <c r="Z205" s="5"/>
      <c r="AA205" s="5"/>
    </row>
    <row r="206" spans="4:27" customFormat="1" ht="14">
      <c r="D206" s="214" t="s">
        <v>383</v>
      </c>
      <c r="E206" s="212" t="str">
        <f>+VLOOKUP(F206,Resumen_Base!$B$6:$F$69,5,0)</f>
        <v>Food &amp; Wine</v>
      </c>
      <c r="F206" s="36" t="s">
        <v>35</v>
      </c>
      <c r="G206" s="5" t="s">
        <v>34</v>
      </c>
      <c r="H206" s="5" t="str">
        <f t="shared" si="3"/>
        <v>DEL5250</v>
      </c>
      <c r="I206" s="62">
        <v>295562</v>
      </c>
      <c r="J206" s="62">
        <v>206.686713286713</v>
      </c>
      <c r="K206" s="62">
        <v>1430</v>
      </c>
      <c r="L206" s="100" t="s">
        <v>751</v>
      </c>
      <c r="M206" s="5" t="s">
        <v>452</v>
      </c>
      <c r="N206" s="34" t="s">
        <v>464</v>
      </c>
      <c r="O206" s="5" t="s">
        <v>752</v>
      </c>
      <c r="P206" s="5" t="s">
        <v>597</v>
      </c>
      <c r="Q206" s="5" t="s">
        <v>753</v>
      </c>
      <c r="R206" s="5" t="s">
        <v>760</v>
      </c>
      <c r="S206" s="5" t="s">
        <v>755</v>
      </c>
      <c r="T206" s="5" t="s">
        <v>445</v>
      </c>
      <c r="U206" s="5"/>
      <c r="V206" s="5"/>
      <c r="W206" s="5"/>
      <c r="X206" s="5"/>
      <c r="Y206" s="5"/>
      <c r="Z206" s="5"/>
      <c r="AA206" s="5"/>
    </row>
    <row r="207" spans="4:27" customFormat="1" ht="14">
      <c r="D207" s="214" t="s">
        <v>383</v>
      </c>
      <c r="E207" s="212" t="str">
        <f>+VLOOKUP(F207,Resumen_Base!$B$6:$F$69,5,0)</f>
        <v>Food &amp; Wine</v>
      </c>
      <c r="F207" s="36" t="s">
        <v>35</v>
      </c>
      <c r="G207" s="5" t="s">
        <v>34</v>
      </c>
      <c r="H207" s="5" t="str">
        <f t="shared" si="3"/>
        <v>DEL5250</v>
      </c>
      <c r="I207" s="62">
        <v>548641</v>
      </c>
      <c r="J207" s="62">
        <v>386.36690140845099</v>
      </c>
      <c r="K207" s="62">
        <v>1420</v>
      </c>
      <c r="L207" s="100" t="s">
        <v>1030</v>
      </c>
      <c r="M207" s="5" t="s">
        <v>452</v>
      </c>
      <c r="N207" s="34" t="s">
        <v>464</v>
      </c>
      <c r="O207" s="5" t="s">
        <v>1031</v>
      </c>
      <c r="P207" s="5" t="s">
        <v>597</v>
      </c>
      <c r="Q207" s="5" t="s">
        <v>1032</v>
      </c>
      <c r="R207" s="5" t="s">
        <v>760</v>
      </c>
      <c r="S207" s="5" t="s">
        <v>1033</v>
      </c>
      <c r="T207" s="5" t="s">
        <v>445</v>
      </c>
      <c r="U207" s="5"/>
      <c r="V207" s="5"/>
      <c r="W207" s="5"/>
      <c r="X207" s="5"/>
      <c r="Y207" s="5"/>
      <c r="Z207" s="5"/>
      <c r="AA207" s="5"/>
    </row>
    <row r="208" spans="4:27" customFormat="1" ht="14">
      <c r="D208" s="214" t="s">
        <v>383</v>
      </c>
      <c r="E208" s="212" t="str">
        <f>+VLOOKUP(F208,Resumen_Base!$B$6:$F$69,5,0)</f>
        <v>Food &amp; Wine</v>
      </c>
      <c r="F208" s="36" t="s">
        <v>35</v>
      </c>
      <c r="G208" s="5" t="s">
        <v>34</v>
      </c>
      <c r="H208" s="5" t="str">
        <f t="shared" si="3"/>
        <v>DEL5250</v>
      </c>
      <c r="I208" s="62">
        <v>12870</v>
      </c>
      <c r="J208" s="62">
        <v>9</v>
      </c>
      <c r="K208" s="62">
        <v>1430</v>
      </c>
      <c r="L208" s="100" t="s">
        <v>751</v>
      </c>
      <c r="M208" s="5" t="s">
        <v>452</v>
      </c>
      <c r="N208" s="34" t="s">
        <v>464</v>
      </c>
      <c r="O208" s="5" t="s">
        <v>752</v>
      </c>
      <c r="P208" s="5" t="s">
        <v>597</v>
      </c>
      <c r="Q208" s="5" t="s">
        <v>753</v>
      </c>
      <c r="R208" s="5" t="s">
        <v>763</v>
      </c>
      <c r="S208" s="5" t="s">
        <v>755</v>
      </c>
      <c r="T208" s="5" t="s">
        <v>445</v>
      </c>
      <c r="U208" s="5"/>
      <c r="V208" s="5"/>
      <c r="W208" s="5"/>
      <c r="X208" s="5"/>
      <c r="Y208" s="5"/>
      <c r="Z208" s="5"/>
      <c r="AA208" s="5"/>
    </row>
    <row r="209" spans="1:27" customFormat="1" ht="14">
      <c r="D209" s="214" t="s">
        <v>383</v>
      </c>
      <c r="E209" s="212" t="str">
        <f>+VLOOKUP(F209,Resumen_Base!$B$6:$F$69,5,0)</f>
        <v>Food &amp; Wine</v>
      </c>
      <c r="F209" s="36" t="s">
        <v>35</v>
      </c>
      <c r="G209" s="5" t="s">
        <v>34</v>
      </c>
      <c r="H209" s="5" t="str">
        <f t="shared" si="3"/>
        <v>DEL5250</v>
      </c>
      <c r="I209" s="62">
        <v>20036</v>
      </c>
      <c r="J209" s="62">
        <v>13.357333333333299</v>
      </c>
      <c r="K209" s="62">
        <v>1500</v>
      </c>
      <c r="L209" s="100" t="s">
        <v>858</v>
      </c>
      <c r="M209" s="5" t="s">
        <v>452</v>
      </c>
      <c r="N209" s="34" t="s">
        <v>464</v>
      </c>
      <c r="O209" s="5" t="s">
        <v>880</v>
      </c>
      <c r="P209" s="5" t="s">
        <v>597</v>
      </c>
      <c r="Q209" s="5" t="s">
        <v>881</v>
      </c>
      <c r="R209" s="5" t="s">
        <v>763</v>
      </c>
      <c r="S209" s="5" t="s">
        <v>882</v>
      </c>
      <c r="T209" s="5" t="s">
        <v>445</v>
      </c>
      <c r="U209" s="5"/>
      <c r="V209" s="5"/>
      <c r="W209" s="5"/>
      <c r="X209" s="5"/>
      <c r="Y209" s="5"/>
      <c r="Z209" s="5"/>
      <c r="AA209" s="5"/>
    </row>
    <row r="210" spans="1:27" customFormat="1" ht="14">
      <c r="D210" s="214" t="s">
        <v>383</v>
      </c>
      <c r="E210" s="212" t="str">
        <f>+VLOOKUP(F210,Resumen_Base!$B$6:$F$69,5,0)</f>
        <v>Food &amp; Wine</v>
      </c>
      <c r="F210" s="36" t="s">
        <v>35</v>
      </c>
      <c r="G210" s="5" t="s">
        <v>34</v>
      </c>
      <c r="H210" s="5" t="str">
        <f t="shared" si="3"/>
        <v>DEL5250</v>
      </c>
      <c r="I210" s="62">
        <v>33570</v>
      </c>
      <c r="J210" s="62">
        <v>24.503649635036499</v>
      </c>
      <c r="K210" s="62">
        <v>1370</v>
      </c>
      <c r="L210" s="100" t="s">
        <v>451</v>
      </c>
      <c r="M210" s="5" t="s">
        <v>452</v>
      </c>
      <c r="N210" s="34" t="s">
        <v>464</v>
      </c>
      <c r="O210" s="5" t="s">
        <v>524</v>
      </c>
      <c r="P210" s="5" t="s">
        <v>454</v>
      </c>
      <c r="Q210" s="5" t="s">
        <v>525</v>
      </c>
      <c r="R210" s="5" t="s">
        <v>530</v>
      </c>
      <c r="S210" s="5" t="s">
        <v>527</v>
      </c>
      <c r="T210" s="5" t="s">
        <v>445</v>
      </c>
      <c r="U210" s="5"/>
      <c r="V210" s="5"/>
      <c r="W210" s="5"/>
      <c r="X210" s="5"/>
      <c r="Y210" s="5"/>
      <c r="Z210" s="5"/>
      <c r="AA210" s="5"/>
    </row>
    <row r="211" spans="1:27" customFormat="1" ht="14">
      <c r="D211" s="214" t="s">
        <v>383</v>
      </c>
      <c r="E211" s="212" t="str">
        <f>+VLOOKUP(F211,Resumen_Base!$B$6:$F$69,5,0)</f>
        <v>Food &amp; Wine</v>
      </c>
      <c r="F211" s="36" t="s">
        <v>35</v>
      </c>
      <c r="G211" s="5" t="s">
        <v>34</v>
      </c>
      <c r="H211" s="5" t="str">
        <f t="shared" si="3"/>
        <v>DEL5250</v>
      </c>
      <c r="I211" s="62">
        <v>708761</v>
      </c>
      <c r="J211" s="62">
        <v>506.25785714285701</v>
      </c>
      <c r="K211" s="62">
        <v>1400</v>
      </c>
      <c r="L211" s="100" t="s">
        <v>813</v>
      </c>
      <c r="M211" s="5" t="s">
        <v>452</v>
      </c>
      <c r="N211" s="34" t="s">
        <v>464</v>
      </c>
      <c r="O211" s="5" t="s">
        <v>817</v>
      </c>
      <c r="P211" s="5" t="s">
        <v>597</v>
      </c>
      <c r="Q211" s="5" t="s">
        <v>818</v>
      </c>
      <c r="R211" s="5" t="s">
        <v>826</v>
      </c>
      <c r="S211" s="5" t="s">
        <v>820</v>
      </c>
      <c r="T211" s="5" t="s">
        <v>445</v>
      </c>
      <c r="U211" s="5"/>
      <c r="V211" s="5"/>
      <c r="W211" s="5"/>
      <c r="X211" s="5"/>
      <c r="Y211" s="5"/>
      <c r="Z211" s="5"/>
      <c r="AA211" s="5"/>
    </row>
    <row r="212" spans="1:27" customFormat="1" ht="14">
      <c r="D212" s="214" t="s">
        <v>383</v>
      </c>
      <c r="E212" s="212" t="str">
        <f>+VLOOKUP(F212,Resumen_Base!$B$6:$F$69,5,0)</f>
        <v>Food &amp; Wine</v>
      </c>
      <c r="F212" s="36" t="s">
        <v>35</v>
      </c>
      <c r="G212" s="5" t="s">
        <v>34</v>
      </c>
      <c r="H212" s="5" t="str">
        <f t="shared" si="3"/>
        <v>DEL5250</v>
      </c>
      <c r="I212" s="62">
        <v>342258</v>
      </c>
      <c r="J212" s="62">
        <v>228.172</v>
      </c>
      <c r="K212" s="62">
        <v>1500</v>
      </c>
      <c r="L212" s="100" t="s">
        <v>914</v>
      </c>
      <c r="M212" s="5" t="s">
        <v>452</v>
      </c>
      <c r="N212" s="34" t="s">
        <v>464</v>
      </c>
      <c r="O212" s="5" t="s">
        <v>935</v>
      </c>
      <c r="P212" s="5" t="s">
        <v>597</v>
      </c>
      <c r="Q212" s="5" t="s">
        <v>936</v>
      </c>
      <c r="R212" s="5" t="s">
        <v>937</v>
      </c>
      <c r="S212" s="5" t="s">
        <v>938</v>
      </c>
      <c r="T212" s="5" t="s">
        <v>445</v>
      </c>
      <c r="U212" s="5"/>
      <c r="V212" s="5"/>
      <c r="W212" s="5"/>
      <c r="X212" s="5"/>
      <c r="Y212" s="5"/>
      <c r="Z212" s="5"/>
      <c r="AA212" s="5"/>
    </row>
    <row r="213" spans="1:27" customFormat="1" ht="14">
      <c r="D213" s="214" t="s">
        <v>383</v>
      </c>
      <c r="E213" s="212" t="str">
        <f>+VLOOKUP(F213,Resumen_Base!$B$6:$F$69,5,0)</f>
        <v>Food &amp; Wine</v>
      </c>
      <c r="F213" s="36" t="s">
        <v>35</v>
      </c>
      <c r="G213" s="5" t="s">
        <v>34</v>
      </c>
      <c r="H213" s="5" t="str">
        <f t="shared" si="3"/>
        <v>DEL5250</v>
      </c>
      <c r="I213" s="62">
        <v>510348</v>
      </c>
      <c r="J213" s="62">
        <v>364.534285714286</v>
      </c>
      <c r="K213" s="62">
        <v>1400</v>
      </c>
      <c r="L213" s="100" t="s">
        <v>813</v>
      </c>
      <c r="M213" s="5" t="s">
        <v>452</v>
      </c>
      <c r="N213" s="34" t="s">
        <v>464</v>
      </c>
      <c r="O213" s="5" t="s">
        <v>817</v>
      </c>
      <c r="P213" s="5" t="s">
        <v>597</v>
      </c>
      <c r="Q213" s="5" t="s">
        <v>818</v>
      </c>
      <c r="R213" s="5" t="s">
        <v>823</v>
      </c>
      <c r="S213" s="5" t="s">
        <v>820</v>
      </c>
      <c r="T213" s="5" t="s">
        <v>445</v>
      </c>
      <c r="U213" s="5"/>
      <c r="V213" s="5"/>
      <c r="W213" s="5"/>
      <c r="X213" s="5"/>
      <c r="Y213" s="5"/>
      <c r="Z213" s="5"/>
      <c r="AA213" s="5"/>
    </row>
    <row r="214" spans="1:27" customFormat="1" ht="14">
      <c r="D214" s="214" t="s">
        <v>383</v>
      </c>
      <c r="E214" s="212" t="str">
        <f>+VLOOKUP(F214,Resumen_Base!$B$6:$F$69,5,0)</f>
        <v>Food &amp; Wine</v>
      </c>
      <c r="F214" s="36" t="s">
        <v>35</v>
      </c>
      <c r="G214" s="5" t="s">
        <v>34</v>
      </c>
      <c r="H214" s="5" t="str">
        <f t="shared" si="3"/>
        <v>DEL5250</v>
      </c>
      <c r="I214" s="62">
        <v>126452</v>
      </c>
      <c r="J214" s="62">
        <v>84.301333333333304</v>
      </c>
      <c r="K214" s="62">
        <v>1500</v>
      </c>
      <c r="L214" s="100" t="s">
        <v>914</v>
      </c>
      <c r="M214" s="5" t="s">
        <v>452</v>
      </c>
      <c r="N214" s="34" t="s">
        <v>464</v>
      </c>
      <c r="O214" s="5" t="s">
        <v>935</v>
      </c>
      <c r="P214" s="5" t="s">
        <v>597</v>
      </c>
      <c r="Q214" s="5" t="s">
        <v>936</v>
      </c>
      <c r="R214" s="5" t="s">
        <v>945</v>
      </c>
      <c r="S214" s="5" t="s">
        <v>938</v>
      </c>
      <c r="T214" s="5" t="s">
        <v>445</v>
      </c>
      <c r="U214" s="5"/>
      <c r="V214" s="5"/>
      <c r="W214" s="5"/>
      <c r="X214" s="5"/>
      <c r="Y214" s="5"/>
      <c r="Z214" s="5"/>
      <c r="AA214" s="5"/>
    </row>
    <row r="215" spans="1:27" customFormat="1" ht="14">
      <c r="D215" s="214" t="s">
        <v>383</v>
      </c>
      <c r="E215" s="212" t="str">
        <f>+VLOOKUP(F215,Resumen_Base!$B$6:$F$69,5,0)</f>
        <v>Food &amp; Wine</v>
      </c>
      <c r="F215" s="36" t="s">
        <v>35</v>
      </c>
      <c r="G215" s="5" t="s">
        <v>34</v>
      </c>
      <c r="H215" s="5" t="str">
        <f t="shared" si="3"/>
        <v>DEL5250</v>
      </c>
      <c r="I215" s="62">
        <v>3000000</v>
      </c>
      <c r="J215" s="62">
        <v>2142.8571428571399</v>
      </c>
      <c r="K215" s="62">
        <v>1400</v>
      </c>
      <c r="L215" s="100" t="s">
        <v>854</v>
      </c>
      <c r="M215" s="5" t="s">
        <v>452</v>
      </c>
      <c r="N215" s="34" t="s">
        <v>464</v>
      </c>
      <c r="O215" s="5" t="s">
        <v>870</v>
      </c>
      <c r="P215" s="5" t="s">
        <v>597</v>
      </c>
      <c r="Q215" s="5" t="s">
        <v>871</v>
      </c>
      <c r="R215" s="5" t="s">
        <v>878</v>
      </c>
      <c r="S215" s="5" t="s">
        <v>873</v>
      </c>
      <c r="T215" s="5" t="s">
        <v>445</v>
      </c>
      <c r="U215" s="5"/>
      <c r="V215" s="5"/>
      <c r="W215" s="5"/>
      <c r="X215" s="5"/>
      <c r="Y215" s="5"/>
      <c r="Z215" s="5"/>
      <c r="AA215" s="5"/>
    </row>
    <row r="216" spans="1:27" customFormat="1" ht="14">
      <c r="D216" s="214" t="s">
        <v>383</v>
      </c>
      <c r="E216" s="212" t="str">
        <f>+VLOOKUP(F216,Resumen_Base!$B$6:$F$69,5,0)</f>
        <v>Food &amp; Wine</v>
      </c>
      <c r="F216" s="36" t="s">
        <v>33</v>
      </c>
      <c r="G216" s="5" t="s">
        <v>32</v>
      </c>
      <c r="H216" s="5" t="str">
        <f t="shared" si="3"/>
        <v>DEL5251</v>
      </c>
      <c r="I216" s="62">
        <v>240788</v>
      </c>
      <c r="J216" s="62">
        <v>169.56901408450699</v>
      </c>
      <c r="K216" s="62">
        <v>1420</v>
      </c>
      <c r="L216" s="100" t="s">
        <v>1030</v>
      </c>
      <c r="M216" s="5" t="s">
        <v>452</v>
      </c>
      <c r="N216" s="34" t="s">
        <v>464</v>
      </c>
      <c r="O216" s="5" t="s">
        <v>1031</v>
      </c>
      <c r="P216" s="5" t="s">
        <v>597</v>
      </c>
      <c r="Q216" s="5" t="s">
        <v>1032</v>
      </c>
      <c r="R216" s="5" t="s">
        <v>1049</v>
      </c>
      <c r="S216" s="5" t="s">
        <v>1033</v>
      </c>
      <c r="T216" s="5" t="s">
        <v>445</v>
      </c>
      <c r="U216" s="5"/>
      <c r="V216" s="5"/>
      <c r="W216" s="5"/>
      <c r="X216" s="5"/>
      <c r="Y216" s="5"/>
      <c r="Z216" s="5"/>
      <c r="AA216" s="5"/>
    </row>
    <row r="217" spans="1:27" customFormat="1" ht="14">
      <c r="D217" s="214" t="s">
        <v>383</v>
      </c>
      <c r="E217" s="212" t="str">
        <f>+VLOOKUP(F217,Resumen_Base!$B$6:$F$69,5,0)</f>
        <v>Food &amp; Wine</v>
      </c>
      <c r="F217" s="36" t="s">
        <v>33</v>
      </c>
      <c r="G217" s="5" t="s">
        <v>32</v>
      </c>
      <c r="H217" s="5" t="str">
        <f t="shared" si="3"/>
        <v>DEL5251</v>
      </c>
      <c r="I217" s="62">
        <v>283207</v>
      </c>
      <c r="J217" s="62">
        <v>203.746043165468</v>
      </c>
      <c r="K217" s="62">
        <v>1390</v>
      </c>
      <c r="L217" s="100" t="s">
        <v>628</v>
      </c>
      <c r="M217" s="5" t="s">
        <v>452</v>
      </c>
      <c r="N217" s="34" t="s">
        <v>464</v>
      </c>
      <c r="O217" s="5" t="s">
        <v>1019</v>
      </c>
      <c r="P217" s="5" t="s">
        <v>597</v>
      </c>
      <c r="Q217" s="5" t="s">
        <v>1020</v>
      </c>
      <c r="R217" s="5" t="s">
        <v>1027</v>
      </c>
      <c r="S217" s="5" t="s">
        <v>1022</v>
      </c>
      <c r="T217" s="5" t="s">
        <v>445</v>
      </c>
      <c r="U217" s="5"/>
      <c r="V217" s="5"/>
      <c r="W217" s="5"/>
      <c r="X217" s="5"/>
      <c r="Y217" s="5"/>
      <c r="Z217" s="5"/>
      <c r="AA217" s="5"/>
    </row>
    <row r="218" spans="1:27" customFormat="1" ht="14">
      <c r="D218" s="214" t="s">
        <v>383</v>
      </c>
      <c r="E218" s="212" t="str">
        <f>+VLOOKUP(F218,Resumen_Base!$B$6:$F$69,5,0)</f>
        <v>Food &amp; Wine</v>
      </c>
      <c r="F218" s="36" t="s">
        <v>33</v>
      </c>
      <c r="G218" s="5" t="s">
        <v>32</v>
      </c>
      <c r="H218" s="5" t="str">
        <f t="shared" si="3"/>
        <v>DEL5251</v>
      </c>
      <c r="I218" s="62">
        <v>103906</v>
      </c>
      <c r="J218" s="62">
        <v>73.692198581560305</v>
      </c>
      <c r="K218" s="62">
        <v>1410</v>
      </c>
      <c r="L218" s="100" t="s">
        <v>678</v>
      </c>
      <c r="M218" s="5" t="s">
        <v>452</v>
      </c>
      <c r="N218" s="34" t="s">
        <v>464</v>
      </c>
      <c r="O218" s="5" t="s">
        <v>683</v>
      </c>
      <c r="P218" s="5" t="s">
        <v>597</v>
      </c>
      <c r="Q218" s="5" t="s">
        <v>684</v>
      </c>
      <c r="R218" s="5" t="s">
        <v>696</v>
      </c>
      <c r="S218" s="5" t="s">
        <v>685</v>
      </c>
      <c r="T218" s="5" t="s">
        <v>445</v>
      </c>
      <c r="U218" s="5"/>
      <c r="V218" s="5"/>
      <c r="W218" s="5"/>
      <c r="X218" s="5"/>
      <c r="Y218" s="5"/>
      <c r="Z218" s="5"/>
      <c r="AA218" s="5"/>
    </row>
    <row r="219" spans="1:27" customFormat="1" ht="14">
      <c r="A219" s="300">
        <v>5252</v>
      </c>
      <c r="B219" s="36" t="s">
        <v>48</v>
      </c>
      <c r="D219" s="214" t="s">
        <v>383</v>
      </c>
      <c r="E219" s="212" t="str">
        <f>+VLOOKUP(F219,Resumen_Base!$B$6:$F$69,5,0)</f>
        <v>Maintenance Lodge</v>
      </c>
      <c r="F219" s="179" t="s">
        <v>31</v>
      </c>
      <c r="G219" s="168" t="s">
        <v>243</v>
      </c>
      <c r="H219" s="5" t="str">
        <f t="shared" si="3"/>
        <v>DEL5252</v>
      </c>
      <c r="I219" s="62">
        <v>78000</v>
      </c>
      <c r="J219" s="62">
        <v>54.545454545454497</v>
      </c>
      <c r="K219" s="62">
        <v>1430</v>
      </c>
      <c r="L219" s="100" t="s">
        <v>751</v>
      </c>
      <c r="M219" s="5" t="s">
        <v>452</v>
      </c>
      <c r="N219" s="34" t="s">
        <v>464</v>
      </c>
      <c r="O219" s="5" t="s">
        <v>752</v>
      </c>
      <c r="P219" s="5" t="s">
        <v>597</v>
      </c>
      <c r="Q219" s="5" t="s">
        <v>753</v>
      </c>
      <c r="R219" s="5" t="s">
        <v>689</v>
      </c>
      <c r="S219" s="5" t="s">
        <v>755</v>
      </c>
      <c r="T219" s="5" t="s">
        <v>445</v>
      </c>
      <c r="U219" s="5"/>
      <c r="V219" s="5"/>
      <c r="W219" s="5"/>
      <c r="X219" s="5"/>
      <c r="Y219" s="5"/>
      <c r="Z219" s="5"/>
      <c r="AA219" s="5"/>
    </row>
    <row r="220" spans="1:27" customFormat="1" ht="14">
      <c r="A220" s="300">
        <v>5252</v>
      </c>
      <c r="B220" s="36" t="s">
        <v>48</v>
      </c>
      <c r="D220" s="214" t="s">
        <v>383</v>
      </c>
      <c r="E220" s="212" t="str">
        <f>+VLOOKUP(F220,Resumen_Base!$B$6:$F$69,5,0)</f>
        <v>Maintenance Lodge</v>
      </c>
      <c r="F220" s="179" t="s">
        <v>31</v>
      </c>
      <c r="G220" s="168" t="s">
        <v>243</v>
      </c>
      <c r="H220" s="5" t="str">
        <f t="shared" si="3"/>
        <v>DEL5252</v>
      </c>
      <c r="I220" s="62">
        <v>82500</v>
      </c>
      <c r="J220" s="62">
        <v>58.510638297872298</v>
      </c>
      <c r="K220" s="62">
        <v>1410</v>
      </c>
      <c r="L220" s="100" t="s">
        <v>678</v>
      </c>
      <c r="M220" s="5" t="s">
        <v>452</v>
      </c>
      <c r="N220" s="34" t="s">
        <v>464</v>
      </c>
      <c r="O220" s="5" t="s">
        <v>683</v>
      </c>
      <c r="P220" s="5" t="s">
        <v>597</v>
      </c>
      <c r="Q220" s="5" t="s">
        <v>684</v>
      </c>
      <c r="R220" s="5" t="s">
        <v>693</v>
      </c>
      <c r="S220" s="5" t="s">
        <v>685</v>
      </c>
      <c r="T220" s="5" t="s">
        <v>445</v>
      </c>
      <c r="U220" s="5"/>
      <c r="V220" s="5"/>
      <c r="W220" s="5"/>
      <c r="X220" s="5"/>
      <c r="Y220" s="5"/>
      <c r="Z220" s="5"/>
      <c r="AA220" s="5"/>
    </row>
    <row r="221" spans="1:27" customFormat="1" ht="14">
      <c r="A221" s="300">
        <v>5252</v>
      </c>
      <c r="B221" s="36" t="s">
        <v>48</v>
      </c>
      <c r="D221" s="214" t="s">
        <v>383</v>
      </c>
      <c r="E221" s="212" t="str">
        <f>+VLOOKUP(F221,Resumen_Base!$B$6:$F$69,5,0)</f>
        <v>Maintenance Lodge</v>
      </c>
      <c r="F221" s="179" t="s">
        <v>31</v>
      </c>
      <c r="G221" s="168" t="s">
        <v>243</v>
      </c>
      <c r="H221" s="5" t="str">
        <f t="shared" si="3"/>
        <v>DEL5252</v>
      </c>
      <c r="I221" s="62">
        <v>90000</v>
      </c>
      <c r="J221" s="62">
        <v>60</v>
      </c>
      <c r="K221" s="62">
        <v>1500</v>
      </c>
      <c r="L221" s="100" t="s">
        <v>858</v>
      </c>
      <c r="M221" s="5" t="s">
        <v>452</v>
      </c>
      <c r="N221" s="34" t="s">
        <v>464</v>
      </c>
      <c r="O221" s="5" t="s">
        <v>880</v>
      </c>
      <c r="P221" s="5" t="s">
        <v>597</v>
      </c>
      <c r="Q221" s="5" t="s">
        <v>881</v>
      </c>
      <c r="R221" s="5" t="s">
        <v>894</v>
      </c>
      <c r="S221" s="5" t="s">
        <v>882</v>
      </c>
      <c r="T221" s="5" t="s">
        <v>445</v>
      </c>
      <c r="U221" s="5"/>
      <c r="V221" s="5"/>
      <c r="W221" s="5"/>
      <c r="X221" s="5"/>
      <c r="Y221" s="5"/>
      <c r="Z221" s="5"/>
      <c r="AA221" s="5"/>
    </row>
    <row r="222" spans="1:27" customFormat="1" ht="14">
      <c r="A222" s="300">
        <v>5252</v>
      </c>
      <c r="B222" s="36" t="s">
        <v>48</v>
      </c>
      <c r="D222" s="214" t="s">
        <v>383</v>
      </c>
      <c r="E222" s="212" t="str">
        <f>+VLOOKUP(F222,Resumen_Base!$B$6:$F$69,5,0)</f>
        <v>Maintenance Lodge</v>
      </c>
      <c r="F222" s="179" t="s">
        <v>31</v>
      </c>
      <c r="G222" s="168" t="s">
        <v>243</v>
      </c>
      <c r="H222" s="5" t="str">
        <f t="shared" si="3"/>
        <v>DEL5252</v>
      </c>
      <c r="I222" s="62">
        <v>48450</v>
      </c>
      <c r="J222" s="62">
        <v>32.299999999999997</v>
      </c>
      <c r="K222" s="62">
        <v>1500</v>
      </c>
      <c r="L222" s="100" t="s">
        <v>858</v>
      </c>
      <c r="M222" s="5" t="s">
        <v>452</v>
      </c>
      <c r="N222" s="34" t="s">
        <v>464</v>
      </c>
      <c r="O222" s="5" t="s">
        <v>880</v>
      </c>
      <c r="P222" s="5" t="s">
        <v>597</v>
      </c>
      <c r="Q222" s="5" t="s">
        <v>881</v>
      </c>
      <c r="R222" s="5" t="s">
        <v>895</v>
      </c>
      <c r="S222" s="5" t="s">
        <v>882</v>
      </c>
      <c r="T222" s="5" t="s">
        <v>445</v>
      </c>
      <c r="U222" s="5"/>
      <c r="V222" s="5"/>
      <c r="W222" s="5"/>
      <c r="X222" s="5"/>
      <c r="Y222" s="5"/>
      <c r="Z222" s="5"/>
      <c r="AA222" s="5"/>
    </row>
    <row r="223" spans="1:27" customFormat="1" ht="14">
      <c r="A223" s="300">
        <v>5252</v>
      </c>
      <c r="B223" s="36" t="s">
        <v>84</v>
      </c>
      <c r="D223" s="214" t="s">
        <v>383</v>
      </c>
      <c r="E223" s="212" t="str">
        <f>+VLOOKUP(F223,Resumen_Base!$B$6:$F$69,5,0)</f>
        <v>Maintenance Lodge</v>
      </c>
      <c r="F223" s="179" t="s">
        <v>31</v>
      </c>
      <c r="G223" s="168" t="s">
        <v>243</v>
      </c>
      <c r="H223" s="5" t="str">
        <f t="shared" si="3"/>
        <v>DEL5252</v>
      </c>
      <c r="I223" s="62">
        <v>122500</v>
      </c>
      <c r="J223" s="62">
        <v>85.664335664335695</v>
      </c>
      <c r="K223" s="62">
        <v>1430</v>
      </c>
      <c r="L223" s="100" t="s">
        <v>751</v>
      </c>
      <c r="M223" s="5" t="s">
        <v>452</v>
      </c>
      <c r="N223" s="34" t="s">
        <v>464</v>
      </c>
      <c r="O223" s="5" t="s">
        <v>752</v>
      </c>
      <c r="P223" s="5" t="s">
        <v>597</v>
      </c>
      <c r="Q223" s="5" t="s">
        <v>753</v>
      </c>
      <c r="R223" s="5" t="s">
        <v>768</v>
      </c>
      <c r="S223" s="5" t="s">
        <v>755</v>
      </c>
      <c r="T223" s="5" t="s">
        <v>445</v>
      </c>
      <c r="U223" s="5"/>
      <c r="V223" s="5"/>
      <c r="W223" s="5"/>
      <c r="X223" s="5"/>
      <c r="Y223" s="5"/>
      <c r="Z223" s="5"/>
      <c r="AA223" s="5"/>
    </row>
    <row r="224" spans="1:27" customFormat="1" ht="14">
      <c r="A224" s="300">
        <v>5252</v>
      </c>
      <c r="B224">
        <v>5263</v>
      </c>
      <c r="D224" s="214" t="s">
        <v>383</v>
      </c>
      <c r="E224" s="212" t="str">
        <f>+VLOOKUP(F224,Resumen_Base!$B$6:$F$69,5,0)</f>
        <v>Maintenance Lodge</v>
      </c>
      <c r="F224" s="179" t="s">
        <v>31</v>
      </c>
      <c r="G224" s="168" t="s">
        <v>243</v>
      </c>
      <c r="H224" s="5" t="str">
        <f t="shared" si="3"/>
        <v>DEL5252</v>
      </c>
      <c r="I224" s="62">
        <v>10000</v>
      </c>
      <c r="J224" s="62">
        <v>7.6923076923076898</v>
      </c>
      <c r="K224" s="62">
        <v>1300</v>
      </c>
      <c r="L224" s="100" t="s">
        <v>476</v>
      </c>
      <c r="M224" s="5" t="s">
        <v>452</v>
      </c>
      <c r="N224" s="34" t="s">
        <v>464</v>
      </c>
      <c r="O224" s="5" t="s">
        <v>477</v>
      </c>
      <c r="P224" s="5" t="s">
        <v>454</v>
      </c>
      <c r="Q224" s="5" t="s">
        <v>478</v>
      </c>
      <c r="R224" s="5" t="s">
        <v>484</v>
      </c>
      <c r="S224" s="5" t="s">
        <v>480</v>
      </c>
      <c r="T224" s="5" t="s">
        <v>445</v>
      </c>
      <c r="U224" s="5"/>
      <c r="V224" s="5"/>
      <c r="W224" s="5"/>
      <c r="X224" s="5"/>
      <c r="Y224" s="5"/>
      <c r="Z224" s="5"/>
      <c r="AA224" s="5"/>
    </row>
    <row r="225" spans="1:27" customFormat="1" ht="14">
      <c r="A225" s="300">
        <v>5252</v>
      </c>
      <c r="B225">
        <v>5263</v>
      </c>
      <c r="D225" s="214" t="s">
        <v>383</v>
      </c>
      <c r="E225" s="212" t="str">
        <f>+VLOOKUP(F225,Resumen_Base!$B$6:$F$69,5,0)</f>
        <v>Maintenance Lodge</v>
      </c>
      <c r="F225" s="179" t="s">
        <v>31</v>
      </c>
      <c r="G225" s="168" t="s">
        <v>243</v>
      </c>
      <c r="H225" s="5" t="str">
        <f t="shared" si="3"/>
        <v>DEL5252</v>
      </c>
      <c r="I225" s="62">
        <v>5000</v>
      </c>
      <c r="J225" s="62">
        <v>3.52112676056338</v>
      </c>
      <c r="K225" s="62">
        <v>1420</v>
      </c>
      <c r="L225" s="100" t="s">
        <v>1030</v>
      </c>
      <c r="M225" s="5" t="s">
        <v>452</v>
      </c>
      <c r="N225" s="34" t="s">
        <v>464</v>
      </c>
      <c r="O225" s="5" t="s">
        <v>1031</v>
      </c>
      <c r="P225" s="5" t="s">
        <v>597</v>
      </c>
      <c r="Q225" s="5" t="s">
        <v>1032</v>
      </c>
      <c r="R225" s="5" t="s">
        <v>1036</v>
      </c>
      <c r="S225" s="5" t="s">
        <v>1033</v>
      </c>
      <c r="T225" s="5" t="s">
        <v>445</v>
      </c>
      <c r="U225" s="5"/>
      <c r="V225" s="5"/>
      <c r="W225" s="5"/>
      <c r="X225" s="5"/>
      <c r="Y225" s="5"/>
      <c r="Z225" s="5"/>
      <c r="AA225" s="5"/>
    </row>
    <row r="226" spans="1:27" customFormat="1" ht="14">
      <c r="D226" s="214" t="s">
        <v>383</v>
      </c>
      <c r="E226" s="212" t="str">
        <f>+VLOOKUP(F226,Resumen_Base!$B$6:$F$69,5,0)</f>
        <v>Maintenance Lodge</v>
      </c>
      <c r="F226" s="36" t="s">
        <v>31</v>
      </c>
      <c r="G226" s="5" t="s">
        <v>30</v>
      </c>
      <c r="H226" s="5" t="str">
        <f t="shared" si="3"/>
        <v>DEL5252</v>
      </c>
      <c r="I226" s="62">
        <v>8400</v>
      </c>
      <c r="J226" s="62">
        <v>5.9154929577464799</v>
      </c>
      <c r="K226" s="62">
        <v>1420</v>
      </c>
      <c r="L226" s="100" t="s">
        <v>1030</v>
      </c>
      <c r="M226" s="5" t="s">
        <v>452</v>
      </c>
      <c r="N226" s="34" t="s">
        <v>464</v>
      </c>
      <c r="O226" s="5" t="s">
        <v>1031</v>
      </c>
      <c r="P226" s="5" t="s">
        <v>597</v>
      </c>
      <c r="Q226" s="5" t="s">
        <v>1032</v>
      </c>
      <c r="R226" s="5" t="s">
        <v>1047</v>
      </c>
      <c r="S226" s="5" t="s">
        <v>1033</v>
      </c>
      <c r="T226" s="5" t="s">
        <v>445</v>
      </c>
      <c r="U226" s="5"/>
      <c r="V226" s="5"/>
      <c r="W226" s="5"/>
      <c r="X226" s="5"/>
      <c r="Y226" s="5"/>
      <c r="Z226" s="5"/>
      <c r="AA226" s="5"/>
    </row>
    <row r="227" spans="1:27" customFormat="1" ht="14">
      <c r="D227" s="214" t="s">
        <v>383</v>
      </c>
      <c r="E227" s="212" t="str">
        <f>+VLOOKUP(F227,Resumen_Base!$B$6:$F$69,5,0)</f>
        <v>Maintenance Lodge</v>
      </c>
      <c r="F227" s="36" t="s">
        <v>31</v>
      </c>
      <c r="G227" s="5" t="s">
        <v>30</v>
      </c>
      <c r="H227" s="5" t="str">
        <f t="shared" si="3"/>
        <v>DEL5252</v>
      </c>
      <c r="I227" s="62">
        <v>14000</v>
      </c>
      <c r="J227" s="62">
        <v>9.8591549295774605</v>
      </c>
      <c r="K227" s="62">
        <v>1420</v>
      </c>
      <c r="L227" s="100" t="s">
        <v>1030</v>
      </c>
      <c r="M227" s="5" t="s">
        <v>452</v>
      </c>
      <c r="N227" s="34" t="s">
        <v>464</v>
      </c>
      <c r="O227" s="5" t="s">
        <v>1031</v>
      </c>
      <c r="P227" s="5" t="s">
        <v>597</v>
      </c>
      <c r="Q227" s="5" t="s">
        <v>1032</v>
      </c>
      <c r="R227" s="5" t="s">
        <v>1043</v>
      </c>
      <c r="S227" s="5" t="s">
        <v>1033</v>
      </c>
      <c r="T227" s="5" t="s">
        <v>445</v>
      </c>
      <c r="U227" s="5"/>
      <c r="V227" s="5"/>
      <c r="W227" s="5"/>
      <c r="X227" s="5"/>
      <c r="Y227" s="5"/>
      <c r="Z227" s="5"/>
      <c r="AA227" s="5"/>
    </row>
    <row r="228" spans="1:27" customFormat="1" ht="14">
      <c r="D228" s="214" t="s">
        <v>383</v>
      </c>
      <c r="E228" s="212" t="str">
        <f>+VLOOKUP(F228,Resumen_Base!$B$6:$F$69,5,0)</f>
        <v>Maintenance Lodge</v>
      </c>
      <c r="F228" s="36" t="s">
        <v>31</v>
      </c>
      <c r="G228" s="5" t="s">
        <v>30</v>
      </c>
      <c r="H228" s="5" t="str">
        <f t="shared" si="3"/>
        <v>DEL5252</v>
      </c>
      <c r="I228" s="62">
        <v>238680</v>
      </c>
      <c r="J228" s="62">
        <v>168.08450704225399</v>
      </c>
      <c r="K228" s="62">
        <v>1420</v>
      </c>
      <c r="L228" s="100" t="s">
        <v>1030</v>
      </c>
      <c r="M228" s="5" t="s">
        <v>452</v>
      </c>
      <c r="N228" s="34" t="s">
        <v>464</v>
      </c>
      <c r="O228" s="5" t="s">
        <v>1031</v>
      </c>
      <c r="P228" s="5" t="s">
        <v>597</v>
      </c>
      <c r="Q228" s="5" t="s">
        <v>1032</v>
      </c>
      <c r="R228" s="5" t="s">
        <v>1064</v>
      </c>
      <c r="S228" s="5" t="s">
        <v>1033</v>
      </c>
      <c r="T228" s="5" t="s">
        <v>445</v>
      </c>
      <c r="U228" s="5"/>
      <c r="V228" s="5"/>
      <c r="W228" s="5"/>
      <c r="X228" s="5"/>
      <c r="Y228" s="5"/>
      <c r="Z228" s="5"/>
      <c r="AA228" s="5"/>
    </row>
    <row r="229" spans="1:27" customFormat="1" ht="14">
      <c r="D229" s="214" t="s">
        <v>383</v>
      </c>
      <c r="E229" s="212" t="str">
        <f>+VLOOKUP(F229,Resumen_Base!$B$6:$F$69,5,0)</f>
        <v>Maintenance Lodge</v>
      </c>
      <c r="F229" s="36" t="s">
        <v>31</v>
      </c>
      <c r="G229" s="5" t="s">
        <v>30</v>
      </c>
      <c r="H229" s="5" t="str">
        <f t="shared" si="3"/>
        <v>DEL5252</v>
      </c>
      <c r="I229" s="62">
        <v>3207</v>
      </c>
      <c r="J229" s="62">
        <v>2.2744680851063799</v>
      </c>
      <c r="K229" s="62">
        <v>1410</v>
      </c>
      <c r="L229" s="100" t="s">
        <v>678</v>
      </c>
      <c r="M229" s="5" t="s">
        <v>452</v>
      </c>
      <c r="N229" s="34" t="s">
        <v>464</v>
      </c>
      <c r="O229" s="5" t="s">
        <v>683</v>
      </c>
      <c r="P229" s="5" t="s">
        <v>597</v>
      </c>
      <c r="Q229" s="5" t="s">
        <v>684</v>
      </c>
      <c r="R229" s="5" t="s">
        <v>698</v>
      </c>
      <c r="S229" s="5" t="s">
        <v>685</v>
      </c>
      <c r="T229" s="5" t="s">
        <v>445</v>
      </c>
      <c r="U229" s="5"/>
      <c r="V229" s="5"/>
      <c r="W229" s="5"/>
      <c r="X229" s="5"/>
      <c r="Y229" s="5"/>
      <c r="Z229" s="5"/>
      <c r="AA229" s="5"/>
    </row>
    <row r="230" spans="1:27" customFormat="1" ht="14">
      <c r="D230" s="214" t="s">
        <v>383</v>
      </c>
      <c r="E230" s="212" t="str">
        <f>+VLOOKUP(F230,Resumen_Base!$B$6:$F$69,5,0)</f>
        <v>Maintenance Lodge</v>
      </c>
      <c r="F230" s="36" t="s">
        <v>31</v>
      </c>
      <c r="G230" s="5" t="s">
        <v>30</v>
      </c>
      <c r="H230" s="5" t="str">
        <f t="shared" si="3"/>
        <v>DEL5252</v>
      </c>
      <c r="I230" s="62">
        <v>5840</v>
      </c>
      <c r="J230" s="62">
        <v>4.1418439716312099</v>
      </c>
      <c r="K230" s="62">
        <v>1410</v>
      </c>
      <c r="L230" s="100" t="s">
        <v>678</v>
      </c>
      <c r="M230" s="5" t="s">
        <v>452</v>
      </c>
      <c r="N230" s="34" t="s">
        <v>464</v>
      </c>
      <c r="O230" s="5" t="s">
        <v>683</v>
      </c>
      <c r="P230" s="5" t="s">
        <v>597</v>
      </c>
      <c r="Q230" s="5" t="s">
        <v>684</v>
      </c>
      <c r="R230" s="5" t="s">
        <v>698</v>
      </c>
      <c r="S230" s="5" t="s">
        <v>685</v>
      </c>
      <c r="T230" s="5" t="s">
        <v>445</v>
      </c>
      <c r="U230" s="5"/>
      <c r="V230" s="5"/>
      <c r="W230" s="5"/>
      <c r="X230" s="5"/>
      <c r="Y230" s="5"/>
      <c r="Z230" s="5"/>
      <c r="AA230" s="5"/>
    </row>
    <row r="231" spans="1:27" customFormat="1" ht="14">
      <c r="D231" s="214" t="s">
        <v>383</v>
      </c>
      <c r="E231" s="212" t="str">
        <f>+VLOOKUP(F231,Resumen_Base!$B$6:$F$69,5,0)</f>
        <v>Maintenance Lodge</v>
      </c>
      <c r="F231" s="36" t="s">
        <v>31</v>
      </c>
      <c r="G231" s="5" t="s">
        <v>30</v>
      </c>
      <c r="H231" s="5" t="str">
        <f t="shared" si="3"/>
        <v>DEL5252</v>
      </c>
      <c r="I231" s="62">
        <v>66020</v>
      </c>
      <c r="J231" s="62">
        <v>46.822695035461003</v>
      </c>
      <c r="K231" s="62">
        <v>1410</v>
      </c>
      <c r="L231" s="100" t="s">
        <v>678</v>
      </c>
      <c r="M231" s="5" t="s">
        <v>452</v>
      </c>
      <c r="N231" s="34" t="s">
        <v>464</v>
      </c>
      <c r="O231" s="5" t="s">
        <v>683</v>
      </c>
      <c r="P231" s="5" t="s">
        <v>597</v>
      </c>
      <c r="Q231" s="5" t="s">
        <v>684</v>
      </c>
      <c r="R231" s="5" t="s">
        <v>698</v>
      </c>
      <c r="S231" s="5" t="s">
        <v>685</v>
      </c>
      <c r="T231" s="5" t="s">
        <v>445</v>
      </c>
      <c r="U231" s="5"/>
      <c r="V231" s="5"/>
      <c r="W231" s="5"/>
      <c r="X231" s="5"/>
      <c r="Y231" s="5"/>
      <c r="Z231" s="5"/>
      <c r="AA231" s="5"/>
    </row>
    <row r="232" spans="1:27" customFormat="1" ht="14">
      <c r="D232" s="214" t="s">
        <v>383</v>
      </c>
      <c r="E232" s="212" t="str">
        <f>+VLOOKUP(F232,Resumen_Base!$B$6:$F$69,5,0)</f>
        <v>Maintenance Lodge</v>
      </c>
      <c r="F232" s="36" t="s">
        <v>31</v>
      </c>
      <c r="G232" s="5" t="s">
        <v>30</v>
      </c>
      <c r="H232" s="5" t="str">
        <f t="shared" si="3"/>
        <v>DEL5252</v>
      </c>
      <c r="I232" s="62">
        <v>108500</v>
      </c>
      <c r="J232" s="62">
        <v>76.408450704225402</v>
      </c>
      <c r="K232" s="62">
        <v>1420</v>
      </c>
      <c r="L232" s="100" t="s">
        <v>1030</v>
      </c>
      <c r="M232" s="5" t="s">
        <v>452</v>
      </c>
      <c r="N232" s="34" t="s">
        <v>464</v>
      </c>
      <c r="O232" s="5" t="s">
        <v>1031</v>
      </c>
      <c r="P232" s="5" t="s">
        <v>597</v>
      </c>
      <c r="Q232" s="5" t="s">
        <v>1032</v>
      </c>
      <c r="R232" s="5" t="s">
        <v>1050</v>
      </c>
      <c r="S232" s="5" t="s">
        <v>1033</v>
      </c>
      <c r="T232" s="5" t="s">
        <v>445</v>
      </c>
      <c r="U232" s="5"/>
      <c r="V232" s="5"/>
      <c r="W232" s="5"/>
      <c r="X232" s="5"/>
      <c r="Y232" s="5"/>
      <c r="Z232" s="5"/>
      <c r="AA232" s="5"/>
    </row>
    <row r="233" spans="1:27" customFormat="1" ht="14">
      <c r="D233" s="214" t="s">
        <v>383</v>
      </c>
      <c r="E233" s="212" t="str">
        <f>+VLOOKUP(F233,Resumen_Base!$B$6:$F$69,5,0)</f>
        <v>Maintenance Lodge</v>
      </c>
      <c r="F233" s="36" t="s">
        <v>31</v>
      </c>
      <c r="G233" s="5" t="s">
        <v>30</v>
      </c>
      <c r="H233" s="5" t="str">
        <f t="shared" si="3"/>
        <v>DEL5252</v>
      </c>
      <c r="I233" s="62">
        <v>18000</v>
      </c>
      <c r="J233" s="62">
        <v>12.6760563380282</v>
      </c>
      <c r="K233" s="62">
        <v>1420</v>
      </c>
      <c r="L233" s="100" t="s">
        <v>1030</v>
      </c>
      <c r="M233" s="5" t="s">
        <v>452</v>
      </c>
      <c r="N233" s="34" t="s">
        <v>464</v>
      </c>
      <c r="O233" s="5" t="s">
        <v>1031</v>
      </c>
      <c r="P233" s="5" t="s">
        <v>597</v>
      </c>
      <c r="Q233" s="5" t="s">
        <v>1032</v>
      </c>
      <c r="R233" s="5" t="s">
        <v>1058</v>
      </c>
      <c r="S233" s="5" t="s">
        <v>1033</v>
      </c>
      <c r="T233" s="5" t="s">
        <v>445</v>
      </c>
      <c r="U233" s="5"/>
      <c r="V233" s="5"/>
      <c r="W233" s="5"/>
      <c r="X233" s="5"/>
      <c r="Y233" s="5"/>
      <c r="Z233" s="5"/>
      <c r="AA233" s="5"/>
    </row>
    <row r="234" spans="1:27" customFormat="1" ht="14">
      <c r="D234" s="214" t="s">
        <v>383</v>
      </c>
      <c r="E234" s="212" t="str">
        <f>+VLOOKUP(F234,Resumen_Base!$B$6:$F$69,5,0)</f>
        <v>Maintenance Lodge</v>
      </c>
      <c r="F234" s="36" t="s">
        <v>31</v>
      </c>
      <c r="G234" s="5" t="s">
        <v>30</v>
      </c>
      <c r="H234" s="5" t="str">
        <f t="shared" si="3"/>
        <v>DEL5252</v>
      </c>
      <c r="I234" s="62">
        <v>28000</v>
      </c>
      <c r="J234" s="62">
        <v>19.7183098591549</v>
      </c>
      <c r="K234" s="62">
        <v>1420</v>
      </c>
      <c r="L234" s="100" t="s">
        <v>1030</v>
      </c>
      <c r="M234" s="5" t="s">
        <v>452</v>
      </c>
      <c r="N234" s="34" t="s">
        <v>464</v>
      </c>
      <c r="O234" s="5" t="s">
        <v>1031</v>
      </c>
      <c r="P234" s="5" t="s">
        <v>597</v>
      </c>
      <c r="Q234" s="5" t="s">
        <v>1032</v>
      </c>
      <c r="R234" s="5" t="s">
        <v>1058</v>
      </c>
      <c r="S234" s="5" t="s">
        <v>1033</v>
      </c>
      <c r="T234" s="5" t="s">
        <v>445</v>
      </c>
      <c r="U234" s="5"/>
      <c r="V234" s="5"/>
      <c r="W234" s="5"/>
      <c r="X234" s="5"/>
      <c r="Y234" s="5"/>
      <c r="Z234" s="5"/>
      <c r="AA234" s="5"/>
    </row>
    <row r="235" spans="1:27" customFormat="1" ht="14">
      <c r="D235" s="214" t="s">
        <v>383</v>
      </c>
      <c r="E235" s="212" t="str">
        <f>+VLOOKUP(F235,Resumen_Base!$B$6:$F$69,5,0)</f>
        <v>Maintenance Lodge</v>
      </c>
      <c r="F235" s="36" t="s">
        <v>31</v>
      </c>
      <c r="G235" s="5" t="s">
        <v>30</v>
      </c>
      <c r="H235" s="5" t="str">
        <f t="shared" si="3"/>
        <v>DEL5252</v>
      </c>
      <c r="I235" s="62">
        <v>7000</v>
      </c>
      <c r="J235" s="62">
        <v>4.9295774647887303</v>
      </c>
      <c r="K235" s="62">
        <v>1420</v>
      </c>
      <c r="L235" s="100" t="s">
        <v>1030</v>
      </c>
      <c r="M235" s="5" t="s">
        <v>452</v>
      </c>
      <c r="N235" s="34" t="s">
        <v>464</v>
      </c>
      <c r="O235" s="5" t="s">
        <v>1031</v>
      </c>
      <c r="P235" s="5" t="s">
        <v>597</v>
      </c>
      <c r="Q235" s="5" t="s">
        <v>1032</v>
      </c>
      <c r="R235" s="5" t="s">
        <v>1046</v>
      </c>
      <c r="S235" s="5" t="s">
        <v>1033</v>
      </c>
      <c r="T235" s="5" t="s">
        <v>445</v>
      </c>
      <c r="U235" s="5"/>
      <c r="V235" s="5"/>
      <c r="W235" s="5"/>
      <c r="X235" s="5"/>
      <c r="Y235" s="5"/>
      <c r="Z235" s="5"/>
      <c r="AA235" s="5"/>
    </row>
    <row r="236" spans="1:27" customFormat="1" ht="14">
      <c r="D236" s="214" t="s">
        <v>383</v>
      </c>
      <c r="E236" s="212" t="str">
        <f>+VLOOKUP(F236,Resumen_Base!$B$6:$F$69,5,0)</f>
        <v>Maintenance Lodge</v>
      </c>
      <c r="F236" s="36" t="s">
        <v>31</v>
      </c>
      <c r="G236" s="5" t="s">
        <v>30</v>
      </c>
      <c r="H236" s="5" t="str">
        <f t="shared" si="3"/>
        <v>DEL5252</v>
      </c>
      <c r="I236" s="62">
        <v>9000</v>
      </c>
      <c r="J236" s="62">
        <v>6.5693430656934302</v>
      </c>
      <c r="K236" s="62">
        <v>1370</v>
      </c>
      <c r="L236" s="100" t="s">
        <v>468</v>
      </c>
      <c r="M236" s="5" t="s">
        <v>452</v>
      </c>
      <c r="N236" s="34" t="s">
        <v>464</v>
      </c>
      <c r="O236" s="5" t="s">
        <v>510</v>
      </c>
      <c r="P236" s="5" t="s">
        <v>454</v>
      </c>
      <c r="Q236" s="5" t="s">
        <v>511</v>
      </c>
      <c r="R236" s="5" t="s">
        <v>515</v>
      </c>
      <c r="S236" s="5" t="s">
        <v>513</v>
      </c>
      <c r="T236" s="5" t="s">
        <v>445</v>
      </c>
      <c r="U236" s="5"/>
      <c r="V236" s="5"/>
      <c r="W236" s="5"/>
      <c r="X236" s="5"/>
      <c r="Y236" s="5"/>
      <c r="Z236" s="5"/>
      <c r="AA236" s="5"/>
    </row>
    <row r="237" spans="1:27" customFormat="1" ht="14">
      <c r="D237" s="214" t="s">
        <v>383</v>
      </c>
      <c r="E237" s="212" t="str">
        <f>+VLOOKUP(F237,Resumen_Base!$B$6:$F$69,5,0)</f>
        <v>Maintenance Lodge</v>
      </c>
      <c r="F237" s="36" t="s">
        <v>31</v>
      </c>
      <c r="G237" s="5" t="s">
        <v>30</v>
      </c>
      <c r="H237" s="5" t="str">
        <f t="shared" si="3"/>
        <v>DEL5252</v>
      </c>
      <c r="I237" s="62">
        <v>33200</v>
      </c>
      <c r="J237" s="62">
        <v>23.8848920863309</v>
      </c>
      <c r="K237" s="62">
        <v>1390</v>
      </c>
      <c r="L237" s="100" t="s">
        <v>628</v>
      </c>
      <c r="M237" s="5" t="s">
        <v>452</v>
      </c>
      <c r="N237" s="34" t="s">
        <v>464</v>
      </c>
      <c r="O237" s="5" t="s">
        <v>629</v>
      </c>
      <c r="P237" s="5" t="s">
        <v>597</v>
      </c>
      <c r="Q237" s="5" t="s">
        <v>630</v>
      </c>
      <c r="R237" s="5" t="s">
        <v>659</v>
      </c>
      <c r="S237" s="5" t="s">
        <v>632</v>
      </c>
      <c r="T237" s="5" t="s">
        <v>445</v>
      </c>
      <c r="U237" s="5"/>
      <c r="V237" s="5"/>
      <c r="W237" s="5"/>
      <c r="X237" s="5"/>
      <c r="Y237" s="5"/>
      <c r="Z237" s="5"/>
      <c r="AA237" s="5"/>
    </row>
    <row r="238" spans="1:27" customFormat="1" ht="14">
      <c r="D238" s="214" t="s">
        <v>383</v>
      </c>
      <c r="E238" s="212" t="str">
        <f>+VLOOKUP(F238,Resumen_Base!$B$6:$F$69,5,0)</f>
        <v>Maintenance Lodge</v>
      </c>
      <c r="F238" s="36" t="s">
        <v>31</v>
      </c>
      <c r="G238" s="5" t="s">
        <v>30</v>
      </c>
      <c r="H238" s="5" t="str">
        <f t="shared" si="3"/>
        <v>DEL5252</v>
      </c>
      <c r="I238" s="62">
        <v>43700</v>
      </c>
      <c r="J238" s="62">
        <v>30.774647887323901</v>
      </c>
      <c r="K238" s="62">
        <v>1420</v>
      </c>
      <c r="L238" s="100" t="s">
        <v>1030</v>
      </c>
      <c r="M238" s="5" t="s">
        <v>452</v>
      </c>
      <c r="N238" s="34" t="s">
        <v>464</v>
      </c>
      <c r="O238" s="5" t="s">
        <v>1031</v>
      </c>
      <c r="P238" s="5" t="s">
        <v>597</v>
      </c>
      <c r="Q238" s="5" t="s">
        <v>1032</v>
      </c>
      <c r="R238" s="5" t="s">
        <v>1056</v>
      </c>
      <c r="S238" s="5" t="s">
        <v>1033</v>
      </c>
      <c r="T238" s="5" t="s">
        <v>445</v>
      </c>
      <c r="U238" s="5"/>
      <c r="V238" s="5"/>
      <c r="W238" s="5"/>
      <c r="X238" s="5"/>
      <c r="Y238" s="5"/>
      <c r="Z238" s="5"/>
      <c r="AA238" s="5"/>
    </row>
    <row r="239" spans="1:27" customFormat="1" ht="14">
      <c r="D239" s="214" t="s">
        <v>383</v>
      </c>
      <c r="E239" s="212" t="str">
        <f>+VLOOKUP(F239,Resumen_Base!$B$6:$F$69,5,0)</f>
        <v>Maintenance Lodge</v>
      </c>
      <c r="F239" s="36" t="s">
        <v>31</v>
      </c>
      <c r="G239" s="5" t="s">
        <v>30</v>
      </c>
      <c r="H239" s="5" t="str">
        <f t="shared" si="3"/>
        <v>DEL5252</v>
      </c>
      <c r="I239" s="62">
        <v>1179010</v>
      </c>
      <c r="J239" s="62">
        <v>786.006666666667</v>
      </c>
      <c r="K239" s="62">
        <v>1500</v>
      </c>
      <c r="L239" s="100" t="s">
        <v>858</v>
      </c>
      <c r="M239" s="5" t="s">
        <v>452</v>
      </c>
      <c r="N239" s="34" t="s">
        <v>464</v>
      </c>
      <c r="O239" s="5" t="s">
        <v>880</v>
      </c>
      <c r="P239" s="5" t="s">
        <v>597</v>
      </c>
      <c r="Q239" s="5" t="s">
        <v>881</v>
      </c>
      <c r="R239" s="5" t="s">
        <v>893</v>
      </c>
      <c r="S239" s="5" t="s">
        <v>882</v>
      </c>
      <c r="T239" s="5" t="s">
        <v>445</v>
      </c>
      <c r="U239" s="5"/>
      <c r="V239" s="5"/>
      <c r="W239" s="5"/>
      <c r="X239" s="5"/>
      <c r="Y239" s="5"/>
      <c r="Z239" s="5"/>
      <c r="AA239" s="5"/>
    </row>
    <row r="240" spans="1:27" customFormat="1" ht="14">
      <c r="D240" s="214" t="s">
        <v>383</v>
      </c>
      <c r="E240" s="212" t="str">
        <f>+VLOOKUP(F240,Resumen_Base!$B$6:$F$69,5,0)</f>
        <v>Maintenance Lodge</v>
      </c>
      <c r="F240" s="36" t="s">
        <v>31</v>
      </c>
      <c r="G240" s="5" t="s">
        <v>30</v>
      </c>
      <c r="H240" s="5" t="str">
        <f t="shared" si="3"/>
        <v>DEL5252</v>
      </c>
      <c r="I240" s="62">
        <v>70000</v>
      </c>
      <c r="J240" s="62">
        <v>49.295774647887299</v>
      </c>
      <c r="K240" s="62">
        <v>1420</v>
      </c>
      <c r="L240" s="100" t="s">
        <v>1030</v>
      </c>
      <c r="M240" s="5" t="s">
        <v>452</v>
      </c>
      <c r="N240" s="34" t="s">
        <v>464</v>
      </c>
      <c r="O240" s="5" t="s">
        <v>1031</v>
      </c>
      <c r="P240" s="5" t="s">
        <v>597</v>
      </c>
      <c r="Q240" s="5" t="s">
        <v>1032</v>
      </c>
      <c r="R240" s="5" t="s">
        <v>1041</v>
      </c>
      <c r="S240" s="5" t="s">
        <v>1033</v>
      </c>
      <c r="T240" s="5" t="s">
        <v>445</v>
      </c>
      <c r="U240" s="5"/>
      <c r="V240" s="5"/>
      <c r="W240" s="5"/>
      <c r="X240" s="5"/>
      <c r="Y240" s="5"/>
      <c r="Z240" s="5"/>
      <c r="AA240" s="5"/>
    </row>
    <row r="241" spans="4:27" customFormat="1" ht="14">
      <c r="D241" s="214" t="s">
        <v>383</v>
      </c>
      <c r="E241" s="212" t="str">
        <f>+VLOOKUP(F241,Resumen_Base!$B$6:$F$69,5,0)</f>
        <v>Maintenance Lodge</v>
      </c>
      <c r="F241" s="36" t="s">
        <v>31</v>
      </c>
      <c r="G241" s="5" t="s">
        <v>30</v>
      </c>
      <c r="H241" s="5" t="str">
        <f t="shared" si="3"/>
        <v>DEL5252</v>
      </c>
      <c r="I241" s="62">
        <v>51200</v>
      </c>
      <c r="J241" s="62">
        <v>36.834532374100696</v>
      </c>
      <c r="K241" s="62">
        <v>1390</v>
      </c>
      <c r="L241" s="100" t="s">
        <v>628</v>
      </c>
      <c r="M241" s="5" t="s">
        <v>452</v>
      </c>
      <c r="N241" s="34" t="s">
        <v>464</v>
      </c>
      <c r="O241" s="5" t="s">
        <v>629</v>
      </c>
      <c r="P241" s="5" t="s">
        <v>597</v>
      </c>
      <c r="Q241" s="5" t="s">
        <v>630</v>
      </c>
      <c r="R241" s="5" t="s">
        <v>662</v>
      </c>
      <c r="S241" s="5" t="s">
        <v>632</v>
      </c>
      <c r="T241" s="5" t="s">
        <v>445</v>
      </c>
      <c r="U241" s="5"/>
      <c r="V241" s="5"/>
      <c r="W241" s="5"/>
      <c r="X241" s="5"/>
      <c r="Y241" s="5"/>
      <c r="Z241" s="5"/>
      <c r="AA241" s="5"/>
    </row>
    <row r="242" spans="4:27" customFormat="1" ht="14">
      <c r="D242" s="214" t="s">
        <v>383</v>
      </c>
      <c r="E242" s="212" t="str">
        <f>+VLOOKUP(F242,Resumen_Base!$B$6:$F$69,5,0)</f>
        <v>Maintenance Lodge</v>
      </c>
      <c r="F242" s="36" t="s">
        <v>31</v>
      </c>
      <c r="G242" s="5" t="s">
        <v>30</v>
      </c>
      <c r="H242" s="5" t="str">
        <f t="shared" si="3"/>
        <v>DEL5252</v>
      </c>
      <c r="I242" s="62">
        <v>220000</v>
      </c>
      <c r="J242" s="62">
        <v>154.92957746478899</v>
      </c>
      <c r="K242" s="62">
        <v>1420</v>
      </c>
      <c r="L242" s="100" t="s">
        <v>1030</v>
      </c>
      <c r="M242" s="5" t="s">
        <v>452</v>
      </c>
      <c r="N242" s="34" t="s">
        <v>464</v>
      </c>
      <c r="O242" s="5" t="s">
        <v>1031</v>
      </c>
      <c r="P242" s="5" t="s">
        <v>597</v>
      </c>
      <c r="Q242" s="5" t="s">
        <v>1032</v>
      </c>
      <c r="R242" s="5" t="s">
        <v>1069</v>
      </c>
      <c r="S242" s="5" t="s">
        <v>1033</v>
      </c>
      <c r="T242" s="5" t="s">
        <v>445</v>
      </c>
      <c r="U242" s="5"/>
      <c r="V242" s="5"/>
      <c r="W242" s="5"/>
      <c r="X242" s="5"/>
      <c r="Y242" s="5"/>
      <c r="Z242" s="5"/>
      <c r="AA242" s="5"/>
    </row>
    <row r="243" spans="4:27" customFormat="1" ht="14">
      <c r="D243" s="214" t="s">
        <v>383</v>
      </c>
      <c r="E243" s="212" t="str">
        <f>+VLOOKUP(F243,Resumen_Base!$B$6:$F$69,5,0)</f>
        <v>Maintenance Lodge</v>
      </c>
      <c r="F243" s="36" t="s">
        <v>31</v>
      </c>
      <c r="G243" s="5" t="s">
        <v>30</v>
      </c>
      <c r="H243" s="5" t="str">
        <f t="shared" si="3"/>
        <v>DEL5252</v>
      </c>
      <c r="I243" s="62">
        <v>7200</v>
      </c>
      <c r="J243" s="62">
        <v>5.1063829787234001</v>
      </c>
      <c r="K243" s="62">
        <v>1410</v>
      </c>
      <c r="L243" s="100" t="s">
        <v>678</v>
      </c>
      <c r="M243" s="5" t="s">
        <v>452</v>
      </c>
      <c r="N243" s="34" t="s">
        <v>464</v>
      </c>
      <c r="O243" s="5" t="s">
        <v>683</v>
      </c>
      <c r="P243" s="5" t="s">
        <v>597</v>
      </c>
      <c r="Q243" s="5" t="s">
        <v>684</v>
      </c>
      <c r="R243" s="5" t="s">
        <v>700</v>
      </c>
      <c r="S243" s="5" t="s">
        <v>685</v>
      </c>
      <c r="T243" s="5" t="s">
        <v>445</v>
      </c>
      <c r="U243" s="5"/>
      <c r="V243" s="5"/>
      <c r="W243" s="5"/>
      <c r="X243" s="5"/>
      <c r="Y243" s="5"/>
      <c r="Z243" s="5"/>
      <c r="AA243" s="5"/>
    </row>
    <row r="244" spans="4:27" customFormat="1" ht="14">
      <c r="D244" s="214" t="s">
        <v>383</v>
      </c>
      <c r="E244" s="212" t="str">
        <f>+VLOOKUP(F244,Resumen_Base!$B$6:$F$69,5,0)</f>
        <v>Maintenance Lodge</v>
      </c>
      <c r="F244" s="36" t="s">
        <v>31</v>
      </c>
      <c r="G244" s="5" t="s">
        <v>30</v>
      </c>
      <c r="H244" s="5" t="str">
        <f t="shared" si="3"/>
        <v>DEL5252</v>
      </c>
      <c r="I244" s="62">
        <v>23000</v>
      </c>
      <c r="J244" s="62">
        <v>16.312056737588701</v>
      </c>
      <c r="K244" s="62">
        <v>1410</v>
      </c>
      <c r="L244" s="100" t="s">
        <v>678</v>
      </c>
      <c r="M244" s="5" t="s">
        <v>452</v>
      </c>
      <c r="N244" s="34" t="s">
        <v>464</v>
      </c>
      <c r="O244" s="5" t="s">
        <v>683</v>
      </c>
      <c r="P244" s="5" t="s">
        <v>597</v>
      </c>
      <c r="Q244" s="5" t="s">
        <v>684</v>
      </c>
      <c r="R244" s="5" t="s">
        <v>700</v>
      </c>
      <c r="S244" s="5" t="s">
        <v>685</v>
      </c>
      <c r="T244" s="5" t="s">
        <v>445</v>
      </c>
      <c r="U244" s="5"/>
      <c r="V244" s="5"/>
      <c r="W244" s="5"/>
      <c r="X244" s="5"/>
      <c r="Y244" s="5"/>
      <c r="Z244" s="5"/>
      <c r="AA244" s="5"/>
    </row>
    <row r="245" spans="4:27" customFormat="1" ht="14">
      <c r="D245" s="214" t="s">
        <v>383</v>
      </c>
      <c r="E245" s="212" t="str">
        <f>+VLOOKUP(F245,Resumen_Base!$B$6:$F$69,5,0)</f>
        <v>Maintenance Lodge</v>
      </c>
      <c r="F245" s="36" t="s">
        <v>31</v>
      </c>
      <c r="G245" s="5" t="s">
        <v>30</v>
      </c>
      <c r="H245" s="5" t="str">
        <f t="shared" si="3"/>
        <v>DEL5252</v>
      </c>
      <c r="I245" s="62">
        <v>18000</v>
      </c>
      <c r="J245" s="62">
        <v>12.9496402877698</v>
      </c>
      <c r="K245" s="62">
        <v>1390</v>
      </c>
      <c r="L245" s="100" t="s">
        <v>628</v>
      </c>
      <c r="M245" s="5" t="s">
        <v>452</v>
      </c>
      <c r="N245" s="34" t="s">
        <v>464</v>
      </c>
      <c r="O245" s="5" t="s">
        <v>629</v>
      </c>
      <c r="P245" s="5" t="s">
        <v>597</v>
      </c>
      <c r="Q245" s="5" t="s">
        <v>630</v>
      </c>
      <c r="R245" s="5" t="s">
        <v>641</v>
      </c>
      <c r="S245" s="5" t="s">
        <v>632</v>
      </c>
      <c r="T245" s="5" t="s">
        <v>445</v>
      </c>
      <c r="U245" s="5"/>
      <c r="V245" s="5"/>
      <c r="W245" s="5"/>
      <c r="X245" s="5"/>
      <c r="Y245" s="5"/>
      <c r="Z245" s="5"/>
      <c r="AA245" s="5"/>
    </row>
    <row r="246" spans="4:27" customFormat="1" ht="14">
      <c r="D246" s="214" t="s">
        <v>383</v>
      </c>
      <c r="E246" s="212" t="str">
        <f>+VLOOKUP(F246,Resumen_Base!$B$6:$F$69,5,0)</f>
        <v>Maintenance Lodge</v>
      </c>
      <c r="F246" s="36" t="s">
        <v>31</v>
      </c>
      <c r="G246" s="5" t="s">
        <v>30</v>
      </c>
      <c r="H246" s="5" t="str">
        <f t="shared" si="3"/>
        <v>DEL5252</v>
      </c>
      <c r="I246" s="62">
        <v>42000</v>
      </c>
      <c r="J246" s="62">
        <v>30.2158273381295</v>
      </c>
      <c r="K246" s="62">
        <v>1390</v>
      </c>
      <c r="L246" s="100" t="s">
        <v>628</v>
      </c>
      <c r="M246" s="5" t="s">
        <v>452</v>
      </c>
      <c r="N246" s="34" t="s">
        <v>464</v>
      </c>
      <c r="O246" s="5" t="s">
        <v>629</v>
      </c>
      <c r="P246" s="5" t="s">
        <v>597</v>
      </c>
      <c r="Q246" s="5" t="s">
        <v>630</v>
      </c>
      <c r="R246" s="5" t="s">
        <v>641</v>
      </c>
      <c r="S246" s="5" t="s">
        <v>632</v>
      </c>
      <c r="T246" s="5" t="s">
        <v>445</v>
      </c>
      <c r="U246" s="5"/>
      <c r="V246" s="5"/>
      <c r="W246" s="5"/>
      <c r="X246" s="5"/>
      <c r="Y246" s="5"/>
      <c r="Z246" s="5"/>
      <c r="AA246" s="5"/>
    </row>
    <row r="247" spans="4:27" customFormat="1" ht="14">
      <c r="D247" s="214" t="s">
        <v>383</v>
      </c>
      <c r="E247" s="212" t="str">
        <f>+VLOOKUP(F247,Resumen_Base!$B$6:$F$69,5,0)</f>
        <v>Maintenance Lodge</v>
      </c>
      <c r="F247" s="36" t="s">
        <v>31</v>
      </c>
      <c r="G247" s="5" t="s">
        <v>30</v>
      </c>
      <c r="H247" s="5" t="str">
        <f t="shared" si="3"/>
        <v>DEL5252</v>
      </c>
      <c r="I247" s="62">
        <v>6000</v>
      </c>
      <c r="J247" s="62">
        <v>4</v>
      </c>
      <c r="K247" s="62">
        <v>1500</v>
      </c>
      <c r="L247" s="100" t="s">
        <v>858</v>
      </c>
      <c r="M247" s="5" t="s">
        <v>452</v>
      </c>
      <c r="N247" s="34" t="s">
        <v>464</v>
      </c>
      <c r="O247" s="5" t="s">
        <v>880</v>
      </c>
      <c r="P247" s="5" t="s">
        <v>597</v>
      </c>
      <c r="Q247" s="5" t="s">
        <v>881</v>
      </c>
      <c r="R247" s="5" t="s">
        <v>641</v>
      </c>
      <c r="S247" s="5" t="s">
        <v>882</v>
      </c>
      <c r="T247" s="5" t="s">
        <v>445</v>
      </c>
      <c r="U247" s="5"/>
      <c r="V247" s="5"/>
      <c r="W247" s="5"/>
      <c r="X247" s="5"/>
      <c r="Y247" s="5"/>
      <c r="Z247" s="5"/>
      <c r="AA247" s="5"/>
    </row>
    <row r="248" spans="4:27" customFormat="1" ht="14">
      <c r="D248" s="214" t="s">
        <v>383</v>
      </c>
      <c r="E248" s="212" t="str">
        <f>+VLOOKUP(F248,Resumen_Base!$B$6:$F$69,5,0)</f>
        <v>Maintenance Lodge</v>
      </c>
      <c r="F248" s="36" t="s">
        <v>31</v>
      </c>
      <c r="G248" s="5" t="s">
        <v>30</v>
      </c>
      <c r="H248" s="5" t="str">
        <f t="shared" si="3"/>
        <v>DEL5252</v>
      </c>
      <c r="I248" s="62">
        <v>68000</v>
      </c>
      <c r="J248" s="62">
        <v>45.3333333333333</v>
      </c>
      <c r="K248" s="62">
        <v>1500</v>
      </c>
      <c r="L248" s="100" t="s">
        <v>858</v>
      </c>
      <c r="M248" s="5" t="s">
        <v>452</v>
      </c>
      <c r="N248" s="34" t="s">
        <v>464</v>
      </c>
      <c r="O248" s="5" t="s">
        <v>880</v>
      </c>
      <c r="P248" s="5" t="s">
        <v>597</v>
      </c>
      <c r="Q248" s="5" t="s">
        <v>881</v>
      </c>
      <c r="R248" s="5" t="s">
        <v>641</v>
      </c>
      <c r="S248" s="5" t="s">
        <v>882</v>
      </c>
      <c r="T248" s="5" t="s">
        <v>445</v>
      </c>
      <c r="U248" s="5"/>
      <c r="V248" s="5"/>
      <c r="W248" s="5"/>
      <c r="X248" s="5"/>
      <c r="Y248" s="5"/>
      <c r="Z248" s="5"/>
      <c r="AA248" s="5"/>
    </row>
    <row r="249" spans="4:27" customFormat="1" ht="14">
      <c r="D249" s="214" t="s">
        <v>383</v>
      </c>
      <c r="E249" s="212" t="str">
        <f>+VLOOKUP(F249,Resumen_Base!$B$6:$F$69,5,0)</f>
        <v>Maintenance Lodge</v>
      </c>
      <c r="F249" s="36" t="s">
        <v>31</v>
      </c>
      <c r="G249" s="5" t="s">
        <v>30</v>
      </c>
      <c r="H249" s="5" t="str">
        <f t="shared" si="3"/>
        <v>DEL5252</v>
      </c>
      <c r="I249" s="62">
        <v>40000</v>
      </c>
      <c r="J249" s="62">
        <v>28.7769784172662</v>
      </c>
      <c r="K249" s="62">
        <v>1390</v>
      </c>
      <c r="L249" s="100" t="s">
        <v>628</v>
      </c>
      <c r="M249" s="5" t="s">
        <v>452</v>
      </c>
      <c r="N249" s="34" t="s">
        <v>464</v>
      </c>
      <c r="O249" s="5" t="s">
        <v>1019</v>
      </c>
      <c r="P249" s="5" t="s">
        <v>597</v>
      </c>
      <c r="Q249" s="5" t="s">
        <v>1020</v>
      </c>
      <c r="R249" s="5" t="s">
        <v>641</v>
      </c>
      <c r="S249" s="5" t="s">
        <v>1022</v>
      </c>
      <c r="T249" s="5" t="s">
        <v>445</v>
      </c>
      <c r="U249" s="5"/>
      <c r="V249" s="5"/>
      <c r="W249" s="5"/>
      <c r="X249" s="5"/>
      <c r="Y249" s="5"/>
      <c r="Z249" s="5"/>
      <c r="AA249" s="5"/>
    </row>
    <row r="250" spans="4:27" customFormat="1" ht="14">
      <c r="D250" s="214" t="s">
        <v>383</v>
      </c>
      <c r="E250" s="212" t="str">
        <f>+VLOOKUP(F250,Resumen_Base!$B$6:$F$69,5,0)</f>
        <v>Maintenance Lodge</v>
      </c>
      <c r="F250" s="36" t="s">
        <v>31</v>
      </c>
      <c r="G250" s="5" t="s">
        <v>30</v>
      </c>
      <c r="H250" s="5" t="str">
        <f t="shared" si="3"/>
        <v>DEL5252</v>
      </c>
      <c r="I250" s="62">
        <v>24000</v>
      </c>
      <c r="J250" s="62">
        <v>16.901408450704199</v>
      </c>
      <c r="K250" s="62">
        <v>1420</v>
      </c>
      <c r="L250" s="100" t="s">
        <v>1030</v>
      </c>
      <c r="M250" s="5" t="s">
        <v>452</v>
      </c>
      <c r="N250" s="34" t="s">
        <v>464</v>
      </c>
      <c r="O250" s="5" t="s">
        <v>1031</v>
      </c>
      <c r="P250" s="5" t="s">
        <v>597</v>
      </c>
      <c r="Q250" s="5" t="s">
        <v>1032</v>
      </c>
      <c r="R250" s="5" t="s">
        <v>641</v>
      </c>
      <c r="S250" s="5" t="s">
        <v>1033</v>
      </c>
      <c r="T250" s="5" t="s">
        <v>445</v>
      </c>
      <c r="U250" s="5"/>
      <c r="V250" s="5"/>
      <c r="W250" s="5"/>
      <c r="X250" s="5"/>
      <c r="Y250" s="5"/>
      <c r="Z250" s="5"/>
      <c r="AA250" s="5"/>
    </row>
    <row r="251" spans="4:27" customFormat="1" ht="14">
      <c r="D251" s="214" t="s">
        <v>383</v>
      </c>
      <c r="E251" s="212" t="str">
        <f>+VLOOKUP(F251,Resumen_Base!$B$6:$F$69,5,0)</f>
        <v>Maintenance Lodge</v>
      </c>
      <c r="F251" s="36" t="s">
        <v>31</v>
      </c>
      <c r="G251" s="5" t="s">
        <v>30</v>
      </c>
      <c r="H251" s="5" t="str">
        <f t="shared" si="3"/>
        <v>DEL5252</v>
      </c>
      <c r="I251" s="62">
        <v>8000</v>
      </c>
      <c r="J251" s="62">
        <v>5.6338028169014098</v>
      </c>
      <c r="K251" s="62">
        <v>1420</v>
      </c>
      <c r="L251" s="100" t="s">
        <v>1030</v>
      </c>
      <c r="M251" s="5" t="s">
        <v>452</v>
      </c>
      <c r="N251" s="34" t="s">
        <v>464</v>
      </c>
      <c r="O251" s="5" t="s">
        <v>1031</v>
      </c>
      <c r="P251" s="5" t="s">
        <v>597</v>
      </c>
      <c r="Q251" s="5" t="s">
        <v>1032</v>
      </c>
      <c r="R251" s="5" t="s">
        <v>641</v>
      </c>
      <c r="S251" s="5" t="s">
        <v>1033</v>
      </c>
      <c r="T251" s="5" t="s">
        <v>445</v>
      </c>
      <c r="U251" s="5"/>
      <c r="V251" s="5"/>
      <c r="W251" s="5"/>
      <c r="X251" s="5"/>
      <c r="Y251" s="5"/>
      <c r="Z251" s="5"/>
      <c r="AA251" s="5"/>
    </row>
    <row r="252" spans="4:27" customFormat="1" ht="14">
      <c r="D252" s="214" t="s">
        <v>383</v>
      </c>
      <c r="E252" s="212" t="str">
        <f>+VLOOKUP(F252,Resumen_Base!$B$6:$F$69,5,0)</f>
        <v>Maintenance Lodge</v>
      </c>
      <c r="F252" s="36" t="s">
        <v>31</v>
      </c>
      <c r="G252" s="5" t="s">
        <v>30</v>
      </c>
      <c r="H252" s="5" t="str">
        <f t="shared" si="3"/>
        <v>DEL5252</v>
      </c>
      <c r="I252" s="62">
        <v>100000</v>
      </c>
      <c r="J252" s="62">
        <v>70.422535211267601</v>
      </c>
      <c r="K252" s="62">
        <v>1420</v>
      </c>
      <c r="L252" s="100" t="s">
        <v>1030</v>
      </c>
      <c r="M252" s="5" t="s">
        <v>452</v>
      </c>
      <c r="N252" s="34" t="s">
        <v>464</v>
      </c>
      <c r="O252" s="5" t="s">
        <v>1031</v>
      </c>
      <c r="P252" s="5" t="s">
        <v>597</v>
      </c>
      <c r="Q252" s="5" t="s">
        <v>1032</v>
      </c>
      <c r="R252" s="5" t="s">
        <v>1068</v>
      </c>
      <c r="S252" s="5" t="s">
        <v>1033</v>
      </c>
      <c r="T252" s="5" t="s">
        <v>445</v>
      </c>
      <c r="U252" s="5"/>
      <c r="V252" s="5"/>
      <c r="W252" s="5"/>
      <c r="X252" s="5"/>
      <c r="Y252" s="5"/>
      <c r="Z252" s="5"/>
      <c r="AA252" s="5"/>
    </row>
    <row r="253" spans="4:27" customFormat="1" ht="14">
      <c r="D253" s="214" t="s">
        <v>383</v>
      </c>
      <c r="E253" s="212" t="str">
        <f>+VLOOKUP(F253,Resumen_Base!$B$6:$F$69,5,0)</f>
        <v>Maintenance Lodge</v>
      </c>
      <c r="F253" s="36" t="s">
        <v>31</v>
      </c>
      <c r="G253" s="5" t="s">
        <v>30</v>
      </c>
      <c r="H253" s="5" t="str">
        <f t="shared" si="3"/>
        <v>DEL5252</v>
      </c>
      <c r="I253" s="62">
        <v>18200</v>
      </c>
      <c r="J253" s="62">
        <v>13.093525179856099</v>
      </c>
      <c r="K253" s="62">
        <v>1390</v>
      </c>
      <c r="L253" s="100" t="s">
        <v>628</v>
      </c>
      <c r="M253" s="5" t="s">
        <v>452</v>
      </c>
      <c r="N253" s="34" t="s">
        <v>464</v>
      </c>
      <c r="O253" s="5" t="s">
        <v>629</v>
      </c>
      <c r="P253" s="5" t="s">
        <v>597</v>
      </c>
      <c r="Q253" s="5" t="s">
        <v>630</v>
      </c>
      <c r="R253" s="5" t="s">
        <v>656</v>
      </c>
      <c r="S253" s="5" t="s">
        <v>632</v>
      </c>
      <c r="T253" s="5" t="s">
        <v>445</v>
      </c>
      <c r="U253" s="5"/>
      <c r="V253" s="5"/>
      <c r="W253" s="5"/>
      <c r="X253" s="5"/>
      <c r="Y253" s="5"/>
      <c r="Z253" s="5"/>
      <c r="AA253" s="5"/>
    </row>
    <row r="254" spans="4:27" customFormat="1" ht="14">
      <c r="D254" s="214" t="s">
        <v>383</v>
      </c>
      <c r="E254" s="212" t="str">
        <f>+VLOOKUP(F254,Resumen_Base!$B$6:$F$69,5,0)</f>
        <v>Maintenance Lodge</v>
      </c>
      <c r="F254" s="36" t="s">
        <v>31</v>
      </c>
      <c r="G254" s="5" t="s">
        <v>30</v>
      </c>
      <c r="H254" s="5" t="str">
        <f t="shared" si="3"/>
        <v>DEL5252</v>
      </c>
      <c r="I254" s="62">
        <v>45800</v>
      </c>
      <c r="J254" s="62">
        <v>32.949640287769803</v>
      </c>
      <c r="K254" s="62">
        <v>1390</v>
      </c>
      <c r="L254" s="100" t="s">
        <v>628</v>
      </c>
      <c r="M254" s="5" t="s">
        <v>452</v>
      </c>
      <c r="N254" s="34" t="s">
        <v>464</v>
      </c>
      <c r="O254" s="5" t="s">
        <v>1019</v>
      </c>
      <c r="P254" s="5" t="s">
        <v>597</v>
      </c>
      <c r="Q254" s="5" t="s">
        <v>1020</v>
      </c>
      <c r="R254" s="5" t="s">
        <v>1025</v>
      </c>
      <c r="S254" s="5" t="s">
        <v>1022</v>
      </c>
      <c r="T254" s="5" t="s">
        <v>445</v>
      </c>
      <c r="U254" s="5"/>
      <c r="V254" s="5"/>
      <c r="W254" s="5"/>
      <c r="X254" s="5"/>
      <c r="Y254" s="5"/>
      <c r="Z254" s="5"/>
      <c r="AA254" s="5"/>
    </row>
    <row r="255" spans="4:27" customFormat="1" ht="14">
      <c r="D255" s="214" t="s">
        <v>383</v>
      </c>
      <c r="E255" s="212" t="str">
        <f>+VLOOKUP(F255,Resumen_Base!$B$6:$F$69,5,0)</f>
        <v>Maintenance Lodge</v>
      </c>
      <c r="F255" s="36" t="s">
        <v>31</v>
      </c>
      <c r="G255" s="5" t="s">
        <v>30</v>
      </c>
      <c r="H255" s="5" t="str">
        <f t="shared" si="3"/>
        <v>DEL5252</v>
      </c>
      <c r="I255" s="62">
        <v>28000</v>
      </c>
      <c r="J255" s="62">
        <v>19.7183098591549</v>
      </c>
      <c r="K255" s="62">
        <v>1420</v>
      </c>
      <c r="L255" s="100" t="s">
        <v>1030</v>
      </c>
      <c r="M255" s="5" t="s">
        <v>452</v>
      </c>
      <c r="N255" s="34" t="s">
        <v>464</v>
      </c>
      <c r="O255" s="5" t="s">
        <v>1031</v>
      </c>
      <c r="P255" s="5" t="s">
        <v>597</v>
      </c>
      <c r="Q255" s="5" t="s">
        <v>1032</v>
      </c>
      <c r="R255" s="5" t="s">
        <v>1059</v>
      </c>
      <c r="S255" s="5" t="s">
        <v>1033</v>
      </c>
      <c r="T255" s="5" t="s">
        <v>445</v>
      </c>
      <c r="U255" s="5"/>
      <c r="V255" s="5"/>
      <c r="W255" s="5"/>
      <c r="X255" s="5"/>
      <c r="Y255" s="5"/>
      <c r="Z255" s="5"/>
      <c r="AA255" s="5"/>
    </row>
    <row r="256" spans="4:27" customFormat="1" ht="14">
      <c r="D256" s="214" t="s">
        <v>383</v>
      </c>
      <c r="E256" s="212" t="str">
        <f>+VLOOKUP(F256,Resumen_Base!$B$6:$F$69,5,0)</f>
        <v>Maintenance Lodge</v>
      </c>
      <c r="F256" s="36" t="s">
        <v>31</v>
      </c>
      <c r="G256" s="5" t="s">
        <v>30</v>
      </c>
      <c r="H256" s="5" t="str">
        <f t="shared" si="3"/>
        <v>DEL5252</v>
      </c>
      <c r="I256" s="62">
        <v>36000</v>
      </c>
      <c r="J256" s="62">
        <v>25.174825174825202</v>
      </c>
      <c r="K256" s="62">
        <v>1430</v>
      </c>
      <c r="L256" s="100" t="s">
        <v>751</v>
      </c>
      <c r="M256" s="5" t="s">
        <v>452</v>
      </c>
      <c r="N256" s="34" t="s">
        <v>464</v>
      </c>
      <c r="O256" s="5" t="s">
        <v>752</v>
      </c>
      <c r="P256" s="5" t="s">
        <v>597</v>
      </c>
      <c r="Q256" s="5" t="s">
        <v>753</v>
      </c>
      <c r="R256" s="5" t="s">
        <v>762</v>
      </c>
      <c r="S256" s="5" t="s">
        <v>755</v>
      </c>
      <c r="T256" s="5" t="s">
        <v>445</v>
      </c>
      <c r="U256" s="5"/>
      <c r="V256" s="5"/>
      <c r="W256" s="5"/>
      <c r="X256" s="5"/>
      <c r="Y256" s="5"/>
      <c r="Z256" s="5"/>
      <c r="AA256" s="5"/>
    </row>
    <row r="257" spans="4:27" customFormat="1" ht="14">
      <c r="D257" s="214" t="s">
        <v>383</v>
      </c>
      <c r="E257" s="212" t="str">
        <f>+VLOOKUP(F257,Resumen_Base!$B$6:$F$69,5,0)</f>
        <v>Maintenance Lodge</v>
      </c>
      <c r="F257" s="36" t="s">
        <v>31</v>
      </c>
      <c r="G257" s="5" t="s">
        <v>30</v>
      </c>
      <c r="H257" s="5" t="str">
        <f t="shared" si="3"/>
        <v>DEL5252</v>
      </c>
      <c r="I257" s="62">
        <v>14000</v>
      </c>
      <c r="J257" s="62">
        <v>9.3333333333333304</v>
      </c>
      <c r="K257" s="62">
        <v>1500</v>
      </c>
      <c r="L257" s="100" t="s">
        <v>858</v>
      </c>
      <c r="M257" s="5" t="s">
        <v>452</v>
      </c>
      <c r="N257" s="34" t="s">
        <v>464</v>
      </c>
      <c r="O257" s="5" t="s">
        <v>880</v>
      </c>
      <c r="P257" s="5" t="s">
        <v>597</v>
      </c>
      <c r="Q257" s="5" t="s">
        <v>881</v>
      </c>
      <c r="R257" s="5" t="s">
        <v>889</v>
      </c>
      <c r="S257" s="5" t="s">
        <v>882</v>
      </c>
      <c r="T257" s="5" t="s">
        <v>445</v>
      </c>
      <c r="U257" s="5"/>
      <c r="V257" s="5"/>
      <c r="W257" s="5"/>
      <c r="X257" s="5"/>
      <c r="Y257" s="5"/>
      <c r="Z257" s="5"/>
      <c r="AA257" s="5"/>
    </row>
    <row r="258" spans="4:27" customFormat="1" ht="14">
      <c r="D258" s="214" t="s">
        <v>383</v>
      </c>
      <c r="E258" s="212" t="str">
        <f>+VLOOKUP(F258,Resumen_Base!$B$6:$F$69,5,0)</f>
        <v>Maintenance Lodge</v>
      </c>
      <c r="F258" s="36" t="s">
        <v>31</v>
      </c>
      <c r="G258" s="5" t="s">
        <v>30</v>
      </c>
      <c r="H258" s="5" t="str">
        <f t="shared" si="3"/>
        <v>DEL5252</v>
      </c>
      <c r="I258" s="62">
        <v>46000</v>
      </c>
      <c r="J258" s="62">
        <v>32.167832167832202</v>
      </c>
      <c r="K258" s="62">
        <v>1430</v>
      </c>
      <c r="L258" s="100" t="s">
        <v>751</v>
      </c>
      <c r="M258" s="5" t="s">
        <v>452</v>
      </c>
      <c r="N258" s="34" t="s">
        <v>464</v>
      </c>
      <c r="O258" s="5" t="s">
        <v>752</v>
      </c>
      <c r="P258" s="5" t="s">
        <v>597</v>
      </c>
      <c r="Q258" s="5" t="s">
        <v>753</v>
      </c>
      <c r="R258" s="5" t="s">
        <v>756</v>
      </c>
      <c r="S258" s="5" t="s">
        <v>755</v>
      </c>
      <c r="T258" s="5" t="s">
        <v>445</v>
      </c>
      <c r="U258" s="5"/>
      <c r="V258" s="5"/>
      <c r="W258" s="5"/>
      <c r="X258" s="5"/>
      <c r="Y258" s="5"/>
      <c r="Z258" s="5"/>
      <c r="AA258" s="5"/>
    </row>
    <row r="259" spans="4:27" customFormat="1" ht="14">
      <c r="D259" s="214" t="s">
        <v>383</v>
      </c>
      <c r="E259" s="212" t="str">
        <f>+VLOOKUP(F259,Resumen_Base!$B$6:$F$69,5,0)</f>
        <v>Maintenance Lodge</v>
      </c>
      <c r="F259" s="36" t="s">
        <v>31</v>
      </c>
      <c r="G259" s="5" t="s">
        <v>30</v>
      </c>
      <c r="H259" s="5" t="str">
        <f t="shared" si="3"/>
        <v>DEL5252</v>
      </c>
      <c r="I259" s="62">
        <v>12000</v>
      </c>
      <c r="J259" s="62">
        <v>9.2307692307692299</v>
      </c>
      <c r="K259" s="62">
        <v>1300</v>
      </c>
      <c r="L259" s="100" t="s">
        <v>476</v>
      </c>
      <c r="M259" s="5" t="s">
        <v>452</v>
      </c>
      <c r="N259" s="34" t="s">
        <v>464</v>
      </c>
      <c r="O259" s="5" t="s">
        <v>477</v>
      </c>
      <c r="P259" s="5" t="s">
        <v>454</v>
      </c>
      <c r="Q259" s="5" t="s">
        <v>478</v>
      </c>
      <c r="R259" s="5" t="s">
        <v>479</v>
      </c>
      <c r="S259" s="5" t="s">
        <v>480</v>
      </c>
      <c r="T259" s="5" t="s">
        <v>445</v>
      </c>
      <c r="U259" s="5"/>
      <c r="V259" s="5"/>
      <c r="W259" s="5"/>
      <c r="X259" s="5"/>
      <c r="Y259" s="5"/>
      <c r="Z259" s="5"/>
      <c r="AA259" s="5"/>
    </row>
    <row r="260" spans="4:27" customFormat="1" ht="14">
      <c r="D260" s="214" t="s">
        <v>383</v>
      </c>
      <c r="E260" s="212" t="str">
        <f>+VLOOKUP(F260,Resumen_Base!$B$6:$F$69,5,0)</f>
        <v>Maintenance Lodge</v>
      </c>
      <c r="F260" s="36" t="s">
        <v>31</v>
      </c>
      <c r="G260" s="5" t="s">
        <v>30</v>
      </c>
      <c r="H260" s="5" t="str">
        <f t="shared" si="3"/>
        <v>DEL5252</v>
      </c>
      <c r="I260" s="62">
        <v>38000</v>
      </c>
      <c r="J260" s="62">
        <v>25.3333333333333</v>
      </c>
      <c r="K260" s="62">
        <v>1500</v>
      </c>
      <c r="L260" s="100" t="s">
        <v>858</v>
      </c>
      <c r="M260" s="5" t="s">
        <v>452</v>
      </c>
      <c r="N260" s="34" t="s">
        <v>464</v>
      </c>
      <c r="O260" s="5" t="s">
        <v>880</v>
      </c>
      <c r="P260" s="5" t="s">
        <v>597</v>
      </c>
      <c r="Q260" s="5" t="s">
        <v>881</v>
      </c>
      <c r="R260" s="5" t="s">
        <v>891</v>
      </c>
      <c r="S260" s="5" t="s">
        <v>882</v>
      </c>
      <c r="T260" s="5" t="s">
        <v>445</v>
      </c>
      <c r="U260" s="5"/>
      <c r="V260" s="5"/>
      <c r="W260" s="5"/>
      <c r="X260" s="5"/>
      <c r="Y260" s="5"/>
      <c r="Z260" s="5"/>
      <c r="AA260" s="5"/>
    </row>
    <row r="261" spans="4:27" customFormat="1" ht="14">
      <c r="D261" s="214" t="s">
        <v>383</v>
      </c>
      <c r="E261" s="212" t="str">
        <f>+VLOOKUP(F261,Resumen_Base!$B$6:$F$69,5,0)</f>
        <v>Maintenance Lodge</v>
      </c>
      <c r="F261" s="36" t="s">
        <v>31</v>
      </c>
      <c r="G261" s="5" t="s">
        <v>30</v>
      </c>
      <c r="H261" s="5" t="str">
        <f t="shared" si="3"/>
        <v>DEL5252</v>
      </c>
      <c r="I261" s="62">
        <v>49000</v>
      </c>
      <c r="J261" s="62">
        <v>35.251798561151098</v>
      </c>
      <c r="K261" s="62">
        <v>1390</v>
      </c>
      <c r="L261" s="100" t="s">
        <v>628</v>
      </c>
      <c r="M261" s="5" t="s">
        <v>452</v>
      </c>
      <c r="N261" s="34" t="s">
        <v>464</v>
      </c>
      <c r="O261" s="5" t="s">
        <v>1019</v>
      </c>
      <c r="P261" s="5" t="s">
        <v>597</v>
      </c>
      <c r="Q261" s="5" t="s">
        <v>1020</v>
      </c>
      <c r="R261" s="5" t="s">
        <v>1026</v>
      </c>
      <c r="S261" s="5" t="s">
        <v>1022</v>
      </c>
      <c r="T261" s="5" t="s">
        <v>445</v>
      </c>
      <c r="U261" s="5"/>
      <c r="V261" s="5"/>
      <c r="W261" s="5"/>
      <c r="X261" s="5"/>
      <c r="Y261" s="5"/>
      <c r="Z261" s="5"/>
      <c r="AA261" s="5"/>
    </row>
    <row r="262" spans="4:27" customFormat="1" ht="14">
      <c r="D262" s="214" t="s">
        <v>383</v>
      </c>
      <c r="E262" s="212" t="str">
        <f>+VLOOKUP(F262,Resumen_Base!$B$6:$F$69,5,0)</f>
        <v>Maintenance Lodge</v>
      </c>
      <c r="F262" s="36" t="s">
        <v>31</v>
      </c>
      <c r="G262" s="5" t="s">
        <v>30</v>
      </c>
      <c r="H262" s="5" t="str">
        <f t="shared" si="3"/>
        <v>DEL5252</v>
      </c>
      <c r="I262" s="62">
        <v>4650</v>
      </c>
      <c r="J262" s="62">
        <v>3.2978723404255299</v>
      </c>
      <c r="K262" s="62">
        <v>1410</v>
      </c>
      <c r="L262" s="100" t="s">
        <v>678</v>
      </c>
      <c r="M262" s="5" t="s">
        <v>452</v>
      </c>
      <c r="N262" s="34" t="s">
        <v>464</v>
      </c>
      <c r="O262" s="5" t="s">
        <v>683</v>
      </c>
      <c r="P262" s="5" t="s">
        <v>597</v>
      </c>
      <c r="Q262" s="5" t="s">
        <v>684</v>
      </c>
      <c r="R262" s="5" t="s">
        <v>699</v>
      </c>
      <c r="S262" s="5" t="s">
        <v>685</v>
      </c>
      <c r="T262" s="5" t="s">
        <v>445</v>
      </c>
      <c r="U262" s="5"/>
      <c r="V262" s="5"/>
      <c r="W262" s="5"/>
      <c r="X262" s="5"/>
      <c r="Y262" s="5"/>
      <c r="Z262" s="5"/>
      <c r="AA262" s="5"/>
    </row>
    <row r="263" spans="4:27" customFormat="1" ht="14">
      <c r="D263" s="214" t="s">
        <v>383</v>
      </c>
      <c r="E263" s="212" t="str">
        <f>+VLOOKUP(F263,Resumen_Base!$B$6:$F$69,5,0)</f>
        <v>Maintenance Lodge</v>
      </c>
      <c r="F263" s="36" t="s">
        <v>31</v>
      </c>
      <c r="G263" s="5" t="s">
        <v>30</v>
      </c>
      <c r="H263" s="5" t="str">
        <f t="shared" si="3"/>
        <v>DEL5252</v>
      </c>
      <c r="I263" s="62">
        <v>5900</v>
      </c>
      <c r="J263" s="62">
        <v>4.1258741258741303</v>
      </c>
      <c r="K263" s="62">
        <v>1430</v>
      </c>
      <c r="L263" s="100" t="s">
        <v>751</v>
      </c>
      <c r="M263" s="5" t="s">
        <v>452</v>
      </c>
      <c r="N263" s="34" t="s">
        <v>464</v>
      </c>
      <c r="O263" s="5" t="s">
        <v>752</v>
      </c>
      <c r="P263" s="5" t="s">
        <v>597</v>
      </c>
      <c r="Q263" s="5" t="s">
        <v>753</v>
      </c>
      <c r="R263" s="5" t="s">
        <v>761</v>
      </c>
      <c r="S263" s="5" t="s">
        <v>755</v>
      </c>
      <c r="T263" s="5" t="s">
        <v>445</v>
      </c>
      <c r="U263" s="5"/>
      <c r="V263" s="5"/>
      <c r="W263" s="5"/>
      <c r="X263" s="5"/>
      <c r="Y263" s="5"/>
      <c r="Z263" s="5"/>
      <c r="AA263" s="5"/>
    </row>
    <row r="264" spans="4:27" customFormat="1" ht="14">
      <c r="D264" s="214" t="s">
        <v>383</v>
      </c>
      <c r="E264" s="212" t="str">
        <f>+VLOOKUP(F264,Resumen_Base!$B$6:$F$69,5,0)</f>
        <v>Maintenance Lodge</v>
      </c>
      <c r="F264" s="36" t="s">
        <v>31</v>
      </c>
      <c r="G264" s="5" t="s">
        <v>30</v>
      </c>
      <c r="H264" s="5" t="str">
        <f t="shared" si="3"/>
        <v>DEL5252</v>
      </c>
      <c r="I264" s="62">
        <v>19000</v>
      </c>
      <c r="J264" s="62">
        <v>13.286713286713301</v>
      </c>
      <c r="K264" s="62">
        <v>1430</v>
      </c>
      <c r="L264" s="100" t="s">
        <v>751</v>
      </c>
      <c r="M264" s="5" t="s">
        <v>452</v>
      </c>
      <c r="N264" s="34" t="s">
        <v>464</v>
      </c>
      <c r="O264" s="5" t="s">
        <v>752</v>
      </c>
      <c r="P264" s="5" t="s">
        <v>597</v>
      </c>
      <c r="Q264" s="5" t="s">
        <v>753</v>
      </c>
      <c r="R264" s="5" t="s">
        <v>767</v>
      </c>
      <c r="S264" s="5" t="s">
        <v>755</v>
      </c>
      <c r="T264" s="5" t="s">
        <v>445</v>
      </c>
      <c r="U264" s="5"/>
      <c r="V264" s="5"/>
      <c r="W264" s="5"/>
      <c r="X264" s="5"/>
      <c r="Y264" s="5"/>
      <c r="Z264" s="5"/>
      <c r="AA264" s="5"/>
    </row>
    <row r="265" spans="4:27" customFormat="1" ht="14">
      <c r="D265" s="214" t="s">
        <v>383</v>
      </c>
      <c r="E265" s="212" t="str">
        <f>+VLOOKUP(F265,Resumen_Base!$B$6:$F$69,5,0)</f>
        <v>Maintenance Lodge</v>
      </c>
      <c r="F265" s="36" t="s">
        <v>31</v>
      </c>
      <c r="G265" s="5" t="s">
        <v>30</v>
      </c>
      <c r="H265" s="5" t="str">
        <f t="shared" si="3"/>
        <v>DEL5252</v>
      </c>
      <c r="I265" s="62">
        <v>89990</v>
      </c>
      <c r="J265" s="62">
        <v>63.373239436619698</v>
      </c>
      <c r="K265" s="62">
        <v>1420</v>
      </c>
      <c r="L265" s="100" t="s">
        <v>1030</v>
      </c>
      <c r="M265" s="5" t="s">
        <v>452</v>
      </c>
      <c r="N265" s="34" t="s">
        <v>464</v>
      </c>
      <c r="O265" s="5" t="s">
        <v>1031</v>
      </c>
      <c r="P265" s="5" t="s">
        <v>597</v>
      </c>
      <c r="Q265" s="5" t="s">
        <v>1032</v>
      </c>
      <c r="R265" s="5" t="s">
        <v>1062</v>
      </c>
      <c r="S265" s="5" t="s">
        <v>1033</v>
      </c>
      <c r="T265" s="5" t="s">
        <v>445</v>
      </c>
      <c r="U265" s="5"/>
      <c r="V265" s="5"/>
      <c r="W265" s="5"/>
      <c r="X265" s="5"/>
      <c r="Y265" s="5"/>
      <c r="Z265" s="5"/>
      <c r="AA265" s="5"/>
    </row>
    <row r="266" spans="4:27" customFormat="1" ht="14">
      <c r="D266" s="214" t="s">
        <v>383</v>
      </c>
      <c r="E266" s="212" t="str">
        <f>+VLOOKUP(F266,Resumen_Base!$B$6:$F$69,5,0)</f>
        <v>Maintenance Lodge</v>
      </c>
      <c r="F266" s="36" t="s">
        <v>31</v>
      </c>
      <c r="G266" s="5" t="s">
        <v>30</v>
      </c>
      <c r="H266" s="5" t="str">
        <f t="shared" si="3"/>
        <v>DEL5252</v>
      </c>
      <c r="I266" s="62">
        <v>24950</v>
      </c>
      <c r="J266" s="62">
        <v>17.5704225352113</v>
      </c>
      <c r="K266" s="62">
        <v>1420</v>
      </c>
      <c r="L266" s="100" t="s">
        <v>1030</v>
      </c>
      <c r="M266" s="5" t="s">
        <v>452</v>
      </c>
      <c r="N266" s="34" t="s">
        <v>464</v>
      </c>
      <c r="O266" s="5" t="s">
        <v>1031</v>
      </c>
      <c r="P266" s="5" t="s">
        <v>597</v>
      </c>
      <c r="Q266" s="5" t="s">
        <v>1032</v>
      </c>
      <c r="R266" s="5" t="s">
        <v>1034</v>
      </c>
      <c r="S266" s="5" t="s">
        <v>1033</v>
      </c>
      <c r="T266" s="5" t="s">
        <v>445</v>
      </c>
      <c r="U266" s="5"/>
      <c r="V266" s="5"/>
      <c r="W266" s="5"/>
      <c r="X266" s="5"/>
      <c r="Y266" s="5"/>
      <c r="Z266" s="5"/>
      <c r="AA266" s="5"/>
    </row>
    <row r="267" spans="4:27" customFormat="1" ht="14">
      <c r="D267" s="214" t="s">
        <v>383</v>
      </c>
      <c r="E267" s="212" t="str">
        <f>+VLOOKUP(F267,Resumen_Base!$B$6:$F$69,5,0)</f>
        <v>Maintenance Lodge</v>
      </c>
      <c r="F267" s="36" t="s">
        <v>31</v>
      </c>
      <c r="G267" s="5" t="s">
        <v>30</v>
      </c>
      <c r="H267" s="5" t="str">
        <f t="shared" si="3"/>
        <v>DEL5252</v>
      </c>
      <c r="I267" s="62">
        <v>57000</v>
      </c>
      <c r="J267" s="62">
        <v>41.0071942446043</v>
      </c>
      <c r="K267" s="62">
        <v>1390</v>
      </c>
      <c r="L267" s="100" t="s">
        <v>628</v>
      </c>
      <c r="M267" s="5" t="s">
        <v>452</v>
      </c>
      <c r="N267" s="34" t="s">
        <v>464</v>
      </c>
      <c r="O267" s="5" t="s">
        <v>629</v>
      </c>
      <c r="P267" s="5" t="s">
        <v>597</v>
      </c>
      <c r="Q267" s="5" t="s">
        <v>630</v>
      </c>
      <c r="R267" s="5" t="s">
        <v>646</v>
      </c>
      <c r="S267" s="5" t="s">
        <v>632</v>
      </c>
      <c r="T267" s="5" t="s">
        <v>445</v>
      </c>
      <c r="U267" s="5"/>
      <c r="V267" s="5"/>
      <c r="W267" s="5"/>
      <c r="X267" s="5"/>
      <c r="Y267" s="5"/>
      <c r="Z267" s="5"/>
      <c r="AA267" s="5"/>
    </row>
    <row r="268" spans="4:27" customFormat="1" ht="14">
      <c r="D268" s="214" t="s">
        <v>383</v>
      </c>
      <c r="E268" s="212" t="str">
        <f>+VLOOKUP(F268,Resumen_Base!$B$6:$F$69,5,0)</f>
        <v>Maintenance Lodge</v>
      </c>
      <c r="F268" s="36" t="s">
        <v>31</v>
      </c>
      <c r="G268" s="5" t="s">
        <v>30</v>
      </c>
      <c r="H268" s="5" t="str">
        <f t="shared" ref="H268:H331" si="4">+D268&amp;F268</f>
        <v>DEL5252</v>
      </c>
      <c r="I268" s="62">
        <v>40000</v>
      </c>
      <c r="J268" s="62">
        <v>28.7769784172662</v>
      </c>
      <c r="K268" s="62">
        <v>1390</v>
      </c>
      <c r="L268" s="100" t="s">
        <v>628</v>
      </c>
      <c r="M268" s="5" t="s">
        <v>452</v>
      </c>
      <c r="N268" s="34" t="s">
        <v>464</v>
      </c>
      <c r="O268" s="5" t="s">
        <v>629</v>
      </c>
      <c r="P268" s="5" t="s">
        <v>597</v>
      </c>
      <c r="Q268" s="5" t="s">
        <v>630</v>
      </c>
      <c r="R268" s="5" t="s">
        <v>643</v>
      </c>
      <c r="S268" s="5" t="s">
        <v>632</v>
      </c>
      <c r="T268" s="5" t="s">
        <v>445</v>
      </c>
      <c r="U268" s="5"/>
      <c r="V268" s="5"/>
      <c r="W268" s="5"/>
      <c r="X268" s="5"/>
      <c r="Y268" s="5"/>
      <c r="Z268" s="5"/>
      <c r="AA268" s="5"/>
    </row>
    <row r="269" spans="4:27" customFormat="1" ht="14">
      <c r="D269" s="214" t="s">
        <v>383</v>
      </c>
      <c r="E269" s="212" t="str">
        <f>+VLOOKUP(F269,Resumen_Base!$B$6:$F$69,5,0)</f>
        <v>Maintenance Lodge</v>
      </c>
      <c r="F269" s="36" t="s">
        <v>31</v>
      </c>
      <c r="G269" s="5" t="s">
        <v>30</v>
      </c>
      <c r="H269" s="5" t="str">
        <f t="shared" si="4"/>
        <v>DEL5252</v>
      </c>
      <c r="I269" s="62">
        <v>18000</v>
      </c>
      <c r="J269" s="62">
        <v>12.6760563380282</v>
      </c>
      <c r="K269" s="62">
        <v>1420</v>
      </c>
      <c r="L269" s="100" t="s">
        <v>1030</v>
      </c>
      <c r="M269" s="5" t="s">
        <v>452</v>
      </c>
      <c r="N269" s="34" t="s">
        <v>464</v>
      </c>
      <c r="O269" s="5" t="s">
        <v>1031</v>
      </c>
      <c r="P269" s="5" t="s">
        <v>597</v>
      </c>
      <c r="Q269" s="5" t="s">
        <v>1032</v>
      </c>
      <c r="R269" s="5" t="s">
        <v>634</v>
      </c>
      <c r="S269" s="5" t="s">
        <v>1033</v>
      </c>
      <c r="T269" s="5" t="s">
        <v>445</v>
      </c>
      <c r="U269" s="5"/>
      <c r="V269" s="5"/>
      <c r="W269" s="5"/>
      <c r="X269" s="5"/>
      <c r="Y269" s="5"/>
      <c r="Z269" s="5"/>
      <c r="AA269" s="5"/>
    </row>
    <row r="270" spans="4:27" customFormat="1" ht="14">
      <c r="D270" s="214" t="s">
        <v>383</v>
      </c>
      <c r="E270" s="212" t="str">
        <f>+VLOOKUP(F270,Resumen_Base!$B$6:$F$69,5,0)</f>
        <v>Maintenance Lodge</v>
      </c>
      <c r="F270" s="36" t="s">
        <v>31</v>
      </c>
      <c r="G270" s="5" t="s">
        <v>30</v>
      </c>
      <c r="H270" s="5" t="str">
        <f t="shared" si="4"/>
        <v>DEL5252</v>
      </c>
      <c r="I270" s="62">
        <v>70000</v>
      </c>
      <c r="J270" s="62">
        <v>49.295774647887299</v>
      </c>
      <c r="K270" s="62">
        <v>1420</v>
      </c>
      <c r="L270" s="100" t="s">
        <v>1030</v>
      </c>
      <c r="M270" s="5" t="s">
        <v>452</v>
      </c>
      <c r="N270" s="34" t="s">
        <v>464</v>
      </c>
      <c r="O270" s="5" t="s">
        <v>1031</v>
      </c>
      <c r="P270" s="5" t="s">
        <v>597</v>
      </c>
      <c r="Q270" s="5" t="s">
        <v>1032</v>
      </c>
      <c r="R270" s="5" t="s">
        <v>1066</v>
      </c>
      <c r="S270" s="5" t="s">
        <v>1033</v>
      </c>
      <c r="T270" s="5" t="s">
        <v>445</v>
      </c>
      <c r="U270" s="5"/>
      <c r="V270" s="5"/>
      <c r="W270" s="5"/>
      <c r="X270" s="5"/>
      <c r="Y270" s="5"/>
      <c r="Z270" s="5"/>
      <c r="AA270" s="5"/>
    </row>
    <row r="271" spans="4:27" customFormat="1" ht="14">
      <c r="D271" s="214" t="s">
        <v>383</v>
      </c>
      <c r="E271" s="212" t="str">
        <f>+VLOOKUP(F271,Resumen_Base!$B$6:$F$69,5,0)</f>
        <v>Maintenance Lodge</v>
      </c>
      <c r="F271" s="36" t="s">
        <v>31</v>
      </c>
      <c r="G271" s="5" t="s">
        <v>30</v>
      </c>
      <c r="H271" s="5" t="str">
        <f t="shared" si="4"/>
        <v>DEL5252</v>
      </c>
      <c r="I271" s="62">
        <v>5000</v>
      </c>
      <c r="J271" s="62">
        <v>3.5971223021582701</v>
      </c>
      <c r="K271" s="62">
        <v>1390</v>
      </c>
      <c r="L271" s="100" t="s">
        <v>628</v>
      </c>
      <c r="M271" s="5" t="s">
        <v>452</v>
      </c>
      <c r="N271" s="34" t="s">
        <v>464</v>
      </c>
      <c r="O271" s="5" t="s">
        <v>1019</v>
      </c>
      <c r="P271" s="5" t="s">
        <v>597</v>
      </c>
      <c r="Q271" s="5" t="s">
        <v>1020</v>
      </c>
      <c r="R271" s="5" t="s">
        <v>1023</v>
      </c>
      <c r="S271" s="5" t="s">
        <v>1022</v>
      </c>
      <c r="T271" s="5" t="s">
        <v>445</v>
      </c>
      <c r="U271" s="5"/>
      <c r="V271" s="5"/>
      <c r="W271" s="5"/>
      <c r="X271" s="5"/>
      <c r="Y271" s="5"/>
      <c r="Z271" s="5"/>
      <c r="AA271" s="5"/>
    </row>
    <row r="272" spans="4:27" customFormat="1" ht="14">
      <c r="D272" s="214" t="s">
        <v>383</v>
      </c>
      <c r="E272" s="212" t="str">
        <f>+VLOOKUP(F272,Resumen_Base!$B$6:$F$69,5,0)</f>
        <v>Maintenance Lodge</v>
      </c>
      <c r="F272" s="36" t="s">
        <v>31</v>
      </c>
      <c r="G272" s="5" t="s">
        <v>30</v>
      </c>
      <c r="H272" s="5" t="str">
        <f t="shared" si="4"/>
        <v>DEL5252</v>
      </c>
      <c r="I272" s="62">
        <v>5000</v>
      </c>
      <c r="J272" s="62">
        <v>3.5971223021582701</v>
      </c>
      <c r="K272" s="62">
        <v>1390</v>
      </c>
      <c r="L272" s="100" t="s">
        <v>628</v>
      </c>
      <c r="M272" s="5" t="s">
        <v>452</v>
      </c>
      <c r="N272" s="34" t="s">
        <v>464</v>
      </c>
      <c r="O272" s="5" t="s">
        <v>629</v>
      </c>
      <c r="P272" s="5" t="s">
        <v>597</v>
      </c>
      <c r="Q272" s="5" t="s">
        <v>630</v>
      </c>
      <c r="R272" s="5" t="s">
        <v>639</v>
      </c>
      <c r="S272" s="5" t="s">
        <v>632</v>
      </c>
      <c r="T272" s="5" t="s">
        <v>445</v>
      </c>
      <c r="U272" s="5"/>
      <c r="V272" s="5"/>
      <c r="W272" s="5"/>
      <c r="X272" s="5"/>
      <c r="Y272" s="5"/>
      <c r="Z272" s="5"/>
      <c r="AA272" s="5"/>
    </row>
    <row r="273" spans="1:27" customFormat="1" ht="14">
      <c r="D273" s="214" t="s">
        <v>383</v>
      </c>
      <c r="E273" s="212" t="str">
        <f>+VLOOKUP(F273,Resumen_Base!$B$6:$F$69,5,0)</f>
        <v>Maintenance Lodge</v>
      </c>
      <c r="F273" s="36" t="s">
        <v>31</v>
      </c>
      <c r="G273" s="5" t="s">
        <v>30</v>
      </c>
      <c r="H273" s="5" t="str">
        <f t="shared" si="4"/>
        <v>DEL5252</v>
      </c>
      <c r="I273" s="62">
        <v>39200</v>
      </c>
      <c r="J273" s="62">
        <v>28.201438848920901</v>
      </c>
      <c r="K273" s="62">
        <v>1390</v>
      </c>
      <c r="L273" s="100" t="s">
        <v>628</v>
      </c>
      <c r="M273" s="5" t="s">
        <v>452</v>
      </c>
      <c r="N273" s="34" t="s">
        <v>464</v>
      </c>
      <c r="O273" s="5" t="s">
        <v>629</v>
      </c>
      <c r="P273" s="5" t="s">
        <v>597</v>
      </c>
      <c r="Q273" s="5" t="s">
        <v>630</v>
      </c>
      <c r="R273" s="5" t="s">
        <v>639</v>
      </c>
      <c r="S273" s="5" t="s">
        <v>632</v>
      </c>
      <c r="T273" s="5" t="s">
        <v>445</v>
      </c>
      <c r="U273" s="5"/>
      <c r="V273" s="5"/>
      <c r="W273" s="5"/>
      <c r="X273" s="5"/>
      <c r="Y273" s="5"/>
      <c r="Z273" s="5"/>
      <c r="AA273" s="5"/>
    </row>
    <row r="274" spans="1:27" customFormat="1" ht="14">
      <c r="D274" s="214" t="s">
        <v>383</v>
      </c>
      <c r="E274" s="212" t="str">
        <f>+VLOOKUP(F274,Resumen_Base!$B$6:$F$69,5,0)</f>
        <v>Maintenance Lodge</v>
      </c>
      <c r="F274" s="36" t="s">
        <v>31</v>
      </c>
      <c r="G274" s="5" t="s">
        <v>30</v>
      </c>
      <c r="H274" s="5" t="str">
        <f t="shared" si="4"/>
        <v>DEL5252</v>
      </c>
      <c r="I274" s="62">
        <v>18000</v>
      </c>
      <c r="J274" s="62">
        <v>12.9496402877698</v>
      </c>
      <c r="K274" s="62">
        <v>1390</v>
      </c>
      <c r="L274" s="100" t="s">
        <v>628</v>
      </c>
      <c r="M274" s="5" t="s">
        <v>452</v>
      </c>
      <c r="N274" s="34" t="s">
        <v>464</v>
      </c>
      <c r="O274" s="5" t="s">
        <v>629</v>
      </c>
      <c r="P274" s="5" t="s">
        <v>597</v>
      </c>
      <c r="Q274" s="5" t="s">
        <v>630</v>
      </c>
      <c r="R274" s="5" t="s">
        <v>639</v>
      </c>
      <c r="S274" s="5" t="s">
        <v>632</v>
      </c>
      <c r="T274" s="5" t="s">
        <v>445</v>
      </c>
      <c r="U274" s="5"/>
      <c r="V274" s="5"/>
      <c r="W274" s="5"/>
      <c r="X274" s="5"/>
      <c r="Y274" s="5"/>
      <c r="Z274" s="5"/>
      <c r="AA274" s="5"/>
    </row>
    <row r="275" spans="1:27" customFormat="1" ht="14">
      <c r="D275" s="214" t="s">
        <v>383</v>
      </c>
      <c r="E275" s="212" t="str">
        <f>+VLOOKUP(F275,Resumen_Base!$B$6:$F$69,5,0)</f>
        <v>Maintenance Lodge</v>
      </c>
      <c r="F275" s="36" t="s">
        <v>31</v>
      </c>
      <c r="G275" s="5" t="s">
        <v>30</v>
      </c>
      <c r="H275" s="5" t="str">
        <f t="shared" si="4"/>
        <v>DEL5252</v>
      </c>
      <c r="I275" s="62">
        <v>10500</v>
      </c>
      <c r="J275" s="62">
        <v>7.5539568345323698</v>
      </c>
      <c r="K275" s="62">
        <v>1390</v>
      </c>
      <c r="L275" s="100" t="s">
        <v>628</v>
      </c>
      <c r="M275" s="5" t="s">
        <v>452</v>
      </c>
      <c r="N275" s="34" t="s">
        <v>464</v>
      </c>
      <c r="O275" s="5" t="s">
        <v>629</v>
      </c>
      <c r="P275" s="5" t="s">
        <v>597</v>
      </c>
      <c r="Q275" s="5" t="s">
        <v>630</v>
      </c>
      <c r="R275" s="5" t="s">
        <v>639</v>
      </c>
      <c r="S275" s="5" t="s">
        <v>632</v>
      </c>
      <c r="T275" s="5" t="s">
        <v>445</v>
      </c>
      <c r="U275" s="5"/>
      <c r="V275" s="5"/>
      <c r="W275" s="5"/>
      <c r="X275" s="5"/>
      <c r="Y275" s="5"/>
      <c r="Z275" s="5"/>
      <c r="AA275" s="5"/>
    </row>
    <row r="276" spans="1:27" customFormat="1" ht="14">
      <c r="D276" s="214" t="s">
        <v>383</v>
      </c>
      <c r="E276" s="212" t="str">
        <f>+VLOOKUP(F276,Resumen_Base!$B$6:$F$69,5,0)</f>
        <v>Maintenance Lodge</v>
      </c>
      <c r="F276" s="36" t="s">
        <v>31</v>
      </c>
      <c r="G276" s="5" t="s">
        <v>30</v>
      </c>
      <c r="H276" s="5" t="str">
        <f t="shared" si="4"/>
        <v>DEL5252</v>
      </c>
      <c r="I276" s="62">
        <v>16195</v>
      </c>
      <c r="J276" s="62">
        <v>11.485815602836899</v>
      </c>
      <c r="K276" s="62">
        <v>1410</v>
      </c>
      <c r="L276" s="100" t="s">
        <v>678</v>
      </c>
      <c r="M276" s="5" t="s">
        <v>452</v>
      </c>
      <c r="N276" s="34" t="s">
        <v>464</v>
      </c>
      <c r="O276" s="5" t="s">
        <v>683</v>
      </c>
      <c r="P276" s="5" t="s">
        <v>597</v>
      </c>
      <c r="Q276" s="5" t="s">
        <v>684</v>
      </c>
      <c r="R276" s="5" t="s">
        <v>697</v>
      </c>
      <c r="S276" s="5" t="s">
        <v>685</v>
      </c>
      <c r="T276" s="5" t="s">
        <v>445</v>
      </c>
      <c r="U276" s="5"/>
      <c r="V276" s="5"/>
      <c r="W276" s="5"/>
      <c r="X276" s="5"/>
      <c r="Y276" s="5"/>
      <c r="Z276" s="5"/>
      <c r="AA276" s="5"/>
    </row>
    <row r="277" spans="1:27" customFormat="1" ht="14">
      <c r="D277" s="214" t="s">
        <v>383</v>
      </c>
      <c r="E277" s="212" t="str">
        <f>+VLOOKUP(F277,Resumen_Base!$B$6:$F$69,5,0)</f>
        <v>Maintenance Lodge</v>
      </c>
      <c r="F277" s="36" t="s">
        <v>31</v>
      </c>
      <c r="G277" s="5" t="s">
        <v>30</v>
      </c>
      <c r="H277" s="5" t="str">
        <f t="shared" si="4"/>
        <v>DEL5252</v>
      </c>
      <c r="I277" s="62">
        <v>84216</v>
      </c>
      <c r="J277" s="62">
        <v>64.781538461538503</v>
      </c>
      <c r="K277" s="62">
        <v>1300</v>
      </c>
      <c r="L277" s="100" t="s">
        <v>459</v>
      </c>
      <c r="M277" s="5" t="s">
        <v>452</v>
      </c>
      <c r="N277" s="34" t="s">
        <v>464</v>
      </c>
      <c r="O277" s="5" t="s">
        <v>492</v>
      </c>
      <c r="P277" s="5" t="s">
        <v>454</v>
      </c>
      <c r="Q277" s="5" t="s">
        <v>493</v>
      </c>
      <c r="R277" s="5" t="s">
        <v>499</v>
      </c>
      <c r="S277" s="5" t="s">
        <v>495</v>
      </c>
      <c r="T277" s="5" t="s">
        <v>445</v>
      </c>
      <c r="U277" s="5"/>
      <c r="V277" s="5"/>
      <c r="W277" s="5"/>
      <c r="X277" s="5"/>
      <c r="Y277" s="5"/>
      <c r="Z277" s="5"/>
      <c r="AA277" s="5"/>
    </row>
    <row r="278" spans="1:27" customFormat="1" ht="14">
      <c r="D278" s="214" t="s">
        <v>383</v>
      </c>
      <c r="E278" s="212" t="str">
        <f>+VLOOKUP(F278,Resumen_Base!$B$6:$F$69,5,0)</f>
        <v>Maintenance Lodge</v>
      </c>
      <c r="F278" s="36" t="s">
        <v>31</v>
      </c>
      <c r="G278" s="5" t="s">
        <v>30</v>
      </c>
      <c r="H278" s="5" t="str">
        <f t="shared" si="4"/>
        <v>DEL5252</v>
      </c>
      <c r="I278" s="62">
        <v>7384.62</v>
      </c>
      <c r="J278" s="62">
        <v>5.3902335766423404</v>
      </c>
      <c r="K278" s="62">
        <v>1370</v>
      </c>
      <c r="L278" s="100" t="s">
        <v>451</v>
      </c>
      <c r="M278" s="5" t="s">
        <v>452</v>
      </c>
      <c r="N278" s="34" t="s">
        <v>464</v>
      </c>
      <c r="O278" s="5" t="s">
        <v>524</v>
      </c>
      <c r="P278" s="5" t="s">
        <v>454</v>
      </c>
      <c r="Q278" s="5" t="s">
        <v>525</v>
      </c>
      <c r="R278" s="5" t="s">
        <v>526</v>
      </c>
      <c r="S278" s="5" t="s">
        <v>527</v>
      </c>
      <c r="T278" s="5" t="s">
        <v>445</v>
      </c>
      <c r="U278" s="5"/>
      <c r="V278" s="5"/>
      <c r="W278" s="5"/>
      <c r="X278" s="5"/>
      <c r="Y278" s="5"/>
      <c r="Z278" s="5"/>
      <c r="AA278" s="5"/>
    </row>
    <row r="279" spans="1:27" customFormat="1" ht="14">
      <c r="D279" s="214" t="s">
        <v>383</v>
      </c>
      <c r="E279" s="212" t="str">
        <f>+VLOOKUP(F279,Resumen_Base!$B$6:$F$69,5,0)</f>
        <v>Maintenance Lodge</v>
      </c>
      <c r="F279" s="36" t="s">
        <v>31</v>
      </c>
      <c r="G279" s="5" t="s">
        <v>30</v>
      </c>
      <c r="H279" s="5" t="str">
        <f t="shared" si="4"/>
        <v>DEL5252</v>
      </c>
      <c r="I279" s="62">
        <v>3433.9</v>
      </c>
      <c r="J279" s="62">
        <v>2.4704316546762599</v>
      </c>
      <c r="K279" s="62">
        <v>1390</v>
      </c>
      <c r="L279" s="100" t="s">
        <v>623</v>
      </c>
      <c r="M279" s="5" t="s">
        <v>452</v>
      </c>
      <c r="N279" s="34" t="s">
        <v>464</v>
      </c>
      <c r="O279" s="5" t="s">
        <v>624</v>
      </c>
      <c r="P279" s="5" t="s">
        <v>597</v>
      </c>
      <c r="Q279" s="5" t="s">
        <v>625</v>
      </c>
      <c r="R279" s="5" t="s">
        <v>626</v>
      </c>
      <c r="S279" s="5" t="s">
        <v>627</v>
      </c>
      <c r="T279" s="5" t="s">
        <v>445</v>
      </c>
      <c r="U279" s="5"/>
      <c r="V279" s="5"/>
      <c r="W279" s="5"/>
      <c r="X279" s="5"/>
      <c r="Y279" s="5"/>
      <c r="Z279" s="5"/>
      <c r="AA279" s="5"/>
    </row>
    <row r="280" spans="1:27" customFormat="1" ht="14">
      <c r="D280" s="214" t="s">
        <v>383</v>
      </c>
      <c r="E280" s="212" t="str">
        <f>+VLOOKUP(F280,Resumen_Base!$B$6:$F$69,5,0)</f>
        <v>Maintenance Lodge</v>
      </c>
      <c r="F280" s="36" t="s">
        <v>31</v>
      </c>
      <c r="G280" s="5" t="s">
        <v>30</v>
      </c>
      <c r="H280" s="5" t="str">
        <f t="shared" si="4"/>
        <v>DEL5252</v>
      </c>
      <c r="I280" s="62">
        <v>304000</v>
      </c>
      <c r="J280" s="62">
        <v>208.219178082192</v>
      </c>
      <c r="K280" s="62">
        <v>1460</v>
      </c>
      <c r="L280" s="100" t="s">
        <v>985</v>
      </c>
      <c r="M280" s="5" t="s">
        <v>452</v>
      </c>
      <c r="N280" s="34" t="s">
        <v>464</v>
      </c>
      <c r="O280" s="5" t="s">
        <v>1002</v>
      </c>
      <c r="P280" s="5" t="s">
        <v>597</v>
      </c>
      <c r="Q280" s="5" t="s">
        <v>1003</v>
      </c>
      <c r="R280" s="5" t="s">
        <v>1004</v>
      </c>
      <c r="S280" s="5" t="s">
        <v>1005</v>
      </c>
      <c r="T280" s="5" t="s">
        <v>445</v>
      </c>
      <c r="U280" s="5"/>
      <c r="V280" s="5"/>
      <c r="W280" s="5"/>
      <c r="X280" s="5"/>
      <c r="Y280" s="5"/>
      <c r="Z280" s="5"/>
      <c r="AA280" s="5"/>
    </row>
    <row r="281" spans="1:27" customFormat="1" ht="14">
      <c r="D281" s="214" t="s">
        <v>383</v>
      </c>
      <c r="E281" s="212" t="str">
        <f>+VLOOKUP(F281,Resumen_Base!$B$6:$F$69,5,0)</f>
        <v>Maintenance Lodge</v>
      </c>
      <c r="F281" s="36" t="s">
        <v>31</v>
      </c>
      <c r="G281" s="5" t="s">
        <v>30</v>
      </c>
      <c r="H281" s="5" t="str">
        <f t="shared" si="4"/>
        <v>DEL5252</v>
      </c>
      <c r="I281" s="62">
        <v>160700</v>
      </c>
      <c r="J281" s="62">
        <v>114.78571428571399</v>
      </c>
      <c r="K281" s="62">
        <v>1400</v>
      </c>
      <c r="L281" s="100" t="s">
        <v>854</v>
      </c>
      <c r="M281" s="5" t="s">
        <v>452</v>
      </c>
      <c r="N281" s="34" t="s">
        <v>464</v>
      </c>
      <c r="O281" s="5" t="s">
        <v>870</v>
      </c>
      <c r="P281" s="5" t="s">
        <v>597</v>
      </c>
      <c r="Q281" s="5" t="s">
        <v>871</v>
      </c>
      <c r="R281" s="5" t="s">
        <v>879</v>
      </c>
      <c r="S281" s="5" t="s">
        <v>873</v>
      </c>
      <c r="T281" s="5" t="s">
        <v>445</v>
      </c>
      <c r="U281" s="5"/>
      <c r="V281" s="5"/>
      <c r="W281" s="5"/>
      <c r="X281" s="5"/>
      <c r="Y281" s="5"/>
      <c r="Z281" s="5"/>
      <c r="AA281" s="5"/>
    </row>
    <row r="282" spans="1:27" customFormat="1" ht="14">
      <c r="A282" s="300">
        <v>5253</v>
      </c>
      <c r="B282">
        <v>5263</v>
      </c>
      <c r="D282" s="214" t="s">
        <v>383</v>
      </c>
      <c r="E282" s="212" t="str">
        <f>+VLOOKUP(F282,Resumen_Base!$B$6:$F$69,5,0)</f>
        <v>Maintenance  Boats / Vehicles</v>
      </c>
      <c r="F282" s="179" t="s">
        <v>62</v>
      </c>
      <c r="G282" s="168" t="s">
        <v>244</v>
      </c>
      <c r="H282" s="5" t="str">
        <f t="shared" si="4"/>
        <v>DEL5253</v>
      </c>
      <c r="I282" s="62">
        <v>14980</v>
      </c>
      <c r="J282" s="62">
        <v>10.7769784172662</v>
      </c>
      <c r="K282" s="62">
        <v>1390</v>
      </c>
      <c r="L282" s="100" t="s">
        <v>628</v>
      </c>
      <c r="M282" s="5" t="s">
        <v>452</v>
      </c>
      <c r="N282" s="34" t="s">
        <v>464</v>
      </c>
      <c r="O282" s="5" t="s">
        <v>629</v>
      </c>
      <c r="P282" s="5" t="s">
        <v>597</v>
      </c>
      <c r="Q282" s="5" t="s">
        <v>630</v>
      </c>
      <c r="R282" s="5" t="s">
        <v>661</v>
      </c>
      <c r="S282" s="5" t="s">
        <v>632</v>
      </c>
      <c r="T282" s="5" t="s">
        <v>445</v>
      </c>
      <c r="U282" s="5"/>
      <c r="V282" s="5"/>
      <c r="W282" s="5"/>
      <c r="X282" s="5"/>
      <c r="Y282" s="5"/>
      <c r="Z282" s="5"/>
      <c r="AA282" s="5"/>
    </row>
    <row r="283" spans="1:27" customFormat="1" ht="14">
      <c r="D283" s="214" t="s">
        <v>383</v>
      </c>
      <c r="E283" s="212" t="str">
        <f>+VLOOKUP(F283,Resumen_Base!$B$6:$F$69,5,0)</f>
        <v>Maintenance  Boats / Vehicles</v>
      </c>
      <c r="F283" s="36" t="s">
        <v>62</v>
      </c>
      <c r="G283" s="5" t="s">
        <v>63</v>
      </c>
      <c r="H283" s="5" t="str">
        <f t="shared" si="4"/>
        <v>DEL5253</v>
      </c>
      <c r="I283" s="62">
        <v>190000</v>
      </c>
      <c r="J283" s="62">
        <v>133.80281690140799</v>
      </c>
      <c r="K283" s="62">
        <v>1420</v>
      </c>
      <c r="L283" s="100" t="s">
        <v>1030</v>
      </c>
      <c r="M283" s="5" t="s">
        <v>452</v>
      </c>
      <c r="N283" s="34" t="s">
        <v>464</v>
      </c>
      <c r="O283" s="5" t="s">
        <v>1031</v>
      </c>
      <c r="P283" s="5" t="s">
        <v>597</v>
      </c>
      <c r="Q283" s="5" t="s">
        <v>1032</v>
      </c>
      <c r="R283" s="5" t="s">
        <v>1037</v>
      </c>
      <c r="S283" s="5" t="s">
        <v>1033</v>
      </c>
      <c r="T283" s="5" t="s">
        <v>445</v>
      </c>
      <c r="U283" s="5"/>
      <c r="V283" s="5"/>
      <c r="W283" s="5"/>
      <c r="X283" s="5"/>
      <c r="Y283" s="5"/>
      <c r="Z283" s="5"/>
      <c r="AA283" s="5"/>
    </row>
    <row r="284" spans="1:27" customFormat="1" ht="14">
      <c r="D284" s="214" t="s">
        <v>383</v>
      </c>
      <c r="E284" s="212" t="str">
        <f>+VLOOKUP(F284,Resumen_Base!$B$6:$F$69,5,0)</f>
        <v>Maintenance  Boats / Vehicles</v>
      </c>
      <c r="F284" s="36" t="s">
        <v>62</v>
      </c>
      <c r="G284" s="5" t="s">
        <v>63</v>
      </c>
      <c r="H284" s="5" t="str">
        <f t="shared" si="4"/>
        <v>DEL5253</v>
      </c>
      <c r="I284" s="62">
        <v>223880</v>
      </c>
      <c r="J284" s="62">
        <v>172.21538461538501</v>
      </c>
      <c r="K284" s="62">
        <v>1300</v>
      </c>
      <c r="L284" s="100" t="s">
        <v>476</v>
      </c>
      <c r="M284" s="5" t="s">
        <v>452</v>
      </c>
      <c r="N284" s="34" t="s">
        <v>464</v>
      </c>
      <c r="O284" s="5" t="s">
        <v>477</v>
      </c>
      <c r="P284" s="5" t="s">
        <v>454</v>
      </c>
      <c r="Q284" s="5" t="s">
        <v>478</v>
      </c>
      <c r="R284" s="5" t="s">
        <v>490</v>
      </c>
      <c r="S284" s="5" t="s">
        <v>480</v>
      </c>
      <c r="T284" s="5" t="s">
        <v>445</v>
      </c>
      <c r="U284" s="5"/>
      <c r="V284" s="5"/>
      <c r="W284" s="5"/>
      <c r="X284" s="5"/>
      <c r="Y284" s="5"/>
      <c r="Z284" s="5"/>
      <c r="AA284" s="5"/>
    </row>
    <row r="285" spans="1:27" customFormat="1" ht="14">
      <c r="D285" s="214" t="s">
        <v>383</v>
      </c>
      <c r="E285" s="212" t="str">
        <f>+VLOOKUP(F285,Resumen_Base!$B$6:$F$69,5,0)</f>
        <v>Maintenance  Boats / Vehicles</v>
      </c>
      <c r="F285" s="36" t="s">
        <v>62</v>
      </c>
      <c r="G285" s="5" t="s">
        <v>63</v>
      </c>
      <c r="H285" s="5" t="str">
        <f t="shared" si="4"/>
        <v>DEL5253</v>
      </c>
      <c r="I285" s="62">
        <v>3600000</v>
      </c>
      <c r="J285" s="62">
        <v>2769.23076923077</v>
      </c>
      <c r="K285" s="62">
        <v>1300</v>
      </c>
      <c r="L285" s="100" t="s">
        <v>476</v>
      </c>
      <c r="M285" s="5" t="s">
        <v>452</v>
      </c>
      <c r="N285" s="34" t="s">
        <v>464</v>
      </c>
      <c r="O285" s="5" t="s">
        <v>477</v>
      </c>
      <c r="P285" s="5" t="s">
        <v>454</v>
      </c>
      <c r="Q285" s="5" t="s">
        <v>478</v>
      </c>
      <c r="R285" s="5" t="s">
        <v>485</v>
      </c>
      <c r="S285" s="5" t="s">
        <v>480</v>
      </c>
      <c r="T285" s="5" t="s">
        <v>445</v>
      </c>
      <c r="U285" s="5"/>
      <c r="V285" s="5"/>
      <c r="W285" s="5"/>
      <c r="X285" s="5"/>
      <c r="Y285" s="5"/>
      <c r="Z285" s="5"/>
      <c r="AA285" s="5"/>
    </row>
    <row r="286" spans="1:27" customFormat="1" ht="14">
      <c r="D286" s="214" t="s">
        <v>383</v>
      </c>
      <c r="E286" s="212" t="str">
        <f>+VLOOKUP(F286,Resumen_Base!$B$6:$F$69,5,0)</f>
        <v>Maintenance  Boats / Vehicles</v>
      </c>
      <c r="F286" s="36" t="s">
        <v>62</v>
      </c>
      <c r="G286" s="5" t="s">
        <v>63</v>
      </c>
      <c r="H286" s="5" t="str">
        <f t="shared" si="4"/>
        <v>DEL5253</v>
      </c>
      <c r="I286" s="62">
        <v>150000</v>
      </c>
      <c r="J286" s="62">
        <v>107.91366906474801</v>
      </c>
      <c r="K286" s="62">
        <v>1390</v>
      </c>
      <c r="L286" s="100" t="s">
        <v>628</v>
      </c>
      <c r="M286" s="5" t="s">
        <v>452</v>
      </c>
      <c r="N286" s="34" t="s">
        <v>464</v>
      </c>
      <c r="O286" s="5" t="s">
        <v>629</v>
      </c>
      <c r="P286" s="5" t="s">
        <v>597</v>
      </c>
      <c r="Q286" s="5" t="s">
        <v>630</v>
      </c>
      <c r="R286" s="5" t="s">
        <v>647</v>
      </c>
      <c r="S286" s="5" t="s">
        <v>632</v>
      </c>
      <c r="T286" s="5" t="s">
        <v>445</v>
      </c>
      <c r="U286" s="5"/>
      <c r="V286" s="5"/>
      <c r="W286" s="5"/>
      <c r="X286" s="5"/>
      <c r="Y286" s="5"/>
      <c r="Z286" s="5"/>
      <c r="AA286" s="5"/>
    </row>
    <row r="287" spans="1:27" customFormat="1" ht="14">
      <c r="D287" s="214" t="s">
        <v>383</v>
      </c>
      <c r="E287" s="212" t="str">
        <f>+VLOOKUP(F287,Resumen_Base!$B$6:$F$69,5,0)</f>
        <v>Maintenance  Boats / Vehicles</v>
      </c>
      <c r="F287" s="36" t="s">
        <v>62</v>
      </c>
      <c r="G287" s="5" t="s">
        <v>63</v>
      </c>
      <c r="H287" s="5" t="str">
        <f t="shared" si="4"/>
        <v>DEL5253</v>
      </c>
      <c r="I287" s="62">
        <v>400000</v>
      </c>
      <c r="J287" s="62">
        <v>291.97080291970798</v>
      </c>
      <c r="K287" s="62">
        <v>1370</v>
      </c>
      <c r="L287" s="100" t="s">
        <v>468</v>
      </c>
      <c r="M287" s="5" t="s">
        <v>452</v>
      </c>
      <c r="N287" s="34" t="s">
        <v>464</v>
      </c>
      <c r="O287" s="5" t="s">
        <v>510</v>
      </c>
      <c r="P287" s="5" t="s">
        <v>454</v>
      </c>
      <c r="Q287" s="5" t="s">
        <v>511</v>
      </c>
      <c r="R287" s="5" t="s">
        <v>514</v>
      </c>
      <c r="S287" s="5" t="s">
        <v>513</v>
      </c>
      <c r="T287" s="5" t="s">
        <v>445</v>
      </c>
      <c r="U287" s="5"/>
      <c r="V287" s="5"/>
      <c r="W287" s="5"/>
      <c r="X287" s="5"/>
      <c r="Y287" s="5"/>
      <c r="Z287" s="5"/>
      <c r="AA287" s="5"/>
    </row>
    <row r="288" spans="1:27" customFormat="1" ht="14">
      <c r="D288" s="214" t="s">
        <v>383</v>
      </c>
      <c r="E288" s="212" t="str">
        <f>+VLOOKUP(F288,Resumen_Base!$B$6:$F$69,5,0)</f>
        <v>Maintenance  Boats / Vehicles</v>
      </c>
      <c r="F288" s="36" t="s">
        <v>62</v>
      </c>
      <c r="G288" s="5" t="s">
        <v>63</v>
      </c>
      <c r="H288" s="5" t="str">
        <f t="shared" si="4"/>
        <v>DEL5253</v>
      </c>
      <c r="I288" s="62">
        <v>354624</v>
      </c>
      <c r="J288" s="62">
        <v>272.787692307692</v>
      </c>
      <c r="K288" s="62">
        <v>1300</v>
      </c>
      <c r="L288" s="100" t="s">
        <v>476</v>
      </c>
      <c r="M288" s="5" t="s">
        <v>452</v>
      </c>
      <c r="N288" s="34" t="s">
        <v>464</v>
      </c>
      <c r="O288" s="5" t="s">
        <v>477</v>
      </c>
      <c r="P288" s="5" t="s">
        <v>454</v>
      </c>
      <c r="Q288" s="5" t="s">
        <v>478</v>
      </c>
      <c r="R288" s="5" t="s">
        <v>482</v>
      </c>
      <c r="S288" s="5" t="s">
        <v>480</v>
      </c>
      <c r="T288" s="5" t="s">
        <v>445</v>
      </c>
      <c r="U288" s="5"/>
      <c r="V288" s="5"/>
      <c r="W288" s="5"/>
      <c r="X288" s="5"/>
      <c r="Y288" s="5"/>
      <c r="Z288" s="5"/>
      <c r="AA288" s="5"/>
    </row>
    <row r="289" spans="4:27" customFormat="1" ht="14">
      <c r="D289" s="214" t="s">
        <v>383</v>
      </c>
      <c r="E289" s="212" t="str">
        <f>+VLOOKUP(F289,Resumen_Base!$B$6:$F$69,5,0)</f>
        <v>Maintenance  Boats / Vehicles</v>
      </c>
      <c r="F289" s="36" t="s">
        <v>62</v>
      </c>
      <c r="G289" s="5" t="s">
        <v>63</v>
      </c>
      <c r="H289" s="5" t="str">
        <f t="shared" si="4"/>
        <v>DEL5253</v>
      </c>
      <c r="I289" s="62">
        <v>279000</v>
      </c>
      <c r="J289" s="62">
        <v>203.64963503649599</v>
      </c>
      <c r="K289" s="62">
        <v>1370</v>
      </c>
      <c r="L289" s="100" t="s">
        <v>468</v>
      </c>
      <c r="M289" s="5" t="s">
        <v>452</v>
      </c>
      <c r="N289" s="34" t="s">
        <v>464</v>
      </c>
      <c r="O289" s="5" t="s">
        <v>510</v>
      </c>
      <c r="P289" s="5" t="s">
        <v>454</v>
      </c>
      <c r="Q289" s="5" t="s">
        <v>511</v>
      </c>
      <c r="R289" s="5" t="s">
        <v>516</v>
      </c>
      <c r="S289" s="5" t="s">
        <v>513</v>
      </c>
      <c r="T289" s="5" t="s">
        <v>445</v>
      </c>
      <c r="U289" s="5"/>
      <c r="V289" s="5"/>
      <c r="W289" s="5"/>
      <c r="X289" s="5"/>
      <c r="Y289" s="5"/>
      <c r="Z289" s="5"/>
      <c r="AA289" s="5"/>
    </row>
    <row r="290" spans="4:27" customFormat="1" ht="14">
      <c r="D290" s="214" t="s">
        <v>383</v>
      </c>
      <c r="E290" s="212" t="str">
        <f>+VLOOKUP(F290,Resumen_Base!$B$6:$F$69,5,0)</f>
        <v>Maintenance  Boats / Vehicles</v>
      </c>
      <c r="F290" s="36" t="s">
        <v>62</v>
      </c>
      <c r="G290" s="5" t="s">
        <v>63</v>
      </c>
      <c r="H290" s="5" t="str">
        <f t="shared" si="4"/>
        <v>DEL5253</v>
      </c>
      <c r="I290" s="62">
        <v>40000</v>
      </c>
      <c r="J290" s="62">
        <v>28.169014084507001</v>
      </c>
      <c r="K290" s="62">
        <v>1420</v>
      </c>
      <c r="L290" s="100" t="s">
        <v>1030</v>
      </c>
      <c r="M290" s="5" t="s">
        <v>452</v>
      </c>
      <c r="N290" s="34" t="s">
        <v>464</v>
      </c>
      <c r="O290" s="5" t="s">
        <v>1031</v>
      </c>
      <c r="P290" s="5" t="s">
        <v>597</v>
      </c>
      <c r="Q290" s="5" t="s">
        <v>1032</v>
      </c>
      <c r="R290" s="5" t="s">
        <v>1045</v>
      </c>
      <c r="S290" s="5" t="s">
        <v>1033</v>
      </c>
      <c r="T290" s="5" t="s">
        <v>445</v>
      </c>
      <c r="U290" s="5"/>
      <c r="V290" s="5"/>
      <c r="W290" s="5"/>
      <c r="X290" s="5"/>
      <c r="Y290" s="5"/>
      <c r="Z290" s="5"/>
      <c r="AA290" s="5"/>
    </row>
    <row r="291" spans="4:27" customFormat="1" ht="14">
      <c r="D291" s="214" t="s">
        <v>383</v>
      </c>
      <c r="E291" s="212" t="str">
        <f>+VLOOKUP(F291,Resumen_Base!$B$6:$F$69,5,0)</f>
        <v>Maintenance  Boats / Vehicles</v>
      </c>
      <c r="F291" s="36" t="s">
        <v>62</v>
      </c>
      <c r="G291" s="5" t="s">
        <v>63</v>
      </c>
      <c r="H291" s="5" t="str">
        <f t="shared" si="4"/>
        <v>DEL5253</v>
      </c>
      <c r="I291" s="62">
        <v>1283000</v>
      </c>
      <c r="J291" s="62">
        <v>916.42857142857099</v>
      </c>
      <c r="K291" s="62">
        <v>1400</v>
      </c>
      <c r="L291" s="100" t="s">
        <v>813</v>
      </c>
      <c r="M291" s="5" t="s">
        <v>452</v>
      </c>
      <c r="N291" s="34" t="s">
        <v>464</v>
      </c>
      <c r="O291" s="5" t="s">
        <v>817</v>
      </c>
      <c r="P291" s="5" t="s">
        <v>597</v>
      </c>
      <c r="Q291" s="5" t="s">
        <v>818</v>
      </c>
      <c r="R291" s="5" t="s">
        <v>822</v>
      </c>
      <c r="S291" s="5" t="s">
        <v>820</v>
      </c>
      <c r="T291" s="5" t="s">
        <v>445</v>
      </c>
      <c r="U291" s="5"/>
      <c r="V291" s="5"/>
      <c r="W291" s="5"/>
      <c r="X291" s="5"/>
      <c r="Y291" s="5"/>
      <c r="Z291" s="5"/>
      <c r="AA291" s="5"/>
    </row>
    <row r="292" spans="4:27" customFormat="1" ht="14">
      <c r="D292" s="214" t="s">
        <v>383</v>
      </c>
      <c r="E292" s="212" t="str">
        <f>+VLOOKUP(F292,Resumen_Base!$B$6:$F$69,5,0)</f>
        <v>Maintenance  Equipment</v>
      </c>
      <c r="F292" s="36" t="s">
        <v>29</v>
      </c>
      <c r="G292" s="5" t="s">
        <v>312</v>
      </c>
      <c r="H292" s="5" t="str">
        <f t="shared" si="4"/>
        <v>DEL5254</v>
      </c>
      <c r="I292" s="62">
        <v>27000</v>
      </c>
      <c r="J292" s="62">
        <v>19.014084507042298</v>
      </c>
      <c r="K292" s="62">
        <v>1420</v>
      </c>
      <c r="L292" s="100" t="s">
        <v>1030</v>
      </c>
      <c r="M292" s="5" t="s">
        <v>452</v>
      </c>
      <c r="N292" s="34" t="s">
        <v>464</v>
      </c>
      <c r="O292" s="5" t="s">
        <v>1031</v>
      </c>
      <c r="P292" s="5" t="s">
        <v>597</v>
      </c>
      <c r="Q292" s="5" t="s">
        <v>1032</v>
      </c>
      <c r="R292" s="5" t="s">
        <v>1042</v>
      </c>
      <c r="S292" s="5" t="s">
        <v>1033</v>
      </c>
      <c r="T292" s="5" t="s">
        <v>445</v>
      </c>
      <c r="U292" s="5"/>
      <c r="V292" s="5"/>
      <c r="W292" s="5"/>
      <c r="X292" s="5"/>
      <c r="Y292" s="5"/>
      <c r="Z292" s="5"/>
      <c r="AA292" s="5"/>
    </row>
    <row r="293" spans="4:27" customFormat="1" ht="14">
      <c r="D293" s="214" t="s">
        <v>383</v>
      </c>
      <c r="E293" s="212" t="str">
        <f>+VLOOKUP(F293,Resumen_Base!$B$6:$F$69,5,0)</f>
        <v>Maintenance  Equipment</v>
      </c>
      <c r="F293" s="36" t="s">
        <v>29</v>
      </c>
      <c r="G293" s="5" t="s">
        <v>312</v>
      </c>
      <c r="H293" s="5" t="str">
        <f t="shared" si="4"/>
        <v>DEL5254</v>
      </c>
      <c r="I293" s="62">
        <v>33600</v>
      </c>
      <c r="J293" s="62">
        <v>23.4965034965035</v>
      </c>
      <c r="K293" s="62">
        <v>1430</v>
      </c>
      <c r="L293" s="100" t="s">
        <v>751</v>
      </c>
      <c r="M293" s="5" t="s">
        <v>452</v>
      </c>
      <c r="N293" s="34" t="s">
        <v>464</v>
      </c>
      <c r="O293" s="5" t="s">
        <v>752</v>
      </c>
      <c r="P293" s="5" t="s">
        <v>597</v>
      </c>
      <c r="Q293" s="5" t="s">
        <v>753</v>
      </c>
      <c r="R293" s="5" t="s">
        <v>765</v>
      </c>
      <c r="S293" s="5" t="s">
        <v>755</v>
      </c>
      <c r="T293" s="5" t="s">
        <v>445</v>
      </c>
      <c r="U293" s="5"/>
      <c r="V293" s="5"/>
      <c r="W293" s="5"/>
      <c r="X293" s="5"/>
      <c r="Y293" s="5"/>
      <c r="Z293" s="5"/>
      <c r="AA293" s="5"/>
    </row>
    <row r="294" spans="4:27" customFormat="1" ht="14">
      <c r="D294" s="214" t="s">
        <v>383</v>
      </c>
      <c r="E294" s="212" t="str">
        <f>+VLOOKUP(F294,Resumen_Base!$B$6:$F$69,5,0)</f>
        <v>Maintenance  Equipment</v>
      </c>
      <c r="F294" s="36" t="s">
        <v>29</v>
      </c>
      <c r="G294" s="5" t="s">
        <v>312</v>
      </c>
      <c r="H294" s="5" t="str">
        <f t="shared" si="4"/>
        <v>DEL5254</v>
      </c>
      <c r="I294" s="62">
        <v>15000</v>
      </c>
      <c r="J294" s="62">
        <v>10.489510489510501</v>
      </c>
      <c r="K294" s="62">
        <v>1430</v>
      </c>
      <c r="L294" s="100" t="s">
        <v>751</v>
      </c>
      <c r="M294" s="5" t="s">
        <v>452</v>
      </c>
      <c r="N294" s="34" t="s">
        <v>464</v>
      </c>
      <c r="O294" s="5" t="s">
        <v>752</v>
      </c>
      <c r="P294" s="5" t="s">
        <v>597</v>
      </c>
      <c r="Q294" s="5" t="s">
        <v>753</v>
      </c>
      <c r="R294" s="5" t="s">
        <v>769</v>
      </c>
      <c r="S294" s="5" t="s">
        <v>755</v>
      </c>
      <c r="T294" s="5" t="s">
        <v>445</v>
      </c>
      <c r="U294" s="5"/>
      <c r="V294" s="5"/>
      <c r="W294" s="5"/>
      <c r="X294" s="5"/>
      <c r="Y294" s="5"/>
      <c r="Z294" s="5"/>
      <c r="AA294" s="5"/>
    </row>
    <row r="295" spans="4:27" customFormat="1" ht="14">
      <c r="D295" s="214" t="s">
        <v>383</v>
      </c>
      <c r="E295" s="212" t="str">
        <f>+VLOOKUP(F295,Resumen_Base!$B$6:$F$69,5,0)</f>
        <v>Maintenance  Equipment</v>
      </c>
      <c r="F295" s="36" t="s">
        <v>29</v>
      </c>
      <c r="G295" s="5" t="s">
        <v>312</v>
      </c>
      <c r="H295" s="5" t="str">
        <f t="shared" si="4"/>
        <v>DEL5254</v>
      </c>
      <c r="I295" s="62">
        <v>61500</v>
      </c>
      <c r="J295" s="62">
        <v>43.006993006993</v>
      </c>
      <c r="K295" s="62">
        <v>1430</v>
      </c>
      <c r="L295" s="100" t="s">
        <v>751</v>
      </c>
      <c r="M295" s="5" t="s">
        <v>452</v>
      </c>
      <c r="N295" s="34" t="s">
        <v>464</v>
      </c>
      <c r="O295" s="5" t="s">
        <v>752</v>
      </c>
      <c r="P295" s="5" t="s">
        <v>597</v>
      </c>
      <c r="Q295" s="5" t="s">
        <v>753</v>
      </c>
      <c r="R295" s="5" t="s">
        <v>769</v>
      </c>
      <c r="S295" s="5" t="s">
        <v>755</v>
      </c>
      <c r="T295" s="5" t="s">
        <v>445</v>
      </c>
      <c r="U295" s="5"/>
      <c r="V295" s="5"/>
      <c r="W295" s="5"/>
      <c r="X295" s="5"/>
      <c r="Y295" s="5"/>
      <c r="Z295" s="5"/>
      <c r="AA295" s="5"/>
    </row>
    <row r="296" spans="4:27" customFormat="1" ht="14">
      <c r="D296" s="214" t="s">
        <v>383</v>
      </c>
      <c r="E296" s="212" t="str">
        <f>+VLOOKUP(F296,Resumen_Base!$B$6:$F$69,5,0)</f>
        <v>Maintenance  Equipment</v>
      </c>
      <c r="F296" s="36" t="s">
        <v>29</v>
      </c>
      <c r="G296" s="5" t="s">
        <v>312</v>
      </c>
      <c r="H296" s="5" t="str">
        <f t="shared" si="4"/>
        <v>DEL5254</v>
      </c>
      <c r="I296" s="62">
        <v>16000</v>
      </c>
      <c r="J296" s="62">
        <v>11.2676056338028</v>
      </c>
      <c r="K296" s="62">
        <v>1420</v>
      </c>
      <c r="L296" s="100" t="s">
        <v>1030</v>
      </c>
      <c r="M296" s="5" t="s">
        <v>452</v>
      </c>
      <c r="N296" s="34" t="s">
        <v>464</v>
      </c>
      <c r="O296" s="5" t="s">
        <v>1031</v>
      </c>
      <c r="P296" s="5" t="s">
        <v>597</v>
      </c>
      <c r="Q296" s="5" t="s">
        <v>1032</v>
      </c>
      <c r="R296" s="5" t="s">
        <v>769</v>
      </c>
      <c r="S296" s="5" t="s">
        <v>1033</v>
      </c>
      <c r="T296" s="5" t="s">
        <v>445</v>
      </c>
      <c r="U296" s="5"/>
      <c r="V296" s="5"/>
      <c r="W296" s="5"/>
      <c r="X296" s="5"/>
      <c r="Y296" s="5"/>
      <c r="Z296" s="5"/>
      <c r="AA296" s="5"/>
    </row>
    <row r="297" spans="4:27" customFormat="1" ht="14">
      <c r="D297" s="214" t="s">
        <v>383</v>
      </c>
      <c r="E297" s="212" t="str">
        <f>+VLOOKUP(F297,Resumen_Base!$B$6:$F$69,5,0)</f>
        <v>Maintenance  Equipment</v>
      </c>
      <c r="F297" s="36" t="s">
        <v>29</v>
      </c>
      <c r="G297" s="5" t="s">
        <v>312</v>
      </c>
      <c r="H297" s="5" t="str">
        <f t="shared" si="4"/>
        <v>DEL5254</v>
      </c>
      <c r="I297" s="62">
        <v>162700</v>
      </c>
      <c r="J297" s="62">
        <v>115.39007092198599</v>
      </c>
      <c r="K297" s="62">
        <v>1410</v>
      </c>
      <c r="L297" s="100" t="s">
        <v>678</v>
      </c>
      <c r="M297" s="5" t="s">
        <v>452</v>
      </c>
      <c r="N297" s="34" t="s">
        <v>464</v>
      </c>
      <c r="O297" s="5" t="s">
        <v>683</v>
      </c>
      <c r="P297" s="5" t="s">
        <v>597</v>
      </c>
      <c r="Q297" s="5" t="s">
        <v>684</v>
      </c>
      <c r="R297" s="5" t="s">
        <v>701</v>
      </c>
      <c r="S297" s="5" t="s">
        <v>685</v>
      </c>
      <c r="T297" s="5" t="s">
        <v>445</v>
      </c>
      <c r="U297" s="5"/>
      <c r="V297" s="5"/>
      <c r="W297" s="5"/>
      <c r="X297" s="5"/>
      <c r="Y297" s="5"/>
      <c r="Z297" s="5"/>
      <c r="AA297" s="5"/>
    </row>
    <row r="298" spans="4:27" customFormat="1" ht="14">
      <c r="D298" s="214" t="s">
        <v>383</v>
      </c>
      <c r="E298" s="212" t="str">
        <f>+VLOOKUP(F298,Resumen_Base!$B$6:$F$69,5,0)</f>
        <v>Maintenance  Equipment</v>
      </c>
      <c r="F298" s="36" t="s">
        <v>29</v>
      </c>
      <c r="G298" s="5" t="s">
        <v>312</v>
      </c>
      <c r="H298" s="5" t="str">
        <f t="shared" si="4"/>
        <v>DEL5254</v>
      </c>
      <c r="I298" s="62">
        <v>54000</v>
      </c>
      <c r="J298" s="62">
        <v>37.762237762237802</v>
      </c>
      <c r="K298" s="62">
        <v>1430</v>
      </c>
      <c r="L298" s="100" t="s">
        <v>751</v>
      </c>
      <c r="M298" s="5" t="s">
        <v>452</v>
      </c>
      <c r="N298" s="34" t="s">
        <v>464</v>
      </c>
      <c r="O298" s="5" t="s">
        <v>752</v>
      </c>
      <c r="P298" s="5" t="s">
        <v>597</v>
      </c>
      <c r="Q298" s="5" t="s">
        <v>753</v>
      </c>
      <c r="R298" s="5" t="s">
        <v>701</v>
      </c>
      <c r="S298" s="5" t="s">
        <v>755</v>
      </c>
      <c r="T298" s="5" t="s">
        <v>445</v>
      </c>
      <c r="U298" s="5"/>
      <c r="V298" s="5"/>
      <c r="W298" s="5"/>
      <c r="X298" s="5"/>
      <c r="Y298" s="5"/>
      <c r="Z298" s="5"/>
      <c r="AA298" s="5"/>
    </row>
    <row r="299" spans="4:27" customFormat="1" ht="14">
      <c r="D299" s="214" t="s">
        <v>383</v>
      </c>
      <c r="E299" s="212" t="str">
        <f>+VLOOKUP(F299,Resumen_Base!$B$6:$F$69,5,0)</f>
        <v>Maintenance  Equipment</v>
      </c>
      <c r="F299" s="36" t="s">
        <v>29</v>
      </c>
      <c r="G299" s="5" t="s">
        <v>312</v>
      </c>
      <c r="H299" s="5" t="str">
        <f t="shared" si="4"/>
        <v>DEL5254</v>
      </c>
      <c r="I299" s="62">
        <v>125000</v>
      </c>
      <c r="J299" s="62">
        <v>88.028169014084497</v>
      </c>
      <c r="K299" s="62">
        <v>1420</v>
      </c>
      <c r="L299" s="100" t="s">
        <v>1030</v>
      </c>
      <c r="M299" s="5" t="s">
        <v>452</v>
      </c>
      <c r="N299" s="34" t="s">
        <v>464</v>
      </c>
      <c r="O299" s="5" t="s">
        <v>1031</v>
      </c>
      <c r="P299" s="5" t="s">
        <v>597</v>
      </c>
      <c r="Q299" s="5" t="s">
        <v>1032</v>
      </c>
      <c r="R299" s="5" t="s">
        <v>701</v>
      </c>
      <c r="S299" s="5" t="s">
        <v>1033</v>
      </c>
      <c r="T299" s="5" t="s">
        <v>445</v>
      </c>
      <c r="U299" s="5"/>
      <c r="V299" s="5"/>
      <c r="W299" s="5"/>
      <c r="X299" s="5"/>
      <c r="Y299" s="5"/>
      <c r="Z299" s="5"/>
      <c r="AA299" s="5"/>
    </row>
    <row r="300" spans="4:27" customFormat="1" ht="14">
      <c r="D300" s="214" t="s">
        <v>383</v>
      </c>
      <c r="E300" s="212" t="str">
        <f>+VLOOKUP(F300,Resumen_Base!$B$6:$F$69,5,0)</f>
        <v>Maintenance  Equipment</v>
      </c>
      <c r="F300" s="36" t="s">
        <v>29</v>
      </c>
      <c r="G300" s="5" t="s">
        <v>312</v>
      </c>
      <c r="H300" s="5" t="str">
        <f t="shared" si="4"/>
        <v>DEL5254</v>
      </c>
      <c r="I300" s="62">
        <v>14100</v>
      </c>
      <c r="J300" s="62">
        <v>10</v>
      </c>
      <c r="K300" s="62">
        <v>1410</v>
      </c>
      <c r="L300" s="100" t="s">
        <v>608</v>
      </c>
      <c r="M300" s="5" t="s">
        <v>452</v>
      </c>
      <c r="N300" s="34" t="s">
        <v>464</v>
      </c>
      <c r="O300" s="5" t="s">
        <v>738</v>
      </c>
      <c r="P300" s="5" t="s">
        <v>597</v>
      </c>
      <c r="Q300" s="5" t="s">
        <v>739</v>
      </c>
      <c r="R300" s="5" t="s">
        <v>750</v>
      </c>
      <c r="S300" s="5" t="s">
        <v>741</v>
      </c>
      <c r="T300" s="5" t="s">
        <v>445</v>
      </c>
      <c r="U300" s="5"/>
      <c r="V300" s="5"/>
      <c r="W300" s="5"/>
      <c r="X300" s="5"/>
      <c r="Y300" s="5"/>
      <c r="Z300" s="5"/>
      <c r="AA300" s="5"/>
    </row>
    <row r="301" spans="4:27" customFormat="1" ht="14">
      <c r="D301" s="214" t="s">
        <v>383</v>
      </c>
      <c r="E301" s="212" t="str">
        <f>+VLOOKUP(F301,Resumen_Base!$B$6:$F$69,5,0)</f>
        <v>Maintenance  Equipment</v>
      </c>
      <c r="F301" s="36" t="s">
        <v>29</v>
      </c>
      <c r="G301" s="5" t="s">
        <v>312</v>
      </c>
      <c r="H301" s="5" t="str">
        <f t="shared" si="4"/>
        <v>DEL5254</v>
      </c>
      <c r="I301" s="62">
        <v>12182.4</v>
      </c>
      <c r="J301" s="62">
        <v>8.64</v>
      </c>
      <c r="K301" s="62">
        <v>1410</v>
      </c>
      <c r="L301" s="100" t="s">
        <v>608</v>
      </c>
      <c r="M301" s="5" t="s">
        <v>452</v>
      </c>
      <c r="N301" s="34" t="s">
        <v>464</v>
      </c>
      <c r="O301" s="5" t="s">
        <v>738</v>
      </c>
      <c r="P301" s="5" t="s">
        <v>597</v>
      </c>
      <c r="Q301" s="5" t="s">
        <v>739</v>
      </c>
      <c r="R301" s="5" t="s">
        <v>744</v>
      </c>
      <c r="S301" s="5" t="s">
        <v>741</v>
      </c>
      <c r="T301" s="5" t="s">
        <v>445</v>
      </c>
      <c r="U301" s="5"/>
      <c r="V301" s="5"/>
      <c r="W301" s="5"/>
      <c r="X301" s="5"/>
      <c r="Y301" s="5"/>
      <c r="Z301" s="5"/>
      <c r="AA301" s="5"/>
    </row>
    <row r="302" spans="4:27" customFormat="1" ht="14">
      <c r="D302" s="214" t="s">
        <v>383</v>
      </c>
      <c r="E302" s="212" t="str">
        <f>+VLOOKUP(F302,Resumen_Base!$B$6:$F$69,5,0)</f>
        <v>Maintenance  Equipment</v>
      </c>
      <c r="F302" s="36" t="s">
        <v>29</v>
      </c>
      <c r="G302" s="5" t="s">
        <v>312</v>
      </c>
      <c r="H302" s="5" t="str">
        <f t="shared" si="4"/>
        <v>DEL5254</v>
      </c>
      <c r="I302" s="62">
        <v>186342</v>
      </c>
      <c r="J302" s="62">
        <v>143.34</v>
      </c>
      <c r="K302" s="62">
        <v>1300</v>
      </c>
      <c r="L302" s="100" t="s">
        <v>459</v>
      </c>
      <c r="M302" s="5" t="s">
        <v>452</v>
      </c>
      <c r="N302" s="34" t="s">
        <v>464</v>
      </c>
      <c r="O302" s="5" t="s">
        <v>505</v>
      </c>
      <c r="P302" s="5" t="s">
        <v>454</v>
      </c>
      <c r="Q302" s="5" t="s">
        <v>506</v>
      </c>
      <c r="R302" s="5" t="s">
        <v>507</v>
      </c>
      <c r="S302" s="5" t="s">
        <v>508</v>
      </c>
      <c r="T302" s="5" t="s">
        <v>445</v>
      </c>
      <c r="U302" s="5"/>
      <c r="V302" s="5"/>
      <c r="W302" s="5"/>
      <c r="X302" s="5"/>
      <c r="Y302" s="5"/>
      <c r="Z302" s="5"/>
      <c r="AA302" s="5"/>
    </row>
    <row r="303" spans="4:27" customFormat="1" ht="14">
      <c r="D303" s="214" t="s">
        <v>383</v>
      </c>
      <c r="E303" s="212" t="str">
        <f>+VLOOKUP(F303,Resumen_Base!$B$6:$F$69,5,0)</f>
        <v>Maintenance  Equipment</v>
      </c>
      <c r="F303" s="36" t="s">
        <v>29</v>
      </c>
      <c r="G303" s="5" t="s">
        <v>312</v>
      </c>
      <c r="H303" s="5" t="str">
        <f t="shared" si="4"/>
        <v>DEL5254</v>
      </c>
      <c r="I303" s="62">
        <v>89900</v>
      </c>
      <c r="J303" s="62">
        <v>64.214285714285694</v>
      </c>
      <c r="K303" s="62">
        <v>1400</v>
      </c>
      <c r="L303" s="100" t="s">
        <v>854</v>
      </c>
      <c r="M303" s="5" t="s">
        <v>452</v>
      </c>
      <c r="N303" s="34" t="s">
        <v>464</v>
      </c>
      <c r="O303" s="5" t="s">
        <v>870</v>
      </c>
      <c r="P303" s="5" t="s">
        <v>597</v>
      </c>
      <c r="Q303" s="5" t="s">
        <v>871</v>
      </c>
      <c r="R303" s="5" t="s">
        <v>872</v>
      </c>
      <c r="S303" s="5" t="s">
        <v>873</v>
      </c>
      <c r="T303" s="5" t="s">
        <v>445</v>
      </c>
      <c r="U303" s="5"/>
      <c r="V303" s="5"/>
      <c r="W303" s="5"/>
      <c r="X303" s="5"/>
      <c r="Y303" s="5"/>
      <c r="Z303" s="5"/>
      <c r="AA303" s="5"/>
    </row>
    <row r="304" spans="4:27" customFormat="1" ht="14">
      <c r="D304" s="214" t="s">
        <v>383</v>
      </c>
      <c r="E304" s="212" t="str">
        <f>+VLOOKUP(F304,Resumen_Base!$B$6:$F$69,5,0)</f>
        <v>Maintenance  Equipment</v>
      </c>
      <c r="F304" s="36" t="s">
        <v>29</v>
      </c>
      <c r="G304" s="5" t="s">
        <v>312</v>
      </c>
      <c r="H304" s="5" t="str">
        <f t="shared" si="4"/>
        <v>DEL5254</v>
      </c>
      <c r="I304" s="62">
        <v>120000</v>
      </c>
      <c r="J304" s="62">
        <v>82.191780821917803</v>
      </c>
      <c r="K304" s="62">
        <v>1460</v>
      </c>
      <c r="L304" s="100" t="s">
        <v>914</v>
      </c>
      <c r="M304" s="5" t="s">
        <v>452</v>
      </c>
      <c r="N304" s="34" t="s">
        <v>464</v>
      </c>
      <c r="O304" s="5" t="s">
        <v>935</v>
      </c>
      <c r="P304" s="5" t="s">
        <v>597</v>
      </c>
      <c r="Q304" s="5" t="s">
        <v>936</v>
      </c>
      <c r="R304" s="5" t="s">
        <v>942</v>
      </c>
      <c r="S304" s="5" t="s">
        <v>938</v>
      </c>
      <c r="T304" s="5" t="s">
        <v>445</v>
      </c>
      <c r="U304" s="5"/>
      <c r="V304" s="5"/>
      <c r="W304" s="5"/>
      <c r="X304" s="5"/>
      <c r="Y304" s="5"/>
      <c r="Z304" s="5"/>
      <c r="AA304" s="5"/>
    </row>
    <row r="305" spans="4:27" customFormat="1" ht="14">
      <c r="D305" s="214" t="s">
        <v>383</v>
      </c>
      <c r="E305" s="212" t="str">
        <f>+VLOOKUP(F305,Resumen_Base!$B$6:$F$69,5,0)</f>
        <v>Maintenance  Equipment</v>
      </c>
      <c r="F305" s="36" t="s">
        <v>29</v>
      </c>
      <c r="G305" s="5" t="s">
        <v>312</v>
      </c>
      <c r="H305" s="5" t="str">
        <f t="shared" si="4"/>
        <v>DEL5254</v>
      </c>
      <c r="I305" s="62">
        <v>22400</v>
      </c>
      <c r="J305" s="62">
        <v>16.350364963503701</v>
      </c>
      <c r="K305" s="62">
        <v>1370</v>
      </c>
      <c r="L305" s="100" t="s">
        <v>451</v>
      </c>
      <c r="M305" s="5" t="s">
        <v>452</v>
      </c>
      <c r="N305" s="34" t="s">
        <v>464</v>
      </c>
      <c r="O305" s="5" t="s">
        <v>524</v>
      </c>
      <c r="P305" s="5" t="s">
        <v>454</v>
      </c>
      <c r="Q305" s="5" t="s">
        <v>525</v>
      </c>
      <c r="R305" s="5" t="s">
        <v>531</v>
      </c>
      <c r="S305" s="5" t="s">
        <v>527</v>
      </c>
      <c r="T305" s="5" t="s">
        <v>445</v>
      </c>
      <c r="U305" s="5"/>
      <c r="V305" s="5"/>
      <c r="W305" s="5"/>
      <c r="X305" s="5"/>
      <c r="Y305" s="5"/>
      <c r="Z305" s="5"/>
      <c r="AA305" s="5"/>
    </row>
    <row r="306" spans="4:27" customFormat="1" ht="14">
      <c r="D306" s="214" t="s">
        <v>383</v>
      </c>
      <c r="E306" s="212" t="str">
        <f>+VLOOKUP(F306,Resumen_Base!$B$6:$F$69,5,0)</f>
        <v>Maintenance  Equipment</v>
      </c>
      <c r="F306" s="36" t="s">
        <v>29</v>
      </c>
      <c r="G306" s="5" t="s">
        <v>312</v>
      </c>
      <c r="H306" s="5" t="str">
        <f t="shared" si="4"/>
        <v>DEL5254</v>
      </c>
      <c r="I306" s="62">
        <v>9832.5</v>
      </c>
      <c r="J306" s="62">
        <v>6.9242957746478897</v>
      </c>
      <c r="K306" s="62">
        <v>1420</v>
      </c>
      <c r="L306" s="100" t="s">
        <v>472</v>
      </c>
      <c r="M306" s="5" t="s">
        <v>452</v>
      </c>
      <c r="N306" s="34" t="s">
        <v>464</v>
      </c>
      <c r="O306" s="5" t="s">
        <v>544</v>
      </c>
      <c r="P306" s="5" t="s">
        <v>454</v>
      </c>
      <c r="Q306" s="5" t="s">
        <v>545</v>
      </c>
      <c r="R306" s="5" t="s">
        <v>548</v>
      </c>
      <c r="S306" s="5" t="s">
        <v>547</v>
      </c>
      <c r="T306" s="5" t="s">
        <v>445</v>
      </c>
      <c r="U306" s="5"/>
      <c r="V306" s="5"/>
      <c r="W306" s="5"/>
      <c r="X306" s="5"/>
      <c r="Y306" s="5"/>
      <c r="Z306" s="5"/>
      <c r="AA306" s="5"/>
    </row>
    <row r="307" spans="4:27" customFormat="1" ht="14">
      <c r="D307" s="214" t="s">
        <v>383</v>
      </c>
      <c r="E307" s="212" t="str">
        <f>+VLOOKUP(F307,Resumen_Base!$B$6:$F$69,5,0)</f>
        <v>Maintenance  Equipment</v>
      </c>
      <c r="F307" s="36" t="s">
        <v>29</v>
      </c>
      <c r="G307" s="5" t="s">
        <v>312</v>
      </c>
      <c r="H307" s="5" t="str">
        <f t="shared" si="4"/>
        <v>DEL5254</v>
      </c>
      <c r="I307" s="62">
        <v>272600</v>
      </c>
      <c r="J307" s="62">
        <v>190.62937062937101</v>
      </c>
      <c r="K307" s="62">
        <v>1430</v>
      </c>
      <c r="L307" s="100" t="s">
        <v>608</v>
      </c>
      <c r="M307" s="5" t="s">
        <v>452</v>
      </c>
      <c r="N307" s="34" t="s">
        <v>464</v>
      </c>
      <c r="O307" s="5" t="s">
        <v>729</v>
      </c>
      <c r="P307" s="5" t="s">
        <v>597</v>
      </c>
      <c r="Q307" s="5" t="s">
        <v>730</v>
      </c>
      <c r="R307" s="5" t="s">
        <v>737</v>
      </c>
      <c r="S307" s="5" t="s">
        <v>732</v>
      </c>
      <c r="T307" s="5" t="s">
        <v>445</v>
      </c>
      <c r="U307" s="5"/>
      <c r="V307" s="5"/>
      <c r="W307" s="5"/>
      <c r="X307" s="5"/>
      <c r="Y307" s="5"/>
      <c r="Z307" s="5"/>
      <c r="AA307" s="5"/>
    </row>
    <row r="308" spans="4:27" customFormat="1" ht="14">
      <c r="D308" s="214" t="s">
        <v>383</v>
      </c>
      <c r="E308" s="212" t="str">
        <f>+VLOOKUP(F308,Resumen_Base!$B$6:$F$69,5,0)</f>
        <v>Maintenance  Equipment</v>
      </c>
      <c r="F308" s="36" t="s">
        <v>29</v>
      </c>
      <c r="G308" s="5" t="s">
        <v>312</v>
      </c>
      <c r="H308" s="5" t="str">
        <f t="shared" si="4"/>
        <v>DEL5254</v>
      </c>
      <c r="I308" s="62">
        <v>45000</v>
      </c>
      <c r="J308" s="62">
        <v>34.615384615384599</v>
      </c>
      <c r="K308" s="62">
        <v>1300</v>
      </c>
      <c r="L308" s="100" t="s">
        <v>459</v>
      </c>
      <c r="M308" s="5" t="s">
        <v>452</v>
      </c>
      <c r="N308" s="34" t="s">
        <v>464</v>
      </c>
      <c r="O308" s="5" t="s">
        <v>492</v>
      </c>
      <c r="P308" s="5" t="s">
        <v>454</v>
      </c>
      <c r="Q308" s="5" t="s">
        <v>493</v>
      </c>
      <c r="R308" s="5" t="s">
        <v>500</v>
      </c>
      <c r="S308" s="5" t="s">
        <v>495</v>
      </c>
      <c r="T308" s="5" t="s">
        <v>445</v>
      </c>
      <c r="U308" s="5"/>
      <c r="V308" s="5"/>
      <c r="W308" s="5"/>
      <c r="X308" s="5"/>
      <c r="Y308" s="5"/>
      <c r="Z308" s="5"/>
      <c r="AA308" s="5"/>
    </row>
    <row r="309" spans="4:27" customFormat="1" ht="14">
      <c r="D309" s="214" t="s">
        <v>383</v>
      </c>
      <c r="E309" s="212" t="str">
        <f>+VLOOKUP(F309,Resumen_Base!$B$6:$F$69,5,0)</f>
        <v>Travel for personnel (employees)</v>
      </c>
      <c r="F309" s="36" t="s">
        <v>64</v>
      </c>
      <c r="G309" s="5" t="s">
        <v>65</v>
      </c>
      <c r="H309" s="5" t="str">
        <f t="shared" si="4"/>
        <v>DEL5255</v>
      </c>
      <c r="I309" s="62">
        <v>29800</v>
      </c>
      <c r="J309" s="62">
        <v>19.866666666666699</v>
      </c>
      <c r="K309" s="62">
        <v>1500</v>
      </c>
      <c r="L309" s="100" t="s">
        <v>858</v>
      </c>
      <c r="M309" s="5" t="s">
        <v>452</v>
      </c>
      <c r="N309" s="34" t="s">
        <v>464</v>
      </c>
      <c r="O309" s="5" t="s">
        <v>880</v>
      </c>
      <c r="P309" s="5" t="s">
        <v>597</v>
      </c>
      <c r="Q309" s="5" t="s">
        <v>881</v>
      </c>
      <c r="R309" s="5" t="s">
        <v>892</v>
      </c>
      <c r="S309" s="5" t="s">
        <v>882</v>
      </c>
      <c r="T309" s="5" t="s">
        <v>445</v>
      </c>
      <c r="U309" s="5"/>
      <c r="V309" s="5"/>
      <c r="W309" s="5"/>
      <c r="X309" s="5"/>
      <c r="Y309" s="5"/>
      <c r="Z309" s="5"/>
      <c r="AA309" s="5"/>
    </row>
    <row r="310" spans="4:27" customFormat="1" ht="14">
      <c r="D310" s="214" t="s">
        <v>383</v>
      </c>
      <c r="E310" s="212" t="str">
        <f>+VLOOKUP(F310,Resumen_Base!$B$6:$F$69,5,0)</f>
        <v>Travel for personnel (employees)</v>
      </c>
      <c r="F310" s="36" t="s">
        <v>64</v>
      </c>
      <c r="G310" s="5" t="s">
        <v>65</v>
      </c>
      <c r="H310" s="5" t="str">
        <f t="shared" si="4"/>
        <v>DEL5255</v>
      </c>
      <c r="I310" s="62">
        <v>19000</v>
      </c>
      <c r="J310" s="62">
        <v>12.6666666666667</v>
      </c>
      <c r="K310" s="62">
        <v>1500</v>
      </c>
      <c r="L310" s="100" t="s">
        <v>858</v>
      </c>
      <c r="M310" s="5" t="s">
        <v>452</v>
      </c>
      <c r="N310" s="34" t="s">
        <v>464</v>
      </c>
      <c r="O310" s="5" t="s">
        <v>880</v>
      </c>
      <c r="P310" s="5" t="s">
        <v>597</v>
      </c>
      <c r="Q310" s="5" t="s">
        <v>881</v>
      </c>
      <c r="R310" s="5" t="s">
        <v>884</v>
      </c>
      <c r="S310" s="5" t="s">
        <v>882</v>
      </c>
      <c r="T310" s="5" t="s">
        <v>445</v>
      </c>
      <c r="U310" s="5"/>
      <c r="V310" s="5"/>
      <c r="W310" s="5"/>
      <c r="X310" s="5"/>
      <c r="Y310" s="5"/>
      <c r="Z310" s="5"/>
      <c r="AA310" s="5"/>
    </row>
    <row r="311" spans="4:27" customFormat="1" ht="14">
      <c r="D311" s="214" t="s">
        <v>383</v>
      </c>
      <c r="E311" s="212" t="str">
        <f>+VLOOKUP(F311,Resumen_Base!$B$6:$F$69,5,0)</f>
        <v>Travel for personnel (employees)</v>
      </c>
      <c r="F311" s="36" t="s">
        <v>64</v>
      </c>
      <c r="G311" s="5" t="s">
        <v>65</v>
      </c>
      <c r="H311" s="5" t="str">
        <f t="shared" si="4"/>
        <v>DEL5255</v>
      </c>
      <c r="I311" s="62">
        <v>55000</v>
      </c>
      <c r="J311" s="62">
        <v>39.568345323740999</v>
      </c>
      <c r="K311" s="62">
        <v>1390</v>
      </c>
      <c r="L311" s="100" t="s">
        <v>628</v>
      </c>
      <c r="M311" s="5" t="s">
        <v>452</v>
      </c>
      <c r="N311" s="34" t="s">
        <v>464</v>
      </c>
      <c r="O311" s="5" t="s">
        <v>1019</v>
      </c>
      <c r="P311" s="5" t="s">
        <v>597</v>
      </c>
      <c r="Q311" s="5" t="s">
        <v>1020</v>
      </c>
      <c r="R311" s="5" t="s">
        <v>1024</v>
      </c>
      <c r="S311" s="5" t="s">
        <v>1022</v>
      </c>
      <c r="T311" s="5" t="s">
        <v>445</v>
      </c>
      <c r="U311" s="5"/>
      <c r="V311" s="5"/>
      <c r="W311" s="5"/>
      <c r="X311" s="5"/>
      <c r="Y311" s="5"/>
      <c r="Z311" s="5"/>
      <c r="AA311" s="5"/>
    </row>
    <row r="312" spans="4:27" customFormat="1" ht="14">
      <c r="D312" s="214" t="s">
        <v>383</v>
      </c>
      <c r="E312" s="212" t="str">
        <f>+VLOOKUP(F312,Resumen_Base!$B$6:$F$69,5,0)</f>
        <v>Travel for personnel (employees)</v>
      </c>
      <c r="F312" s="36" t="s">
        <v>64</v>
      </c>
      <c r="G312" s="5" t="s">
        <v>65</v>
      </c>
      <c r="H312" s="5" t="str">
        <f t="shared" si="4"/>
        <v>DEL5255</v>
      </c>
      <c r="I312" s="62">
        <v>65000</v>
      </c>
      <c r="J312" s="62">
        <v>46.0992907801418</v>
      </c>
      <c r="K312" s="62">
        <v>1410</v>
      </c>
      <c r="L312" s="100" t="s">
        <v>678</v>
      </c>
      <c r="M312" s="5" t="s">
        <v>452</v>
      </c>
      <c r="N312" s="34" t="s">
        <v>464</v>
      </c>
      <c r="O312" s="5" t="s">
        <v>683</v>
      </c>
      <c r="P312" s="5" t="s">
        <v>597</v>
      </c>
      <c r="Q312" s="5" t="s">
        <v>684</v>
      </c>
      <c r="R312" s="5" t="s">
        <v>703</v>
      </c>
      <c r="S312" s="5" t="s">
        <v>685</v>
      </c>
      <c r="T312" s="5" t="s">
        <v>445</v>
      </c>
      <c r="U312" s="5"/>
      <c r="V312" s="5"/>
      <c r="W312" s="5"/>
      <c r="X312" s="5"/>
      <c r="Y312" s="5"/>
      <c r="Z312" s="5"/>
      <c r="AA312" s="5"/>
    </row>
    <row r="313" spans="4:27" customFormat="1" ht="14">
      <c r="D313" s="214" t="s">
        <v>383</v>
      </c>
      <c r="E313" s="212" t="str">
        <f>+VLOOKUP(F313,Resumen_Base!$B$6:$F$69,5,0)</f>
        <v>Travel for personnel (employees)</v>
      </c>
      <c r="F313" s="36" t="s">
        <v>64</v>
      </c>
      <c r="G313" s="5" t="s">
        <v>65</v>
      </c>
      <c r="H313" s="5" t="str">
        <f t="shared" si="4"/>
        <v>DEL5255</v>
      </c>
      <c r="I313" s="62">
        <v>82000</v>
      </c>
      <c r="J313" s="62">
        <v>57.746478873239397</v>
      </c>
      <c r="K313" s="62">
        <v>1420</v>
      </c>
      <c r="L313" s="100" t="s">
        <v>1030</v>
      </c>
      <c r="M313" s="5" t="s">
        <v>452</v>
      </c>
      <c r="N313" s="34" t="s">
        <v>464</v>
      </c>
      <c r="O313" s="5" t="s">
        <v>1031</v>
      </c>
      <c r="P313" s="5" t="s">
        <v>597</v>
      </c>
      <c r="Q313" s="5" t="s">
        <v>1032</v>
      </c>
      <c r="R313" s="5" t="s">
        <v>703</v>
      </c>
      <c r="S313" s="5" t="s">
        <v>1033</v>
      </c>
      <c r="T313" s="5" t="s">
        <v>445</v>
      </c>
      <c r="U313" s="5"/>
      <c r="V313" s="5"/>
      <c r="W313" s="5"/>
      <c r="X313" s="5"/>
      <c r="Y313" s="5"/>
      <c r="Z313" s="5"/>
      <c r="AA313" s="5"/>
    </row>
    <row r="314" spans="4:27" customFormat="1" ht="14">
      <c r="D314" s="214" t="s">
        <v>383</v>
      </c>
      <c r="E314" s="212" t="str">
        <f>+VLOOKUP(F314,Resumen_Base!$B$6:$F$69,5,0)</f>
        <v>Travel for personnel (employees)</v>
      </c>
      <c r="F314" s="36" t="s">
        <v>64</v>
      </c>
      <c r="G314" s="5" t="s">
        <v>65</v>
      </c>
      <c r="H314" s="5" t="str">
        <f t="shared" si="4"/>
        <v>DEL5255</v>
      </c>
      <c r="I314" s="62">
        <v>900</v>
      </c>
      <c r="J314" s="62">
        <v>0.64748201438848896</v>
      </c>
      <c r="K314" s="62">
        <v>1390</v>
      </c>
      <c r="L314" s="100" t="s">
        <v>628</v>
      </c>
      <c r="M314" s="5" t="s">
        <v>452</v>
      </c>
      <c r="N314" s="34" t="s">
        <v>464</v>
      </c>
      <c r="O314" s="5" t="s">
        <v>629</v>
      </c>
      <c r="P314" s="5" t="s">
        <v>597</v>
      </c>
      <c r="Q314" s="5" t="s">
        <v>630</v>
      </c>
      <c r="R314" s="5" t="s">
        <v>657</v>
      </c>
      <c r="S314" s="5" t="s">
        <v>632</v>
      </c>
      <c r="T314" s="5" t="s">
        <v>445</v>
      </c>
      <c r="U314" s="5"/>
      <c r="V314" s="5"/>
      <c r="W314" s="5"/>
      <c r="X314" s="5"/>
      <c r="Y314" s="5"/>
      <c r="Z314" s="5"/>
      <c r="AA314" s="5"/>
    </row>
    <row r="315" spans="4:27" customFormat="1" ht="14">
      <c r="D315" s="214" t="s">
        <v>383</v>
      </c>
      <c r="E315" s="212" t="str">
        <f>+VLOOKUP(F315,Resumen_Base!$B$6:$F$69,5,0)</f>
        <v>Travel for personnel (employees)</v>
      </c>
      <c r="F315" s="36" t="s">
        <v>64</v>
      </c>
      <c r="G315" s="5" t="s">
        <v>65</v>
      </c>
      <c r="H315" s="5" t="str">
        <f t="shared" si="4"/>
        <v>DEL5255</v>
      </c>
      <c r="I315" s="62">
        <v>55400</v>
      </c>
      <c r="J315" s="62">
        <v>39.014084507042298</v>
      </c>
      <c r="K315" s="62">
        <v>1420</v>
      </c>
      <c r="L315" s="100" t="s">
        <v>1030</v>
      </c>
      <c r="M315" s="5" t="s">
        <v>452</v>
      </c>
      <c r="N315" s="34" t="s">
        <v>464</v>
      </c>
      <c r="O315" s="5" t="s">
        <v>1031</v>
      </c>
      <c r="P315" s="5" t="s">
        <v>597</v>
      </c>
      <c r="Q315" s="5" t="s">
        <v>1032</v>
      </c>
      <c r="R315" s="5" t="s">
        <v>1038</v>
      </c>
      <c r="S315" s="5" t="s">
        <v>1033</v>
      </c>
      <c r="T315" s="5" t="s">
        <v>445</v>
      </c>
      <c r="U315" s="5"/>
      <c r="V315" s="5"/>
      <c r="W315" s="5"/>
      <c r="X315" s="5"/>
      <c r="Y315" s="5"/>
      <c r="Z315" s="5"/>
      <c r="AA315" s="5"/>
    </row>
    <row r="316" spans="4:27" customFormat="1" ht="14">
      <c r="D316" s="214" t="s">
        <v>383</v>
      </c>
      <c r="E316" s="212" t="str">
        <f>+VLOOKUP(F316,Resumen_Base!$B$6:$F$69,5,0)</f>
        <v>Travel for personnel (employees)</v>
      </c>
      <c r="F316" s="36" t="s">
        <v>64</v>
      </c>
      <c r="G316" s="5" t="s">
        <v>65</v>
      </c>
      <c r="H316" s="5" t="str">
        <f t="shared" si="4"/>
        <v>DEL5255</v>
      </c>
      <c r="I316" s="62">
        <v>68000</v>
      </c>
      <c r="J316" s="62">
        <v>52.307692307692299</v>
      </c>
      <c r="K316" s="62">
        <v>1300</v>
      </c>
      <c r="L316" s="100" t="s">
        <v>476</v>
      </c>
      <c r="M316" s="5" t="s">
        <v>452</v>
      </c>
      <c r="N316" s="34" t="s">
        <v>464</v>
      </c>
      <c r="O316" s="5" t="s">
        <v>477</v>
      </c>
      <c r="P316" s="5" t="s">
        <v>454</v>
      </c>
      <c r="Q316" s="5" t="s">
        <v>478</v>
      </c>
      <c r="R316" s="5" t="s">
        <v>487</v>
      </c>
      <c r="S316" s="5" t="s">
        <v>480</v>
      </c>
      <c r="T316" s="5" t="s">
        <v>445</v>
      </c>
      <c r="U316" s="5"/>
      <c r="V316" s="5"/>
      <c r="W316" s="5"/>
      <c r="X316" s="5"/>
      <c r="Y316" s="5"/>
      <c r="Z316" s="5"/>
      <c r="AA316" s="5"/>
    </row>
    <row r="317" spans="4:27" customFormat="1" ht="14">
      <c r="D317" s="214" t="s">
        <v>383</v>
      </c>
      <c r="E317" s="212" t="str">
        <f>+VLOOKUP(F317,Resumen_Base!$B$6:$F$69,5,0)</f>
        <v>Travel for personnel (employees)</v>
      </c>
      <c r="F317" s="36" t="s">
        <v>64</v>
      </c>
      <c r="G317" s="5" t="s">
        <v>65</v>
      </c>
      <c r="H317" s="5" t="str">
        <f t="shared" si="4"/>
        <v>DEL5255</v>
      </c>
      <c r="I317" s="62">
        <v>5000</v>
      </c>
      <c r="J317" s="62">
        <v>3.5971223021582701</v>
      </c>
      <c r="K317" s="62">
        <v>1390</v>
      </c>
      <c r="L317" s="100" t="s">
        <v>628</v>
      </c>
      <c r="M317" s="5" t="s">
        <v>452</v>
      </c>
      <c r="N317" s="34" t="s">
        <v>464</v>
      </c>
      <c r="O317" s="5" t="s">
        <v>629</v>
      </c>
      <c r="P317" s="5" t="s">
        <v>597</v>
      </c>
      <c r="Q317" s="5" t="s">
        <v>630</v>
      </c>
      <c r="R317" s="5" t="s">
        <v>658</v>
      </c>
      <c r="S317" s="5" t="s">
        <v>632</v>
      </c>
      <c r="T317" s="5" t="s">
        <v>445</v>
      </c>
      <c r="U317" s="5"/>
      <c r="V317" s="5"/>
      <c r="W317" s="5"/>
      <c r="X317" s="5"/>
      <c r="Y317" s="5"/>
      <c r="Z317" s="5"/>
      <c r="AA317" s="5"/>
    </row>
    <row r="318" spans="4:27" customFormat="1" ht="14">
      <c r="D318" s="214" t="s">
        <v>383</v>
      </c>
      <c r="E318" s="212" t="str">
        <f>+VLOOKUP(F318,Resumen_Base!$B$6:$F$69,5,0)</f>
        <v>Travel for personnel (employees)</v>
      </c>
      <c r="F318" s="36" t="s">
        <v>64</v>
      </c>
      <c r="G318" s="5" t="s">
        <v>65</v>
      </c>
      <c r="H318" s="5" t="str">
        <f t="shared" si="4"/>
        <v>DEL5255</v>
      </c>
      <c r="I318" s="62">
        <v>1000</v>
      </c>
      <c r="J318" s="62">
        <v>0.66666666666666696</v>
      </c>
      <c r="K318" s="62">
        <v>1500</v>
      </c>
      <c r="L318" s="100" t="s">
        <v>858</v>
      </c>
      <c r="M318" s="5" t="s">
        <v>452</v>
      </c>
      <c r="N318" s="34" t="s">
        <v>464</v>
      </c>
      <c r="O318" s="5" t="s">
        <v>880</v>
      </c>
      <c r="P318" s="5" t="s">
        <v>597</v>
      </c>
      <c r="Q318" s="5" t="s">
        <v>881</v>
      </c>
      <c r="R318" s="5" t="s">
        <v>658</v>
      </c>
      <c r="S318" s="5" t="s">
        <v>882</v>
      </c>
      <c r="T318" s="5" t="s">
        <v>445</v>
      </c>
      <c r="U318" s="5"/>
      <c r="V318" s="5"/>
      <c r="W318" s="5"/>
      <c r="X318" s="5"/>
      <c r="Y318" s="5"/>
      <c r="Z318" s="5"/>
      <c r="AA318" s="5"/>
    </row>
    <row r="319" spans="4:27" customFormat="1" ht="14">
      <c r="D319" s="214" t="s">
        <v>383</v>
      </c>
      <c r="E319" s="212" t="str">
        <f>+VLOOKUP(F319,Resumen_Base!$B$6:$F$69,5,0)</f>
        <v>Travel for personnel (employees)</v>
      </c>
      <c r="F319" s="36" t="s">
        <v>64</v>
      </c>
      <c r="G319" s="5" t="s">
        <v>65</v>
      </c>
      <c r="H319" s="5" t="str">
        <f t="shared" si="4"/>
        <v>DEL5255</v>
      </c>
      <c r="I319" s="62">
        <v>30000</v>
      </c>
      <c r="J319" s="62">
        <v>23.076923076923102</v>
      </c>
      <c r="K319" s="62">
        <v>1300</v>
      </c>
      <c r="L319" s="100" t="s">
        <v>476</v>
      </c>
      <c r="M319" s="5" t="s">
        <v>452</v>
      </c>
      <c r="N319" s="34" t="s">
        <v>464</v>
      </c>
      <c r="O319" s="5" t="s">
        <v>477</v>
      </c>
      <c r="P319" s="5" t="s">
        <v>454</v>
      </c>
      <c r="Q319" s="5" t="s">
        <v>478</v>
      </c>
      <c r="R319" s="5" t="s">
        <v>491</v>
      </c>
      <c r="S319" s="5" t="s">
        <v>480</v>
      </c>
      <c r="T319" s="5" t="s">
        <v>445</v>
      </c>
      <c r="U319" s="5"/>
      <c r="V319" s="5"/>
      <c r="W319" s="5"/>
      <c r="X319" s="5"/>
      <c r="Y319" s="5"/>
      <c r="Z319" s="5"/>
      <c r="AA319" s="5"/>
    </row>
    <row r="320" spans="4:27" customFormat="1" ht="14">
      <c r="D320" s="214" t="s">
        <v>383</v>
      </c>
      <c r="E320" s="212" t="str">
        <f>+VLOOKUP(F320,Resumen_Base!$B$6:$F$69,5,0)</f>
        <v>Travel for personnel (employees)</v>
      </c>
      <c r="F320" s="36" t="s">
        <v>64</v>
      </c>
      <c r="G320" s="5" t="s">
        <v>65</v>
      </c>
      <c r="H320" s="5" t="str">
        <f t="shared" si="4"/>
        <v>DEL5255</v>
      </c>
      <c r="I320" s="62">
        <v>30000</v>
      </c>
      <c r="J320" s="62">
        <v>21.582733812949598</v>
      </c>
      <c r="K320" s="62">
        <v>1390</v>
      </c>
      <c r="L320" s="100" t="s">
        <v>628</v>
      </c>
      <c r="M320" s="5" t="s">
        <v>452</v>
      </c>
      <c r="N320" s="34" t="s">
        <v>464</v>
      </c>
      <c r="O320" s="5" t="s">
        <v>629</v>
      </c>
      <c r="P320" s="5" t="s">
        <v>597</v>
      </c>
      <c r="Q320" s="5" t="s">
        <v>630</v>
      </c>
      <c r="R320" s="5" t="s">
        <v>491</v>
      </c>
      <c r="S320" s="5" t="s">
        <v>632</v>
      </c>
      <c r="T320" s="5" t="s">
        <v>445</v>
      </c>
      <c r="U320" s="5"/>
      <c r="V320" s="5"/>
      <c r="W320" s="5"/>
      <c r="X320" s="5"/>
      <c r="Y320" s="5"/>
      <c r="Z320" s="5"/>
      <c r="AA320" s="5"/>
    </row>
    <row r="321" spans="4:27" customFormat="1" ht="14">
      <c r="D321" s="214" t="s">
        <v>383</v>
      </c>
      <c r="E321" s="212" t="str">
        <f>+VLOOKUP(F321,Resumen_Base!$B$6:$F$69,5,0)</f>
        <v>Travel for personnel (employees)</v>
      </c>
      <c r="F321" s="36" t="s">
        <v>64</v>
      </c>
      <c r="G321" s="5" t="s">
        <v>65</v>
      </c>
      <c r="H321" s="5" t="str">
        <f t="shared" si="4"/>
        <v>DEL5255</v>
      </c>
      <c r="I321" s="62">
        <v>30000</v>
      </c>
      <c r="J321" s="62">
        <v>21.2765957446809</v>
      </c>
      <c r="K321" s="62">
        <v>1410</v>
      </c>
      <c r="L321" s="100" t="s">
        <v>678</v>
      </c>
      <c r="M321" s="5" t="s">
        <v>452</v>
      </c>
      <c r="N321" s="34" t="s">
        <v>464</v>
      </c>
      <c r="O321" s="5" t="s">
        <v>683</v>
      </c>
      <c r="P321" s="5" t="s">
        <v>597</v>
      </c>
      <c r="Q321" s="5" t="s">
        <v>684</v>
      </c>
      <c r="R321" s="5" t="s">
        <v>491</v>
      </c>
      <c r="S321" s="5" t="s">
        <v>685</v>
      </c>
      <c r="T321" s="5" t="s">
        <v>445</v>
      </c>
      <c r="U321" s="5"/>
      <c r="V321" s="5"/>
      <c r="W321" s="5"/>
      <c r="X321" s="5"/>
      <c r="Y321" s="5"/>
      <c r="Z321" s="5"/>
      <c r="AA321" s="5"/>
    </row>
    <row r="322" spans="4:27" customFormat="1" ht="14">
      <c r="D322" s="214" t="s">
        <v>383</v>
      </c>
      <c r="E322" s="212" t="str">
        <f>+VLOOKUP(F322,Resumen_Base!$B$6:$F$69,5,0)</f>
        <v>Travel for personnel (employees)</v>
      </c>
      <c r="F322" s="36" t="s">
        <v>64</v>
      </c>
      <c r="G322" s="5" t="s">
        <v>65</v>
      </c>
      <c r="H322" s="5" t="str">
        <f t="shared" si="4"/>
        <v>DEL5255</v>
      </c>
      <c r="I322" s="62">
        <v>20000</v>
      </c>
      <c r="J322" s="62">
        <v>13.986013986013999</v>
      </c>
      <c r="K322" s="62">
        <v>1430</v>
      </c>
      <c r="L322" s="100" t="s">
        <v>751</v>
      </c>
      <c r="M322" s="5" t="s">
        <v>452</v>
      </c>
      <c r="N322" s="34" t="s">
        <v>464</v>
      </c>
      <c r="O322" s="5" t="s">
        <v>752</v>
      </c>
      <c r="P322" s="5" t="s">
        <v>597</v>
      </c>
      <c r="Q322" s="5" t="s">
        <v>753</v>
      </c>
      <c r="R322" s="5" t="s">
        <v>491</v>
      </c>
      <c r="S322" s="5" t="s">
        <v>755</v>
      </c>
      <c r="T322" s="5" t="s">
        <v>445</v>
      </c>
      <c r="U322" s="5"/>
      <c r="V322" s="5"/>
      <c r="W322" s="5"/>
      <c r="X322" s="5"/>
      <c r="Y322" s="5"/>
      <c r="Z322" s="5"/>
      <c r="AA322" s="5"/>
    </row>
    <row r="323" spans="4:27" customFormat="1" ht="14">
      <c r="D323" s="214" t="s">
        <v>383</v>
      </c>
      <c r="E323" s="212" t="str">
        <f>+VLOOKUP(F323,Resumen_Base!$B$6:$F$69,5,0)</f>
        <v>Travel for personnel (employees)</v>
      </c>
      <c r="F323" s="36" t="s">
        <v>64</v>
      </c>
      <c r="G323" s="5" t="s">
        <v>65</v>
      </c>
      <c r="H323" s="5" t="str">
        <f t="shared" si="4"/>
        <v>DEL5255</v>
      </c>
      <c r="I323" s="62">
        <v>30000</v>
      </c>
      <c r="J323" s="62">
        <v>20</v>
      </c>
      <c r="K323" s="62">
        <v>1500</v>
      </c>
      <c r="L323" s="100" t="s">
        <v>858</v>
      </c>
      <c r="M323" s="5" t="s">
        <v>452</v>
      </c>
      <c r="N323" s="34" t="s">
        <v>464</v>
      </c>
      <c r="O323" s="5" t="s">
        <v>880</v>
      </c>
      <c r="P323" s="5" t="s">
        <v>597</v>
      </c>
      <c r="Q323" s="5" t="s">
        <v>881</v>
      </c>
      <c r="R323" s="5" t="s">
        <v>491</v>
      </c>
      <c r="S323" s="5" t="s">
        <v>882</v>
      </c>
      <c r="T323" s="5" t="s">
        <v>445</v>
      </c>
      <c r="U323" s="5"/>
      <c r="V323" s="5"/>
      <c r="W323" s="5"/>
      <c r="X323" s="5"/>
      <c r="Y323" s="5"/>
      <c r="Z323" s="5"/>
      <c r="AA323" s="5"/>
    </row>
    <row r="324" spans="4:27" customFormat="1" ht="14">
      <c r="D324" s="214" t="s">
        <v>383</v>
      </c>
      <c r="E324" s="212" t="str">
        <f>+VLOOKUP(F324,Resumen_Base!$B$6:$F$69,5,0)</f>
        <v>Travel for personnel (employees)</v>
      </c>
      <c r="F324" s="36" t="s">
        <v>64</v>
      </c>
      <c r="G324" s="5" t="s">
        <v>65</v>
      </c>
      <c r="H324" s="5" t="str">
        <f t="shared" si="4"/>
        <v>DEL5255</v>
      </c>
      <c r="I324" s="62">
        <v>38600</v>
      </c>
      <c r="J324" s="62">
        <v>25.733333333333299</v>
      </c>
      <c r="K324" s="62">
        <v>1500</v>
      </c>
      <c r="L324" s="100" t="s">
        <v>858</v>
      </c>
      <c r="M324" s="5" t="s">
        <v>452</v>
      </c>
      <c r="N324" s="34" t="s">
        <v>464</v>
      </c>
      <c r="O324" s="5" t="s">
        <v>880</v>
      </c>
      <c r="P324" s="5" t="s">
        <v>597</v>
      </c>
      <c r="Q324" s="5" t="s">
        <v>881</v>
      </c>
      <c r="R324" s="5" t="s">
        <v>491</v>
      </c>
      <c r="S324" s="5" t="s">
        <v>882</v>
      </c>
      <c r="T324" s="5" t="s">
        <v>445</v>
      </c>
      <c r="U324" s="5"/>
      <c r="V324" s="5"/>
      <c r="W324" s="5"/>
      <c r="X324" s="5"/>
      <c r="Y324" s="5"/>
      <c r="Z324" s="5"/>
      <c r="AA324" s="5"/>
    </row>
    <row r="325" spans="4:27" customFormat="1" ht="14">
      <c r="D325" s="214" t="s">
        <v>383</v>
      </c>
      <c r="E325" s="212" t="str">
        <f>+VLOOKUP(F325,Resumen_Base!$B$6:$F$69,5,0)</f>
        <v>Travel for personnel (employees)</v>
      </c>
      <c r="F325" s="36" t="s">
        <v>64</v>
      </c>
      <c r="G325" s="5" t="s">
        <v>65</v>
      </c>
      <c r="H325" s="5" t="str">
        <f t="shared" si="4"/>
        <v>DEL5255</v>
      </c>
      <c r="I325" s="62">
        <v>20000</v>
      </c>
      <c r="J325" s="62">
        <v>14.084507042253501</v>
      </c>
      <c r="K325" s="62">
        <v>1420</v>
      </c>
      <c r="L325" s="100" t="s">
        <v>1030</v>
      </c>
      <c r="M325" s="5" t="s">
        <v>452</v>
      </c>
      <c r="N325" s="34" t="s">
        <v>464</v>
      </c>
      <c r="O325" s="5" t="s">
        <v>1031</v>
      </c>
      <c r="P325" s="5" t="s">
        <v>597</v>
      </c>
      <c r="Q325" s="5" t="s">
        <v>1032</v>
      </c>
      <c r="R325" s="5" t="s">
        <v>491</v>
      </c>
      <c r="S325" s="5" t="s">
        <v>1033</v>
      </c>
      <c r="T325" s="5" t="s">
        <v>445</v>
      </c>
      <c r="U325" s="5"/>
      <c r="V325" s="5"/>
      <c r="W325" s="5"/>
      <c r="X325" s="5"/>
      <c r="Y325" s="5"/>
      <c r="Z325" s="5"/>
      <c r="AA325" s="5"/>
    </row>
    <row r="326" spans="4:27" customFormat="1" ht="14">
      <c r="D326" s="214" t="s">
        <v>383</v>
      </c>
      <c r="E326" s="212" t="str">
        <f>+VLOOKUP(F326,Resumen_Base!$B$6:$F$69,5,0)</f>
        <v>Travel for personnel (employees)</v>
      </c>
      <c r="F326" s="36" t="s">
        <v>64</v>
      </c>
      <c r="G326" s="5" t="s">
        <v>65</v>
      </c>
      <c r="H326" s="5" t="str">
        <f t="shared" si="4"/>
        <v>DEL5255</v>
      </c>
      <c r="I326" s="62">
        <v>20000</v>
      </c>
      <c r="J326" s="62">
        <v>14.3884892086331</v>
      </c>
      <c r="K326" s="62">
        <v>1390</v>
      </c>
      <c r="L326" s="100" t="s">
        <v>628</v>
      </c>
      <c r="M326" s="5" t="s">
        <v>452</v>
      </c>
      <c r="N326" s="34" t="s">
        <v>464</v>
      </c>
      <c r="O326" s="5" t="s">
        <v>629</v>
      </c>
      <c r="P326" s="5" t="s">
        <v>597</v>
      </c>
      <c r="Q326" s="5" t="s">
        <v>630</v>
      </c>
      <c r="R326" s="5" t="s">
        <v>654</v>
      </c>
      <c r="S326" s="5" t="s">
        <v>632</v>
      </c>
      <c r="T326" s="5" t="s">
        <v>445</v>
      </c>
      <c r="U326" s="5"/>
      <c r="V326" s="5"/>
      <c r="W326" s="5"/>
      <c r="X326" s="5"/>
      <c r="Y326" s="5"/>
      <c r="Z326" s="5"/>
      <c r="AA326" s="5"/>
    </row>
    <row r="327" spans="4:27" customFormat="1" ht="14">
      <c r="D327" s="214" t="s">
        <v>383</v>
      </c>
      <c r="E327" s="212" t="str">
        <f>+VLOOKUP(F327,Resumen_Base!$B$6:$F$69,5,0)</f>
        <v>Travel for personnel (employees)</v>
      </c>
      <c r="F327" s="36" t="s">
        <v>64</v>
      </c>
      <c r="G327" s="5" t="s">
        <v>65</v>
      </c>
      <c r="H327" s="5" t="str">
        <f t="shared" si="4"/>
        <v>DEL5255</v>
      </c>
      <c r="I327" s="62">
        <v>900</v>
      </c>
      <c r="J327" s="62">
        <v>0.64748201438848896</v>
      </c>
      <c r="K327" s="62">
        <v>1390</v>
      </c>
      <c r="L327" s="100" t="s">
        <v>628</v>
      </c>
      <c r="M327" s="5" t="s">
        <v>452</v>
      </c>
      <c r="N327" s="34" t="s">
        <v>464</v>
      </c>
      <c r="O327" s="5" t="s">
        <v>629</v>
      </c>
      <c r="P327" s="5" t="s">
        <v>597</v>
      </c>
      <c r="Q327" s="5" t="s">
        <v>630</v>
      </c>
      <c r="R327" s="5" t="s">
        <v>660</v>
      </c>
      <c r="S327" s="5" t="s">
        <v>632</v>
      </c>
      <c r="T327" s="5" t="s">
        <v>445</v>
      </c>
      <c r="U327" s="5"/>
      <c r="V327" s="5"/>
      <c r="W327" s="5"/>
      <c r="X327" s="5"/>
      <c r="Y327" s="5"/>
      <c r="Z327" s="5"/>
      <c r="AA327" s="5"/>
    </row>
    <row r="328" spans="4:27" customFormat="1" ht="14">
      <c r="D328" s="214" t="s">
        <v>383</v>
      </c>
      <c r="E328" s="212" t="str">
        <f>+VLOOKUP(F328,Resumen_Base!$B$6:$F$69,5,0)</f>
        <v>Travel for personnel (employees)</v>
      </c>
      <c r="F328" s="36" t="s">
        <v>64</v>
      </c>
      <c r="G328" s="5" t="s">
        <v>65</v>
      </c>
      <c r="H328" s="5" t="str">
        <f t="shared" si="4"/>
        <v>DEL5255</v>
      </c>
      <c r="I328" s="62">
        <v>900</v>
      </c>
      <c r="J328" s="62">
        <v>0.64748201438848896</v>
      </c>
      <c r="K328" s="62">
        <v>1390</v>
      </c>
      <c r="L328" s="100" t="s">
        <v>628</v>
      </c>
      <c r="M328" s="5" t="s">
        <v>452</v>
      </c>
      <c r="N328" s="34" t="s">
        <v>464</v>
      </c>
      <c r="O328" s="5" t="s">
        <v>629</v>
      </c>
      <c r="P328" s="5" t="s">
        <v>597</v>
      </c>
      <c r="Q328" s="5" t="s">
        <v>630</v>
      </c>
      <c r="R328" s="5" t="s">
        <v>637</v>
      </c>
      <c r="S328" s="5" t="s">
        <v>632</v>
      </c>
      <c r="T328" s="5" t="s">
        <v>445</v>
      </c>
      <c r="U328" s="5"/>
      <c r="V328" s="5"/>
      <c r="W328" s="5"/>
      <c r="X328" s="5"/>
      <c r="Y328" s="5"/>
      <c r="Z328" s="5"/>
      <c r="AA328" s="5"/>
    </row>
    <row r="329" spans="4:27" customFormat="1" ht="14">
      <c r="D329" s="214" t="s">
        <v>383</v>
      </c>
      <c r="E329" s="212" t="str">
        <f>+VLOOKUP(F329,Resumen_Base!$B$6:$F$69,5,0)</f>
        <v>Travel for personnel (employees)</v>
      </c>
      <c r="F329" s="36" t="s">
        <v>64</v>
      </c>
      <c r="G329" s="5" t="s">
        <v>65</v>
      </c>
      <c r="H329" s="5" t="str">
        <f t="shared" si="4"/>
        <v>DEL5255</v>
      </c>
      <c r="I329" s="62">
        <v>900</v>
      </c>
      <c r="J329" s="62">
        <v>0.64748201438848896</v>
      </c>
      <c r="K329" s="62">
        <v>1390</v>
      </c>
      <c r="L329" s="100" t="s">
        <v>628</v>
      </c>
      <c r="M329" s="5" t="s">
        <v>452</v>
      </c>
      <c r="N329" s="34" t="s">
        <v>464</v>
      </c>
      <c r="O329" s="5" t="s">
        <v>629</v>
      </c>
      <c r="P329" s="5" t="s">
        <v>597</v>
      </c>
      <c r="Q329" s="5" t="s">
        <v>630</v>
      </c>
      <c r="R329" s="5" t="s">
        <v>637</v>
      </c>
      <c r="S329" s="5" t="s">
        <v>632</v>
      </c>
      <c r="T329" s="5" t="s">
        <v>445</v>
      </c>
      <c r="U329" s="5"/>
      <c r="V329" s="5"/>
      <c r="W329" s="5"/>
      <c r="X329" s="5"/>
      <c r="Y329" s="5"/>
      <c r="Z329" s="5"/>
      <c r="AA329" s="5"/>
    </row>
    <row r="330" spans="4:27" customFormat="1" ht="14">
      <c r="D330" s="214" t="s">
        <v>383</v>
      </c>
      <c r="E330" s="212" t="str">
        <f>+VLOOKUP(F330,Resumen_Base!$B$6:$F$69,5,0)</f>
        <v>Travel for personnel (employees)</v>
      </c>
      <c r="F330" s="36" t="s">
        <v>64</v>
      </c>
      <c r="G330" s="5" t="s">
        <v>65</v>
      </c>
      <c r="H330" s="5" t="str">
        <f t="shared" si="4"/>
        <v>DEL5255</v>
      </c>
      <c r="I330" s="62">
        <v>900</v>
      </c>
      <c r="J330" s="62">
        <v>0.64748201438848896</v>
      </c>
      <c r="K330" s="62">
        <v>1390</v>
      </c>
      <c r="L330" s="100" t="s">
        <v>628</v>
      </c>
      <c r="M330" s="5" t="s">
        <v>452</v>
      </c>
      <c r="N330" s="34" t="s">
        <v>464</v>
      </c>
      <c r="O330" s="5" t="s">
        <v>629</v>
      </c>
      <c r="P330" s="5" t="s">
        <v>597</v>
      </c>
      <c r="Q330" s="5" t="s">
        <v>630</v>
      </c>
      <c r="R330" s="5" t="s">
        <v>637</v>
      </c>
      <c r="S330" s="5" t="s">
        <v>632</v>
      </c>
      <c r="T330" s="5" t="s">
        <v>445</v>
      </c>
      <c r="U330" s="5"/>
      <c r="V330" s="5"/>
      <c r="W330" s="5"/>
      <c r="X330" s="5"/>
      <c r="Y330" s="5"/>
      <c r="Z330" s="5"/>
      <c r="AA330" s="5"/>
    </row>
    <row r="331" spans="4:27" customFormat="1" ht="14">
      <c r="D331" s="214" t="s">
        <v>383</v>
      </c>
      <c r="E331" s="212" t="str">
        <f>+VLOOKUP(F331,Resumen_Base!$B$6:$F$69,5,0)</f>
        <v>Travel for personnel (employees)</v>
      </c>
      <c r="F331" s="36" t="s">
        <v>64</v>
      </c>
      <c r="G331" s="5" t="s">
        <v>65</v>
      </c>
      <c r="H331" s="5" t="str">
        <f t="shared" si="4"/>
        <v>DEL5255</v>
      </c>
      <c r="I331" s="62">
        <v>900</v>
      </c>
      <c r="J331" s="62">
        <v>0.62937062937062904</v>
      </c>
      <c r="K331" s="62">
        <v>1430</v>
      </c>
      <c r="L331" s="100" t="s">
        <v>751</v>
      </c>
      <c r="M331" s="5" t="s">
        <v>452</v>
      </c>
      <c r="N331" s="34" t="s">
        <v>464</v>
      </c>
      <c r="O331" s="5" t="s">
        <v>752</v>
      </c>
      <c r="P331" s="5" t="s">
        <v>597</v>
      </c>
      <c r="Q331" s="5" t="s">
        <v>753</v>
      </c>
      <c r="R331" s="5" t="s">
        <v>637</v>
      </c>
      <c r="S331" s="5" t="s">
        <v>755</v>
      </c>
      <c r="T331" s="5" t="s">
        <v>445</v>
      </c>
      <c r="U331" s="5"/>
      <c r="V331" s="5"/>
      <c r="W331" s="5"/>
      <c r="X331" s="5"/>
      <c r="Y331" s="5"/>
      <c r="Z331" s="5"/>
      <c r="AA331" s="5"/>
    </row>
    <row r="332" spans="4:27" customFormat="1" ht="14">
      <c r="D332" s="214" t="s">
        <v>383</v>
      </c>
      <c r="E332" s="212" t="str">
        <f>+VLOOKUP(F332,Resumen_Base!$B$6:$F$69,5,0)</f>
        <v>Travel for personnel (employees)</v>
      </c>
      <c r="F332" s="36" t="s">
        <v>64</v>
      </c>
      <c r="G332" s="5" t="s">
        <v>65</v>
      </c>
      <c r="H332" s="5" t="str">
        <f t="shared" ref="H332:H368" si="5">+D332&amp;F332</f>
        <v>DEL5255</v>
      </c>
      <c r="I332" s="62">
        <v>900</v>
      </c>
      <c r="J332" s="62">
        <v>0.62937062937062904</v>
      </c>
      <c r="K332" s="62">
        <v>1430</v>
      </c>
      <c r="L332" s="100" t="s">
        <v>751</v>
      </c>
      <c r="M332" s="5" t="s">
        <v>452</v>
      </c>
      <c r="N332" s="34" t="s">
        <v>464</v>
      </c>
      <c r="O332" s="5" t="s">
        <v>752</v>
      </c>
      <c r="P332" s="5" t="s">
        <v>597</v>
      </c>
      <c r="Q332" s="5" t="s">
        <v>753</v>
      </c>
      <c r="R332" s="5" t="s">
        <v>637</v>
      </c>
      <c r="S332" s="5" t="s">
        <v>755</v>
      </c>
      <c r="T332" s="5" t="s">
        <v>445</v>
      </c>
      <c r="U332" s="5"/>
      <c r="V332" s="5"/>
      <c r="W332" s="5"/>
      <c r="X332" s="5"/>
      <c r="Y332" s="5"/>
      <c r="Z332" s="5"/>
      <c r="AA332" s="5"/>
    </row>
    <row r="333" spans="4:27" customFormat="1" ht="14">
      <c r="D333" s="214" t="s">
        <v>383</v>
      </c>
      <c r="E333" s="212" t="str">
        <f>+VLOOKUP(F333,Resumen_Base!$B$6:$F$69,5,0)</f>
        <v>Travel for personnel (employees)</v>
      </c>
      <c r="F333" s="36" t="s">
        <v>64</v>
      </c>
      <c r="G333" s="5" t="s">
        <v>65</v>
      </c>
      <c r="H333" s="5" t="str">
        <f t="shared" si="5"/>
        <v>DEL5255</v>
      </c>
      <c r="I333" s="62">
        <v>700</v>
      </c>
      <c r="J333" s="62">
        <v>0.48951048951048998</v>
      </c>
      <c r="K333" s="62">
        <v>1430</v>
      </c>
      <c r="L333" s="100" t="s">
        <v>751</v>
      </c>
      <c r="M333" s="5" t="s">
        <v>452</v>
      </c>
      <c r="N333" s="34" t="s">
        <v>464</v>
      </c>
      <c r="O333" s="5" t="s">
        <v>752</v>
      </c>
      <c r="P333" s="5" t="s">
        <v>597</v>
      </c>
      <c r="Q333" s="5" t="s">
        <v>753</v>
      </c>
      <c r="R333" s="5" t="s">
        <v>637</v>
      </c>
      <c r="S333" s="5" t="s">
        <v>755</v>
      </c>
      <c r="T333" s="5" t="s">
        <v>445</v>
      </c>
      <c r="U333" s="5"/>
      <c r="V333" s="5"/>
      <c r="W333" s="5"/>
      <c r="X333" s="5"/>
      <c r="Y333" s="5"/>
      <c r="Z333" s="5"/>
      <c r="AA333" s="5"/>
    </row>
    <row r="334" spans="4:27" customFormat="1" ht="14">
      <c r="D334" s="214" t="s">
        <v>383</v>
      </c>
      <c r="E334" s="212" t="str">
        <f>+VLOOKUP(F334,Resumen_Base!$B$6:$F$69,5,0)</f>
        <v>Travel for personnel (employees)</v>
      </c>
      <c r="F334" s="36" t="s">
        <v>64</v>
      </c>
      <c r="G334" s="5" t="s">
        <v>65</v>
      </c>
      <c r="H334" s="5" t="str">
        <f t="shared" si="5"/>
        <v>DEL5255</v>
      </c>
      <c r="I334" s="62">
        <v>900</v>
      </c>
      <c r="J334" s="62">
        <v>0.6</v>
      </c>
      <c r="K334" s="62">
        <v>1500</v>
      </c>
      <c r="L334" s="100" t="s">
        <v>858</v>
      </c>
      <c r="M334" s="5" t="s">
        <v>452</v>
      </c>
      <c r="N334" s="34" t="s">
        <v>464</v>
      </c>
      <c r="O334" s="5" t="s">
        <v>880</v>
      </c>
      <c r="P334" s="5" t="s">
        <v>597</v>
      </c>
      <c r="Q334" s="5" t="s">
        <v>881</v>
      </c>
      <c r="R334" s="5" t="s">
        <v>637</v>
      </c>
      <c r="S334" s="5" t="s">
        <v>882</v>
      </c>
      <c r="T334" s="5" t="s">
        <v>445</v>
      </c>
      <c r="U334" s="5"/>
      <c r="V334" s="5"/>
      <c r="W334" s="5"/>
      <c r="X334" s="5"/>
      <c r="Y334" s="5"/>
      <c r="Z334" s="5"/>
      <c r="AA334" s="5"/>
    </row>
    <row r="335" spans="4:27" customFormat="1" ht="14">
      <c r="D335" s="214" t="s">
        <v>383</v>
      </c>
      <c r="E335" s="212" t="str">
        <f>+VLOOKUP(F335,Resumen_Base!$B$6:$F$69,5,0)</f>
        <v>Travel for personnel (employees)</v>
      </c>
      <c r="F335" s="36" t="s">
        <v>64</v>
      </c>
      <c r="G335" s="5" t="s">
        <v>65</v>
      </c>
      <c r="H335" s="5" t="str">
        <f t="shared" si="5"/>
        <v>DEL5255</v>
      </c>
      <c r="I335" s="62">
        <v>700</v>
      </c>
      <c r="J335" s="62">
        <v>0.46666666666666701</v>
      </c>
      <c r="K335" s="62">
        <v>1500</v>
      </c>
      <c r="L335" s="100" t="s">
        <v>858</v>
      </c>
      <c r="M335" s="5" t="s">
        <v>452</v>
      </c>
      <c r="N335" s="34" t="s">
        <v>464</v>
      </c>
      <c r="O335" s="5" t="s">
        <v>880</v>
      </c>
      <c r="P335" s="5" t="s">
        <v>597</v>
      </c>
      <c r="Q335" s="5" t="s">
        <v>881</v>
      </c>
      <c r="R335" s="5" t="s">
        <v>637</v>
      </c>
      <c r="S335" s="5" t="s">
        <v>882</v>
      </c>
      <c r="T335" s="5" t="s">
        <v>445</v>
      </c>
      <c r="U335" s="5"/>
      <c r="V335" s="5"/>
      <c r="W335" s="5"/>
      <c r="X335" s="5"/>
      <c r="Y335" s="5"/>
      <c r="Z335" s="5"/>
      <c r="AA335" s="5"/>
    </row>
    <row r="336" spans="4:27" customFormat="1" ht="14">
      <c r="D336" s="214" t="s">
        <v>383</v>
      </c>
      <c r="E336" s="212" t="str">
        <f>+VLOOKUP(F336,Resumen_Base!$B$6:$F$69,5,0)</f>
        <v>Travel for personnel (employees)</v>
      </c>
      <c r="F336" s="36" t="s">
        <v>64</v>
      </c>
      <c r="G336" s="5" t="s">
        <v>65</v>
      </c>
      <c r="H336" s="5" t="str">
        <f t="shared" si="5"/>
        <v>DEL5255</v>
      </c>
      <c r="I336" s="62">
        <v>51500</v>
      </c>
      <c r="J336" s="62">
        <v>37.050359712230197</v>
      </c>
      <c r="K336" s="62">
        <v>1390</v>
      </c>
      <c r="L336" s="100" t="s">
        <v>628</v>
      </c>
      <c r="M336" s="5" t="s">
        <v>452</v>
      </c>
      <c r="N336" s="34" t="s">
        <v>464</v>
      </c>
      <c r="O336" s="5" t="s">
        <v>629</v>
      </c>
      <c r="P336" s="5" t="s">
        <v>597</v>
      </c>
      <c r="Q336" s="5" t="s">
        <v>630</v>
      </c>
      <c r="R336" s="5" t="s">
        <v>655</v>
      </c>
      <c r="S336" s="5" t="s">
        <v>632</v>
      </c>
      <c r="T336" s="5" t="s">
        <v>445</v>
      </c>
      <c r="U336" s="5"/>
      <c r="V336" s="5"/>
      <c r="W336" s="5"/>
      <c r="X336" s="5"/>
      <c r="Y336" s="5"/>
      <c r="Z336" s="5"/>
      <c r="AA336" s="5"/>
    </row>
    <row r="337" spans="4:27" customFormat="1" ht="14">
      <c r="D337" s="214" t="s">
        <v>383</v>
      </c>
      <c r="E337" s="212" t="str">
        <f>+VLOOKUP(F337,Resumen_Base!$B$6:$F$69,5,0)</f>
        <v>Travel for personnel (employees)</v>
      </c>
      <c r="F337" s="36" t="s">
        <v>64</v>
      </c>
      <c r="G337" s="5" t="s">
        <v>65</v>
      </c>
      <c r="H337" s="5" t="str">
        <f t="shared" si="5"/>
        <v>DEL5255</v>
      </c>
      <c r="I337" s="62">
        <v>170000</v>
      </c>
      <c r="J337" s="62">
        <v>122.302158273381</v>
      </c>
      <c r="K337" s="62">
        <v>1390</v>
      </c>
      <c r="L337" s="100" t="s">
        <v>628</v>
      </c>
      <c r="M337" s="5" t="s">
        <v>452</v>
      </c>
      <c r="N337" s="34" t="s">
        <v>464</v>
      </c>
      <c r="O337" s="5" t="s">
        <v>629</v>
      </c>
      <c r="P337" s="5" t="s">
        <v>597</v>
      </c>
      <c r="Q337" s="5" t="s">
        <v>630</v>
      </c>
      <c r="R337" s="5" t="s">
        <v>635</v>
      </c>
      <c r="S337" s="5" t="s">
        <v>632</v>
      </c>
      <c r="T337" s="5" t="s">
        <v>445</v>
      </c>
      <c r="U337" s="5"/>
      <c r="V337" s="5"/>
      <c r="W337" s="5"/>
      <c r="X337" s="5"/>
      <c r="Y337" s="5"/>
      <c r="Z337" s="5"/>
      <c r="AA337" s="5"/>
    </row>
    <row r="338" spans="4:27" customFormat="1" ht="14">
      <c r="D338" s="214" t="s">
        <v>383</v>
      </c>
      <c r="E338" s="212" t="str">
        <f>+VLOOKUP(F338,Resumen_Base!$B$6:$F$69,5,0)</f>
        <v>Travel for personnel (employees)</v>
      </c>
      <c r="F338" s="36" t="s">
        <v>64</v>
      </c>
      <c r="G338" s="5" t="s">
        <v>65</v>
      </c>
      <c r="H338" s="5" t="str">
        <f t="shared" si="5"/>
        <v>DEL5255</v>
      </c>
      <c r="I338" s="62">
        <v>180000</v>
      </c>
      <c r="J338" s="62">
        <v>127.659574468085</v>
      </c>
      <c r="K338" s="62">
        <v>1410</v>
      </c>
      <c r="L338" s="100" t="s">
        <v>678</v>
      </c>
      <c r="M338" s="5" t="s">
        <v>452</v>
      </c>
      <c r="N338" s="34" t="s">
        <v>464</v>
      </c>
      <c r="O338" s="5" t="s">
        <v>683</v>
      </c>
      <c r="P338" s="5" t="s">
        <v>597</v>
      </c>
      <c r="Q338" s="5" t="s">
        <v>684</v>
      </c>
      <c r="R338" s="5" t="s">
        <v>710</v>
      </c>
      <c r="S338" s="5" t="s">
        <v>685</v>
      </c>
      <c r="T338" s="5" t="s">
        <v>445</v>
      </c>
      <c r="U338" s="5"/>
      <c r="V338" s="5"/>
      <c r="W338" s="5"/>
      <c r="X338" s="5"/>
      <c r="Y338" s="5"/>
      <c r="Z338" s="5"/>
      <c r="AA338" s="5"/>
    </row>
    <row r="339" spans="4:27" customFormat="1" ht="14">
      <c r="D339" s="214" t="s">
        <v>383</v>
      </c>
      <c r="E339" s="212" t="str">
        <f>+VLOOKUP(F339,Resumen_Base!$B$6:$F$69,5,0)</f>
        <v>Travel for personnel (employees)</v>
      </c>
      <c r="F339" s="36" t="s">
        <v>64</v>
      </c>
      <c r="G339" s="5" t="s">
        <v>65</v>
      </c>
      <c r="H339" s="5" t="str">
        <f t="shared" si="5"/>
        <v>DEL5255</v>
      </c>
      <c r="I339" s="62">
        <v>170000</v>
      </c>
      <c r="J339" s="62">
        <v>122.302158273381</v>
      </c>
      <c r="K339" s="62">
        <v>1390</v>
      </c>
      <c r="L339" s="100" t="s">
        <v>628</v>
      </c>
      <c r="M339" s="5" t="s">
        <v>452</v>
      </c>
      <c r="N339" s="34" t="s">
        <v>464</v>
      </c>
      <c r="O339" s="5" t="s">
        <v>629</v>
      </c>
      <c r="P339" s="5" t="s">
        <v>597</v>
      </c>
      <c r="Q339" s="5" t="s">
        <v>630</v>
      </c>
      <c r="R339" s="5" t="s">
        <v>645</v>
      </c>
      <c r="S339" s="5" t="s">
        <v>632</v>
      </c>
      <c r="T339" s="5" t="s">
        <v>445</v>
      </c>
      <c r="U339" s="5"/>
      <c r="V339" s="5"/>
      <c r="W339" s="5"/>
      <c r="X339" s="5"/>
      <c r="Y339" s="5"/>
      <c r="Z339" s="5"/>
      <c r="AA339" s="5"/>
    </row>
    <row r="340" spans="4:27" customFormat="1" ht="14">
      <c r="D340" s="214" t="s">
        <v>383</v>
      </c>
      <c r="E340" s="212" t="str">
        <f>+VLOOKUP(F340,Resumen_Base!$B$6:$F$69,5,0)</f>
        <v>Travel for personnel (employees)</v>
      </c>
      <c r="F340" s="36" t="s">
        <v>64</v>
      </c>
      <c r="G340" s="5" t="s">
        <v>65</v>
      </c>
      <c r="H340" s="5" t="str">
        <f t="shared" si="5"/>
        <v>DEL5255</v>
      </c>
      <c r="I340" s="62">
        <v>47500</v>
      </c>
      <c r="J340" s="62">
        <v>33.687943262411302</v>
      </c>
      <c r="K340" s="62">
        <v>1410</v>
      </c>
      <c r="L340" s="100" t="s">
        <v>678</v>
      </c>
      <c r="M340" s="5" t="s">
        <v>452</v>
      </c>
      <c r="N340" s="34" t="s">
        <v>464</v>
      </c>
      <c r="O340" s="5" t="s">
        <v>683</v>
      </c>
      <c r="P340" s="5" t="s">
        <v>597</v>
      </c>
      <c r="Q340" s="5" t="s">
        <v>684</v>
      </c>
      <c r="R340" s="5" t="s">
        <v>709</v>
      </c>
      <c r="S340" s="5" t="s">
        <v>685</v>
      </c>
      <c r="T340" s="5" t="s">
        <v>445</v>
      </c>
      <c r="U340" s="5"/>
      <c r="V340" s="5"/>
      <c r="W340" s="5"/>
      <c r="X340" s="5"/>
      <c r="Y340" s="5"/>
      <c r="Z340" s="5"/>
      <c r="AA340" s="5"/>
    </row>
    <row r="341" spans="4:27" customFormat="1" ht="14">
      <c r="D341" s="214" t="s">
        <v>383</v>
      </c>
      <c r="E341" s="212" t="str">
        <f>+VLOOKUP(F341,Resumen_Base!$B$6:$F$69,5,0)</f>
        <v>Travel for personnel (employees)</v>
      </c>
      <c r="F341" s="36" t="s">
        <v>64</v>
      </c>
      <c r="G341" s="5" t="s">
        <v>65</v>
      </c>
      <c r="H341" s="5" t="str">
        <f t="shared" si="5"/>
        <v>DEL5255</v>
      </c>
      <c r="I341" s="62">
        <v>55000</v>
      </c>
      <c r="J341" s="62">
        <v>39.568345323740999</v>
      </c>
      <c r="K341" s="62">
        <v>1390</v>
      </c>
      <c r="L341" s="100" t="s">
        <v>628</v>
      </c>
      <c r="M341" s="5" t="s">
        <v>452</v>
      </c>
      <c r="N341" s="34" t="s">
        <v>464</v>
      </c>
      <c r="O341" s="5" t="s">
        <v>629</v>
      </c>
      <c r="P341" s="5" t="s">
        <v>597</v>
      </c>
      <c r="Q341" s="5" t="s">
        <v>630</v>
      </c>
      <c r="R341" s="5" t="s">
        <v>633</v>
      </c>
      <c r="S341" s="5" t="s">
        <v>632</v>
      </c>
      <c r="T341" s="5" t="s">
        <v>445</v>
      </c>
      <c r="U341" s="5"/>
      <c r="V341" s="5"/>
      <c r="W341" s="5"/>
      <c r="X341" s="5"/>
      <c r="Y341" s="5"/>
      <c r="Z341" s="5"/>
      <c r="AA341" s="5"/>
    </row>
    <row r="342" spans="4:27" customFormat="1" ht="14">
      <c r="D342" s="214" t="s">
        <v>383</v>
      </c>
      <c r="E342" s="212" t="str">
        <f>+VLOOKUP(F342,Resumen_Base!$B$6:$F$69,5,0)</f>
        <v>Travel for personnel (employees)</v>
      </c>
      <c r="F342" s="36" t="s">
        <v>64</v>
      </c>
      <c r="G342" s="5" t="s">
        <v>65</v>
      </c>
      <c r="H342" s="5" t="str">
        <f t="shared" si="5"/>
        <v>DEL5255</v>
      </c>
      <c r="I342" s="62">
        <v>4400</v>
      </c>
      <c r="J342" s="62">
        <v>3.12056737588652</v>
      </c>
      <c r="K342" s="62">
        <v>1410</v>
      </c>
      <c r="L342" s="100" t="s">
        <v>678</v>
      </c>
      <c r="M342" s="5" t="s">
        <v>452</v>
      </c>
      <c r="N342" s="34" t="s">
        <v>464</v>
      </c>
      <c r="O342" s="5" t="s">
        <v>683</v>
      </c>
      <c r="P342" s="5" t="s">
        <v>597</v>
      </c>
      <c r="Q342" s="5" t="s">
        <v>684</v>
      </c>
      <c r="R342" s="5" t="s">
        <v>702</v>
      </c>
      <c r="S342" s="5" t="s">
        <v>685</v>
      </c>
      <c r="T342" s="5" t="s">
        <v>445</v>
      </c>
      <c r="U342" s="5"/>
      <c r="V342" s="5"/>
      <c r="W342" s="5"/>
      <c r="X342" s="5"/>
      <c r="Y342" s="5"/>
      <c r="Z342" s="5"/>
      <c r="AA342" s="5"/>
    </row>
    <row r="343" spans="4:27" customFormat="1" ht="14">
      <c r="D343" s="214" t="s">
        <v>383</v>
      </c>
      <c r="E343" s="212" t="str">
        <f>+VLOOKUP(F343,Resumen_Base!$B$6:$F$69,5,0)</f>
        <v>Travel for personnel (employees)</v>
      </c>
      <c r="F343" s="36" t="s">
        <v>64</v>
      </c>
      <c r="G343" s="5" t="s">
        <v>65</v>
      </c>
      <c r="H343" s="5" t="str">
        <f t="shared" si="5"/>
        <v>DEL5255</v>
      </c>
      <c r="I343" s="62">
        <v>73500</v>
      </c>
      <c r="J343" s="62">
        <v>49</v>
      </c>
      <c r="K343" s="62">
        <v>1500</v>
      </c>
      <c r="L343" s="100" t="s">
        <v>858</v>
      </c>
      <c r="M343" s="5" t="s">
        <v>452</v>
      </c>
      <c r="N343" s="34" t="s">
        <v>464</v>
      </c>
      <c r="O343" s="5" t="s">
        <v>880</v>
      </c>
      <c r="P343" s="5" t="s">
        <v>597</v>
      </c>
      <c r="Q343" s="5" t="s">
        <v>881</v>
      </c>
      <c r="R343" s="5" t="s">
        <v>888</v>
      </c>
      <c r="S343" s="5" t="s">
        <v>882</v>
      </c>
      <c r="T343" s="5" t="s">
        <v>445</v>
      </c>
      <c r="U343" s="5"/>
      <c r="V343" s="5"/>
      <c r="W343" s="5"/>
      <c r="X343" s="5"/>
      <c r="Y343" s="5"/>
      <c r="Z343" s="5"/>
      <c r="AA343" s="5"/>
    </row>
    <row r="344" spans="4:27" customFormat="1" ht="14">
      <c r="D344" s="214" t="s">
        <v>383</v>
      </c>
      <c r="E344" s="212" t="str">
        <f>+VLOOKUP(F344,Resumen_Base!$B$6:$F$69,5,0)</f>
        <v>Food &amp; Wine</v>
      </c>
      <c r="F344" s="36" t="s">
        <v>712</v>
      </c>
      <c r="G344" s="5" t="s">
        <v>713</v>
      </c>
      <c r="H344" s="5" t="str">
        <f t="shared" si="5"/>
        <v>DEL5257</v>
      </c>
      <c r="I344" s="62">
        <v>14500</v>
      </c>
      <c r="J344" s="62">
        <v>10.139860139860099</v>
      </c>
      <c r="K344" s="62">
        <v>1430</v>
      </c>
      <c r="L344" s="100" t="s">
        <v>751</v>
      </c>
      <c r="M344" s="5" t="s">
        <v>452</v>
      </c>
      <c r="N344" s="34" t="s">
        <v>464</v>
      </c>
      <c r="O344" s="5" t="s">
        <v>752</v>
      </c>
      <c r="P344" s="5" t="s">
        <v>597</v>
      </c>
      <c r="Q344" s="5" t="s">
        <v>753</v>
      </c>
      <c r="R344" s="5" t="s">
        <v>771</v>
      </c>
      <c r="S344" s="5" t="s">
        <v>755</v>
      </c>
      <c r="T344" s="5" t="s">
        <v>445</v>
      </c>
      <c r="U344" s="5"/>
      <c r="V344" s="5"/>
      <c r="W344" s="5"/>
      <c r="X344" s="5"/>
      <c r="Y344" s="5"/>
      <c r="Z344" s="5"/>
      <c r="AA344" s="5"/>
    </row>
    <row r="345" spans="4:27" customFormat="1" ht="14">
      <c r="D345" s="214" t="s">
        <v>383</v>
      </c>
      <c r="E345" s="212" t="str">
        <f>+VLOOKUP(F345,Resumen_Base!$B$6:$F$69,5,0)</f>
        <v>Food &amp; Wine</v>
      </c>
      <c r="F345" s="36" t="s">
        <v>712</v>
      </c>
      <c r="G345" s="5" t="s">
        <v>713</v>
      </c>
      <c r="H345" s="5" t="str">
        <f t="shared" si="5"/>
        <v>DEL5257</v>
      </c>
      <c r="I345" s="62">
        <v>46885</v>
      </c>
      <c r="J345" s="62">
        <v>33.251773049645401</v>
      </c>
      <c r="K345" s="62">
        <v>1410</v>
      </c>
      <c r="L345" s="100" t="s">
        <v>678</v>
      </c>
      <c r="M345" s="5" t="s">
        <v>452</v>
      </c>
      <c r="N345" s="34" t="s">
        <v>464</v>
      </c>
      <c r="O345" s="5" t="s">
        <v>683</v>
      </c>
      <c r="P345" s="5" t="s">
        <v>597</v>
      </c>
      <c r="Q345" s="5" t="s">
        <v>684</v>
      </c>
      <c r="R345" s="5" t="s">
        <v>705</v>
      </c>
      <c r="S345" s="5" t="s">
        <v>685</v>
      </c>
      <c r="T345" s="5" t="s">
        <v>445</v>
      </c>
      <c r="U345" s="5"/>
      <c r="V345" s="5"/>
      <c r="W345" s="5"/>
      <c r="X345" s="5"/>
      <c r="Y345" s="5"/>
      <c r="Z345" s="5"/>
      <c r="AA345" s="5"/>
    </row>
    <row r="346" spans="4:27" customFormat="1" ht="14">
      <c r="D346" s="214" t="s">
        <v>383</v>
      </c>
      <c r="E346" s="212" t="str">
        <f>+VLOOKUP(F346,Resumen_Base!$B$6:$F$69,5,0)</f>
        <v>Vehicles Taxes</v>
      </c>
      <c r="F346" s="36" t="s">
        <v>27</v>
      </c>
      <c r="G346" s="5" t="s">
        <v>286</v>
      </c>
      <c r="H346" s="5" t="str">
        <f t="shared" si="5"/>
        <v>DEL5260</v>
      </c>
      <c r="I346" s="62">
        <v>61012.95</v>
      </c>
      <c r="J346" s="62">
        <v>43.580678571428599</v>
      </c>
      <c r="K346" s="62">
        <v>1400</v>
      </c>
      <c r="L346" s="100" t="s">
        <v>813</v>
      </c>
      <c r="M346" s="5" t="s">
        <v>452</v>
      </c>
      <c r="N346" s="34" t="s">
        <v>464</v>
      </c>
      <c r="O346" s="5" t="s">
        <v>817</v>
      </c>
      <c r="P346" s="5" t="s">
        <v>597</v>
      </c>
      <c r="Q346" s="5" t="s">
        <v>818</v>
      </c>
      <c r="R346" s="5" t="s">
        <v>827</v>
      </c>
      <c r="S346" s="5" t="s">
        <v>820</v>
      </c>
      <c r="T346" s="5" t="s">
        <v>445</v>
      </c>
      <c r="U346" s="5"/>
      <c r="V346" s="5"/>
      <c r="W346" s="5"/>
      <c r="X346" s="5"/>
      <c r="Y346" s="5"/>
      <c r="Z346" s="5"/>
      <c r="AA346" s="5"/>
    </row>
    <row r="347" spans="4:27" customFormat="1" ht="14">
      <c r="D347" s="214" t="s">
        <v>383</v>
      </c>
      <c r="E347" s="212" t="str">
        <f>+VLOOKUP(F347,Resumen_Base!$B$6:$F$69,5,0)</f>
        <v>Miscellaneous &amp; Shipping</v>
      </c>
      <c r="F347" s="36" t="s">
        <v>26</v>
      </c>
      <c r="G347" s="5" t="s">
        <v>313</v>
      </c>
      <c r="H347" s="5" t="str">
        <f t="shared" si="5"/>
        <v>DEL5263</v>
      </c>
      <c r="I347" s="62">
        <v>40000</v>
      </c>
      <c r="J347" s="62">
        <v>28.169014084507001</v>
      </c>
      <c r="K347" s="62">
        <v>1420</v>
      </c>
      <c r="L347" s="100" t="s">
        <v>1030</v>
      </c>
      <c r="M347" s="5" t="s">
        <v>452</v>
      </c>
      <c r="N347" s="34" t="s">
        <v>464</v>
      </c>
      <c r="O347" s="5" t="s">
        <v>1031</v>
      </c>
      <c r="P347" s="5" t="s">
        <v>597</v>
      </c>
      <c r="Q347" s="5" t="s">
        <v>1032</v>
      </c>
      <c r="R347" s="5" t="s">
        <v>1055</v>
      </c>
      <c r="S347" s="5" t="s">
        <v>1033</v>
      </c>
      <c r="T347" s="5" t="s">
        <v>445</v>
      </c>
      <c r="U347" s="5"/>
      <c r="V347" s="5"/>
      <c r="W347" s="5"/>
      <c r="X347" s="5"/>
      <c r="Y347" s="5"/>
      <c r="Z347" s="5"/>
      <c r="AA347" s="5"/>
    </row>
    <row r="348" spans="4:27" customFormat="1" ht="14">
      <c r="D348" s="214" t="s">
        <v>383</v>
      </c>
      <c r="E348" s="212" t="str">
        <f>+VLOOKUP(F348,Resumen_Base!$B$6:$F$69,5,0)</f>
        <v>Miscellaneous &amp; Shipping</v>
      </c>
      <c r="F348" s="36" t="s">
        <v>26</v>
      </c>
      <c r="G348" s="5" t="s">
        <v>313</v>
      </c>
      <c r="H348" s="5" t="str">
        <f t="shared" si="5"/>
        <v>DEL5263</v>
      </c>
      <c r="I348" s="62">
        <v>92780</v>
      </c>
      <c r="J348" s="62">
        <v>65.338028169014095</v>
      </c>
      <c r="K348" s="62">
        <v>1420</v>
      </c>
      <c r="L348" s="100" t="s">
        <v>989</v>
      </c>
      <c r="M348" s="5" t="s">
        <v>452</v>
      </c>
      <c r="N348" s="34" t="s">
        <v>464</v>
      </c>
      <c r="O348" s="5" t="s">
        <v>1075</v>
      </c>
      <c r="P348" s="5" t="s">
        <v>597</v>
      </c>
      <c r="Q348" s="5" t="s">
        <v>1076</v>
      </c>
      <c r="R348" s="5" t="s">
        <v>1080</v>
      </c>
      <c r="S348" s="5" t="s">
        <v>1078</v>
      </c>
      <c r="T348" s="5" t="s">
        <v>445</v>
      </c>
      <c r="U348" s="5"/>
      <c r="V348" s="5"/>
      <c r="W348" s="5"/>
      <c r="X348" s="5"/>
      <c r="Y348" s="5"/>
      <c r="Z348" s="5"/>
      <c r="AA348" s="5"/>
    </row>
    <row r="349" spans="4:27" customFormat="1" ht="14">
      <c r="D349" s="214" t="s">
        <v>383</v>
      </c>
      <c r="E349" s="212" t="str">
        <f>+VLOOKUP(F349,Resumen_Base!$B$6:$F$69,5,0)</f>
        <v>Maintenance Lodge</v>
      </c>
      <c r="F349" s="36" t="s">
        <v>113</v>
      </c>
      <c r="G349" s="5" t="s">
        <v>114</v>
      </c>
      <c r="H349" s="5" t="str">
        <f t="shared" si="5"/>
        <v>DEL5283</v>
      </c>
      <c r="I349" s="62">
        <v>64621</v>
      </c>
      <c r="J349" s="62">
        <v>45.507746478873202</v>
      </c>
      <c r="K349" s="62">
        <v>1420</v>
      </c>
      <c r="L349" s="100" t="s">
        <v>1030</v>
      </c>
      <c r="M349" s="5" t="s">
        <v>452</v>
      </c>
      <c r="N349" s="34" t="s">
        <v>464</v>
      </c>
      <c r="O349" s="5" t="s">
        <v>1031</v>
      </c>
      <c r="P349" s="5" t="s">
        <v>597</v>
      </c>
      <c r="Q349" s="5" t="s">
        <v>1032</v>
      </c>
      <c r="R349" s="5" t="s">
        <v>1051</v>
      </c>
      <c r="S349" s="5" t="s">
        <v>1033</v>
      </c>
      <c r="T349" s="5" t="s">
        <v>445</v>
      </c>
      <c r="U349" s="5"/>
      <c r="V349" s="5"/>
      <c r="W349" s="5"/>
      <c r="X349" s="5"/>
      <c r="Y349" s="5"/>
      <c r="Z349" s="5"/>
      <c r="AA349" s="5"/>
    </row>
    <row r="350" spans="4:27" customFormat="1" ht="14">
      <c r="D350" s="214" t="s">
        <v>383</v>
      </c>
      <c r="E350" s="212" t="str">
        <f>+VLOOKUP(F350,Resumen_Base!$B$6:$F$69,5,0)</f>
        <v>Maintenance Lodge</v>
      </c>
      <c r="F350" s="36" t="s">
        <v>113</v>
      </c>
      <c r="G350" s="5" t="s">
        <v>114</v>
      </c>
      <c r="H350" s="5" t="str">
        <f t="shared" si="5"/>
        <v>DEL5283</v>
      </c>
      <c r="I350" s="62">
        <v>51500</v>
      </c>
      <c r="J350" s="62">
        <v>36.524822695035503</v>
      </c>
      <c r="K350" s="62">
        <v>1410</v>
      </c>
      <c r="L350" s="100" t="s">
        <v>678</v>
      </c>
      <c r="M350" s="5" t="s">
        <v>452</v>
      </c>
      <c r="N350" s="34" t="s">
        <v>464</v>
      </c>
      <c r="O350" s="5" t="s">
        <v>683</v>
      </c>
      <c r="P350" s="5" t="s">
        <v>597</v>
      </c>
      <c r="Q350" s="5" t="s">
        <v>684</v>
      </c>
      <c r="R350" s="5" t="s">
        <v>706</v>
      </c>
      <c r="S350" s="5" t="s">
        <v>685</v>
      </c>
      <c r="T350" s="5" t="s">
        <v>445</v>
      </c>
      <c r="U350" s="5"/>
      <c r="V350" s="5"/>
      <c r="W350" s="5"/>
      <c r="X350" s="5"/>
      <c r="Y350" s="5"/>
      <c r="Z350" s="5"/>
      <c r="AA350" s="5"/>
    </row>
    <row r="351" spans="4:27" customFormat="1" ht="14">
      <c r="D351" s="214" t="s">
        <v>383</v>
      </c>
      <c r="E351" s="212" t="str">
        <f>+VLOOKUP(F351,Resumen_Base!$B$6:$F$69,5,0)</f>
        <v>Food &amp; Wine</v>
      </c>
      <c r="F351" s="36" t="s">
        <v>119</v>
      </c>
      <c r="G351" s="5" t="s">
        <v>120</v>
      </c>
      <c r="H351" s="5" t="str">
        <f t="shared" si="5"/>
        <v>DEL5289</v>
      </c>
      <c r="I351" s="62">
        <v>100450</v>
      </c>
      <c r="J351" s="62">
        <v>72.266187050359704</v>
      </c>
      <c r="K351" s="62">
        <v>1390</v>
      </c>
      <c r="L351" s="100" t="s">
        <v>628</v>
      </c>
      <c r="M351" s="5" t="s">
        <v>452</v>
      </c>
      <c r="N351" s="34" t="s">
        <v>464</v>
      </c>
      <c r="O351" s="5" t="s">
        <v>629</v>
      </c>
      <c r="P351" s="5" t="s">
        <v>597</v>
      </c>
      <c r="Q351" s="5" t="s">
        <v>630</v>
      </c>
      <c r="R351" s="5" t="s">
        <v>636</v>
      </c>
      <c r="S351" s="5" t="s">
        <v>632</v>
      </c>
      <c r="T351" s="5" t="s">
        <v>445</v>
      </c>
      <c r="U351" s="5"/>
      <c r="V351" s="5"/>
      <c r="W351" s="5"/>
      <c r="X351" s="5"/>
      <c r="Y351" s="5"/>
      <c r="Z351" s="5"/>
      <c r="AA351" s="5"/>
    </row>
    <row r="352" spans="4:27" customFormat="1" ht="14">
      <c r="D352" s="214" t="s">
        <v>383</v>
      </c>
      <c r="E352" s="212" t="str">
        <f>+VLOOKUP(F352,Resumen_Base!$B$6:$F$69,5,0)</f>
        <v>Food &amp; Wine</v>
      </c>
      <c r="F352" s="36" t="s">
        <v>119</v>
      </c>
      <c r="G352" s="5" t="s">
        <v>120</v>
      </c>
      <c r="H352" s="5" t="str">
        <f t="shared" si="5"/>
        <v>DEL5289</v>
      </c>
      <c r="I352" s="62">
        <v>102500</v>
      </c>
      <c r="J352" s="62">
        <v>73.741007194244602</v>
      </c>
      <c r="K352" s="62">
        <v>1390</v>
      </c>
      <c r="L352" s="100" t="s">
        <v>628</v>
      </c>
      <c r="M352" s="5" t="s">
        <v>452</v>
      </c>
      <c r="N352" s="34" t="s">
        <v>464</v>
      </c>
      <c r="O352" s="5" t="s">
        <v>629</v>
      </c>
      <c r="P352" s="5" t="s">
        <v>597</v>
      </c>
      <c r="Q352" s="5" t="s">
        <v>630</v>
      </c>
      <c r="R352" s="5" t="s">
        <v>636</v>
      </c>
      <c r="S352" s="5" t="s">
        <v>632</v>
      </c>
      <c r="T352" s="5" t="s">
        <v>445</v>
      </c>
      <c r="U352" s="5"/>
      <c r="V352" s="5"/>
      <c r="W352" s="5"/>
      <c r="X352" s="5"/>
      <c r="Y352" s="5"/>
      <c r="Z352" s="5"/>
      <c r="AA352" s="5"/>
    </row>
    <row r="353" spans="1:256" customFormat="1" ht="14">
      <c r="D353" s="214" t="s">
        <v>383</v>
      </c>
      <c r="E353" s="212" t="str">
        <f>+VLOOKUP(F353,Resumen_Base!$B$6:$F$69,5,0)</f>
        <v>Food &amp; Wine</v>
      </c>
      <c r="F353" s="36" t="s">
        <v>119</v>
      </c>
      <c r="G353" s="5" t="s">
        <v>120</v>
      </c>
      <c r="H353" s="5" t="str">
        <f t="shared" si="5"/>
        <v>DEL5289</v>
      </c>
      <c r="I353" s="62">
        <v>11000</v>
      </c>
      <c r="J353" s="62">
        <v>7.9136690647482002</v>
      </c>
      <c r="K353" s="62">
        <v>1390</v>
      </c>
      <c r="L353" s="100" t="s">
        <v>628</v>
      </c>
      <c r="M353" s="5" t="s">
        <v>452</v>
      </c>
      <c r="N353" s="34" t="s">
        <v>464</v>
      </c>
      <c r="O353" s="5" t="s">
        <v>629</v>
      </c>
      <c r="P353" s="5" t="s">
        <v>597</v>
      </c>
      <c r="Q353" s="5" t="s">
        <v>630</v>
      </c>
      <c r="R353" s="5" t="s">
        <v>663</v>
      </c>
      <c r="S353" s="5" t="s">
        <v>632</v>
      </c>
      <c r="T353" s="5" t="s">
        <v>445</v>
      </c>
      <c r="U353" s="5"/>
      <c r="V353" s="5"/>
      <c r="W353" s="5"/>
      <c r="X353" s="5"/>
      <c r="Y353" s="5"/>
      <c r="Z353" s="5"/>
      <c r="AA353" s="5"/>
    </row>
    <row r="354" spans="1:256" customFormat="1" ht="14">
      <c r="D354" s="214" t="s">
        <v>383</v>
      </c>
      <c r="E354" s="212" t="str">
        <f>+VLOOKUP(F354,Resumen_Base!$B$6:$F$69,5,0)</f>
        <v>Food &amp; Wine</v>
      </c>
      <c r="F354" s="36" t="s">
        <v>119</v>
      </c>
      <c r="G354" s="5" t="s">
        <v>120</v>
      </c>
      <c r="H354" s="5" t="str">
        <f t="shared" si="5"/>
        <v>DEL5289</v>
      </c>
      <c r="I354" s="62">
        <v>36000</v>
      </c>
      <c r="J354" s="62">
        <v>25.174825174825202</v>
      </c>
      <c r="K354" s="62">
        <v>1430</v>
      </c>
      <c r="L354" s="100" t="s">
        <v>751</v>
      </c>
      <c r="M354" s="5" t="s">
        <v>452</v>
      </c>
      <c r="N354" s="34" t="s">
        <v>464</v>
      </c>
      <c r="O354" s="5" t="s">
        <v>752</v>
      </c>
      <c r="P354" s="5" t="s">
        <v>597</v>
      </c>
      <c r="Q354" s="5" t="s">
        <v>753</v>
      </c>
      <c r="R354" s="5" t="s">
        <v>663</v>
      </c>
      <c r="S354" s="5" t="s">
        <v>755</v>
      </c>
      <c r="T354" s="5" t="s">
        <v>445</v>
      </c>
      <c r="U354" s="5"/>
      <c r="V354" s="5"/>
      <c r="W354" s="5"/>
      <c r="X354" s="5"/>
      <c r="Y354" s="5"/>
      <c r="Z354" s="5"/>
      <c r="AA354" s="5"/>
    </row>
    <row r="355" spans="1:256" customFormat="1" ht="14">
      <c r="D355" s="214" t="s">
        <v>383</v>
      </c>
      <c r="E355" s="212" t="str">
        <f>+VLOOKUP(F355,Resumen_Base!$B$6:$F$69,5,0)</f>
        <v>Food &amp; Wine</v>
      </c>
      <c r="F355" s="36" t="s">
        <v>119</v>
      </c>
      <c r="G355" s="5" t="s">
        <v>120</v>
      </c>
      <c r="H355" s="5" t="str">
        <f t="shared" si="5"/>
        <v>DEL5289</v>
      </c>
      <c r="I355" s="62">
        <v>50000</v>
      </c>
      <c r="J355" s="62">
        <v>38.461538461538503</v>
      </c>
      <c r="K355" s="62">
        <v>1300</v>
      </c>
      <c r="L355" s="100" t="s">
        <v>476</v>
      </c>
      <c r="M355" s="5" t="s">
        <v>452</v>
      </c>
      <c r="N355" s="34" t="s">
        <v>464</v>
      </c>
      <c r="O355" s="5" t="s">
        <v>477</v>
      </c>
      <c r="P355" s="5" t="s">
        <v>454</v>
      </c>
      <c r="Q355" s="5" t="s">
        <v>478</v>
      </c>
      <c r="R355" s="5" t="s">
        <v>488</v>
      </c>
      <c r="S355" s="5" t="s">
        <v>480</v>
      </c>
      <c r="T355" s="5" t="s">
        <v>445</v>
      </c>
      <c r="U355" s="5"/>
      <c r="V355" s="5"/>
      <c r="W355" s="5"/>
      <c r="X355" s="5"/>
      <c r="Y355" s="5"/>
      <c r="Z355" s="5"/>
      <c r="AA355" s="5"/>
    </row>
    <row r="356" spans="1:256" customFormat="1" ht="14">
      <c r="D356" s="214" t="s">
        <v>383</v>
      </c>
      <c r="E356" s="212" t="str">
        <f>+VLOOKUP(F356,Resumen_Base!$B$6:$F$69,5,0)</f>
        <v>Food &amp; Wine</v>
      </c>
      <c r="F356" s="36" t="s">
        <v>119</v>
      </c>
      <c r="G356" s="5" t="s">
        <v>120</v>
      </c>
      <c r="H356" s="5" t="str">
        <f t="shared" si="5"/>
        <v>DEL5289</v>
      </c>
      <c r="I356" s="62">
        <v>100000</v>
      </c>
      <c r="J356" s="62">
        <v>70.422535211267601</v>
      </c>
      <c r="K356" s="62">
        <v>1420</v>
      </c>
      <c r="L356" s="100" t="s">
        <v>1030</v>
      </c>
      <c r="M356" s="5" t="s">
        <v>452</v>
      </c>
      <c r="N356" s="34" t="s">
        <v>464</v>
      </c>
      <c r="O356" s="5" t="s">
        <v>1031</v>
      </c>
      <c r="P356" s="5" t="s">
        <v>597</v>
      </c>
      <c r="Q356" s="5" t="s">
        <v>1032</v>
      </c>
      <c r="R356" s="5" t="s">
        <v>488</v>
      </c>
      <c r="S356" s="5" t="s">
        <v>1033</v>
      </c>
      <c r="T356" s="5" t="s">
        <v>445</v>
      </c>
      <c r="U356" s="5"/>
      <c r="V356" s="5"/>
      <c r="W356" s="5"/>
      <c r="X356" s="5"/>
      <c r="Y356" s="5"/>
      <c r="Z356" s="5"/>
      <c r="AA356" s="5"/>
    </row>
    <row r="357" spans="1:256" customFormat="1" ht="14">
      <c r="D357" s="214" t="s">
        <v>383</v>
      </c>
      <c r="E357" s="212" t="str">
        <f>+VLOOKUP(F357,Resumen_Base!$B$6:$F$69,5,0)</f>
        <v>Food &amp; Wine</v>
      </c>
      <c r="F357" s="36" t="s">
        <v>119</v>
      </c>
      <c r="G357" s="5" t="s">
        <v>120</v>
      </c>
      <c r="H357" s="5" t="str">
        <f t="shared" si="5"/>
        <v>DEL5289</v>
      </c>
      <c r="I357" s="62">
        <v>75450</v>
      </c>
      <c r="J357" s="62">
        <v>55.072992700729898</v>
      </c>
      <c r="K357" s="62">
        <v>1370</v>
      </c>
      <c r="L357" s="100" t="s">
        <v>468</v>
      </c>
      <c r="M357" s="5" t="s">
        <v>452</v>
      </c>
      <c r="N357" s="34" t="s">
        <v>464</v>
      </c>
      <c r="O357" s="5" t="s">
        <v>510</v>
      </c>
      <c r="P357" s="5" t="s">
        <v>454</v>
      </c>
      <c r="Q357" s="5" t="s">
        <v>511</v>
      </c>
      <c r="R357" s="5" t="s">
        <v>512</v>
      </c>
      <c r="S357" s="5" t="s">
        <v>513</v>
      </c>
      <c r="T357" s="5" t="s">
        <v>445</v>
      </c>
      <c r="U357" s="5"/>
      <c r="V357" s="5"/>
      <c r="W357" s="5"/>
      <c r="X357" s="5"/>
      <c r="Y357" s="5"/>
      <c r="Z357" s="5"/>
      <c r="AA357" s="5"/>
    </row>
    <row r="358" spans="1:256" customFormat="1" ht="14">
      <c r="D358" s="214" t="s">
        <v>383</v>
      </c>
      <c r="E358" s="212" t="str">
        <f>+VLOOKUP(F358,Resumen_Base!$B$6:$F$69,5,0)</f>
        <v>Food &amp; Wine</v>
      </c>
      <c r="F358" s="36" t="s">
        <v>119</v>
      </c>
      <c r="G358" s="5" t="s">
        <v>120</v>
      </c>
      <c r="H358" s="5" t="str">
        <f t="shared" si="5"/>
        <v>DEL5289</v>
      </c>
      <c r="I358" s="62">
        <v>150000</v>
      </c>
      <c r="J358" s="62">
        <v>115.384615384615</v>
      </c>
      <c r="K358" s="62">
        <v>1300</v>
      </c>
      <c r="L358" s="100" t="s">
        <v>476</v>
      </c>
      <c r="M358" s="5" t="s">
        <v>452</v>
      </c>
      <c r="N358" s="34" t="s">
        <v>464</v>
      </c>
      <c r="O358" s="5" t="s">
        <v>477</v>
      </c>
      <c r="P358" s="5" t="s">
        <v>454</v>
      </c>
      <c r="Q358" s="5" t="s">
        <v>478</v>
      </c>
      <c r="R358" s="5" t="s">
        <v>481</v>
      </c>
      <c r="S358" s="5" t="s">
        <v>480</v>
      </c>
      <c r="T358" s="5" t="s">
        <v>445</v>
      </c>
      <c r="U358" s="5"/>
      <c r="V358" s="5"/>
      <c r="W358" s="5"/>
      <c r="X358" s="5"/>
      <c r="Y358" s="5"/>
      <c r="Z358" s="5"/>
      <c r="AA358" s="5"/>
    </row>
    <row r="359" spans="1:256" customFormat="1" ht="14">
      <c r="D359" s="214" t="s">
        <v>383</v>
      </c>
      <c r="E359" s="212" t="str">
        <f>+VLOOKUP(F359,Resumen_Base!$B$6:$F$69,5,0)</f>
        <v>Food &amp; Wine</v>
      </c>
      <c r="F359" s="36" t="s">
        <v>119</v>
      </c>
      <c r="G359" s="5" t="s">
        <v>120</v>
      </c>
      <c r="H359" s="5" t="str">
        <f t="shared" si="5"/>
        <v>DEL5289</v>
      </c>
      <c r="I359" s="62">
        <v>40600</v>
      </c>
      <c r="J359" s="62">
        <v>28.794326241134801</v>
      </c>
      <c r="K359" s="62">
        <v>1410</v>
      </c>
      <c r="L359" s="100" t="s">
        <v>678</v>
      </c>
      <c r="M359" s="5" t="s">
        <v>452</v>
      </c>
      <c r="N359" s="34" t="s">
        <v>464</v>
      </c>
      <c r="O359" s="5" t="s">
        <v>683</v>
      </c>
      <c r="P359" s="5" t="s">
        <v>597</v>
      </c>
      <c r="Q359" s="5" t="s">
        <v>684</v>
      </c>
      <c r="R359" s="5" t="s">
        <v>704</v>
      </c>
      <c r="S359" s="5" t="s">
        <v>685</v>
      </c>
      <c r="T359" s="5" t="s">
        <v>445</v>
      </c>
      <c r="U359" s="5"/>
      <c r="V359" s="5"/>
      <c r="W359" s="5"/>
      <c r="X359" s="5"/>
      <c r="Y359" s="5"/>
      <c r="Z359" s="5"/>
      <c r="AA359" s="5"/>
    </row>
    <row r="360" spans="1:256" ht="14">
      <c r="A360" s="300">
        <v>5291</v>
      </c>
      <c r="B360">
        <v>5255</v>
      </c>
      <c r="C360"/>
      <c r="D360" s="214" t="s">
        <v>383</v>
      </c>
      <c r="E360" s="212" t="str">
        <f>+VLOOKUP(F360,Resumen_Base!$B$6:$F$69,5,0)</f>
        <v>Food &amp; Wine</v>
      </c>
      <c r="F360" s="179" t="s">
        <v>110</v>
      </c>
      <c r="G360" s="168" t="s">
        <v>111</v>
      </c>
      <c r="H360" s="5" t="str">
        <f t="shared" si="5"/>
        <v>DEL5291</v>
      </c>
      <c r="I360" s="62">
        <v>38000</v>
      </c>
      <c r="J360" s="62">
        <v>29.230769230769202</v>
      </c>
      <c r="K360" s="62">
        <v>1300</v>
      </c>
      <c r="L360" s="100" t="s">
        <v>476</v>
      </c>
      <c r="M360" s="5" t="s">
        <v>452</v>
      </c>
      <c r="N360" s="34" t="s">
        <v>464</v>
      </c>
      <c r="O360" s="5" t="s">
        <v>477</v>
      </c>
      <c r="P360" s="5" t="s">
        <v>454</v>
      </c>
      <c r="Q360" s="5" t="s">
        <v>478</v>
      </c>
      <c r="R360" s="5" t="s">
        <v>486</v>
      </c>
      <c r="S360" s="5" t="s">
        <v>480</v>
      </c>
      <c r="T360" s="5" t="s">
        <v>445</v>
      </c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1:256" customFormat="1" ht="14">
      <c r="A361" s="300">
        <v>5291</v>
      </c>
      <c r="B361">
        <v>5263</v>
      </c>
      <c r="D361" s="214" t="s">
        <v>383</v>
      </c>
      <c r="E361" s="212" t="str">
        <f>+VLOOKUP(F361,Resumen_Base!$B$6:$F$69,5,0)</f>
        <v>Food &amp; Wine</v>
      </c>
      <c r="F361" s="179" t="s">
        <v>110</v>
      </c>
      <c r="G361" s="168" t="s">
        <v>111</v>
      </c>
      <c r="H361" s="5" t="str">
        <f t="shared" si="5"/>
        <v>DEL5291</v>
      </c>
      <c r="I361" s="62">
        <v>14200</v>
      </c>
      <c r="J361" s="62">
        <v>10</v>
      </c>
      <c r="K361" s="62">
        <v>1420</v>
      </c>
      <c r="L361" s="100" t="s">
        <v>1030</v>
      </c>
      <c r="M361" s="5" t="s">
        <v>452</v>
      </c>
      <c r="N361" s="34" t="s">
        <v>464</v>
      </c>
      <c r="O361" s="5" t="s">
        <v>1031</v>
      </c>
      <c r="P361" s="5" t="s">
        <v>597</v>
      </c>
      <c r="Q361" s="5" t="s">
        <v>1032</v>
      </c>
      <c r="R361" s="5" t="s">
        <v>1052</v>
      </c>
      <c r="S361" s="5" t="s">
        <v>1033</v>
      </c>
      <c r="T361" s="5" t="s">
        <v>445</v>
      </c>
      <c r="U361" s="5"/>
      <c r="V361" s="5"/>
      <c r="W361" s="5"/>
      <c r="X361" s="5"/>
      <c r="Y361" s="5"/>
      <c r="Z361" s="5"/>
      <c r="AA361" s="5"/>
    </row>
    <row r="362" spans="1:256" customFormat="1" ht="14">
      <c r="A362" s="300">
        <v>5291</v>
      </c>
      <c r="B362">
        <v>5263</v>
      </c>
      <c r="D362" s="214" t="s">
        <v>383</v>
      </c>
      <c r="E362" s="212" t="str">
        <f>+VLOOKUP(F362,Resumen_Base!$B$6:$F$69,5,0)</f>
        <v>Food &amp; Wine</v>
      </c>
      <c r="F362" s="179" t="s">
        <v>110</v>
      </c>
      <c r="G362" s="168" t="s">
        <v>111</v>
      </c>
      <c r="H362" s="5" t="str">
        <f t="shared" si="5"/>
        <v>DEL5291</v>
      </c>
      <c r="I362" s="62">
        <v>50000</v>
      </c>
      <c r="J362" s="62">
        <v>35.2112676056338</v>
      </c>
      <c r="K362" s="62">
        <v>1420</v>
      </c>
      <c r="L362" s="100" t="s">
        <v>1030</v>
      </c>
      <c r="M362" s="5" t="s">
        <v>452</v>
      </c>
      <c r="N362" s="34" t="s">
        <v>464</v>
      </c>
      <c r="O362" s="5" t="s">
        <v>1031</v>
      </c>
      <c r="P362" s="5" t="s">
        <v>597</v>
      </c>
      <c r="Q362" s="5" t="s">
        <v>1032</v>
      </c>
      <c r="R362" s="5" t="s">
        <v>1052</v>
      </c>
      <c r="S362" s="5" t="s">
        <v>1033</v>
      </c>
      <c r="T362" s="5" t="s">
        <v>445</v>
      </c>
      <c r="U362" s="5"/>
      <c r="V362" s="5"/>
      <c r="W362" s="5"/>
      <c r="X362" s="5"/>
      <c r="Y362" s="5"/>
      <c r="Z362" s="5"/>
      <c r="AA362" s="5"/>
    </row>
    <row r="363" spans="1:256" customFormat="1" ht="14">
      <c r="A363" s="300">
        <v>5291</v>
      </c>
      <c r="B363">
        <v>5263</v>
      </c>
      <c r="D363" s="214" t="s">
        <v>383</v>
      </c>
      <c r="E363" s="212" t="str">
        <f>+VLOOKUP(F363,Resumen_Base!$B$6:$F$69,5,0)</f>
        <v>Food &amp; Wine</v>
      </c>
      <c r="F363" s="179" t="s">
        <v>110</v>
      </c>
      <c r="G363" s="168" t="s">
        <v>111</v>
      </c>
      <c r="H363" s="5" t="str">
        <f t="shared" si="5"/>
        <v>DEL5291</v>
      </c>
      <c r="I363" s="62">
        <v>10000</v>
      </c>
      <c r="J363" s="62">
        <v>7.0422535211267601</v>
      </c>
      <c r="K363" s="62">
        <v>1420</v>
      </c>
      <c r="L363" s="100" t="s">
        <v>1030</v>
      </c>
      <c r="M363" s="5" t="s">
        <v>452</v>
      </c>
      <c r="N363" s="34" t="s">
        <v>464</v>
      </c>
      <c r="O363" s="5" t="s">
        <v>1031</v>
      </c>
      <c r="P363" s="5" t="s">
        <v>597</v>
      </c>
      <c r="Q363" s="5" t="s">
        <v>1032</v>
      </c>
      <c r="R363" s="5" t="s">
        <v>1035</v>
      </c>
      <c r="S363" s="5" t="s">
        <v>1033</v>
      </c>
      <c r="T363" s="5" t="s">
        <v>445</v>
      </c>
      <c r="U363" s="5"/>
      <c r="V363" s="5"/>
      <c r="W363" s="5"/>
      <c r="X363" s="5"/>
      <c r="Y363" s="5"/>
      <c r="Z363" s="5"/>
      <c r="AA363" s="5"/>
    </row>
    <row r="364" spans="1:256" customFormat="1" ht="14">
      <c r="A364" s="300">
        <v>5291</v>
      </c>
      <c r="B364">
        <v>5263</v>
      </c>
      <c r="D364" s="214" t="s">
        <v>383</v>
      </c>
      <c r="E364" s="212" t="str">
        <f>+VLOOKUP(F364,Resumen_Base!$B$6:$F$69,5,0)</f>
        <v>Food &amp; Wine</v>
      </c>
      <c r="F364" s="179" t="s">
        <v>110</v>
      </c>
      <c r="G364" s="168" t="s">
        <v>111</v>
      </c>
      <c r="H364" s="5" t="str">
        <f t="shared" si="5"/>
        <v>DEL5291</v>
      </c>
      <c r="I364" s="62">
        <v>2000</v>
      </c>
      <c r="J364" s="62">
        <v>1.40845070422535</v>
      </c>
      <c r="K364" s="62">
        <v>1420</v>
      </c>
      <c r="L364" s="100" t="s">
        <v>1030</v>
      </c>
      <c r="M364" s="5" t="s">
        <v>452</v>
      </c>
      <c r="N364" s="34" t="s">
        <v>464</v>
      </c>
      <c r="O364" s="5" t="s">
        <v>1031</v>
      </c>
      <c r="P364" s="5" t="s">
        <v>597</v>
      </c>
      <c r="Q364" s="5" t="s">
        <v>1032</v>
      </c>
      <c r="R364" s="5" t="s">
        <v>1070</v>
      </c>
      <c r="S364" s="5" t="s">
        <v>1033</v>
      </c>
      <c r="T364" s="5" t="s">
        <v>445</v>
      </c>
      <c r="U364" s="5"/>
      <c r="V364" s="5"/>
      <c r="W364" s="5"/>
      <c r="X364" s="5"/>
      <c r="Y364" s="5"/>
      <c r="Z364" s="5"/>
      <c r="AA364" s="5"/>
    </row>
    <row r="365" spans="1:256" customFormat="1" ht="14">
      <c r="A365" s="300">
        <v>5291</v>
      </c>
      <c r="B365">
        <v>5263</v>
      </c>
      <c r="D365" s="214" t="s">
        <v>383</v>
      </c>
      <c r="E365" s="212" t="str">
        <f>+VLOOKUP(F365,Resumen_Base!$B$6:$F$69,5,0)</f>
        <v>Food &amp; Wine</v>
      </c>
      <c r="F365" s="179" t="s">
        <v>110</v>
      </c>
      <c r="G365" s="168" t="s">
        <v>111</v>
      </c>
      <c r="H365" s="5" t="str">
        <f t="shared" si="5"/>
        <v>DEL5291</v>
      </c>
      <c r="I365" s="62">
        <v>5200</v>
      </c>
      <c r="J365" s="62">
        <v>3.7410071942446002</v>
      </c>
      <c r="K365" s="62">
        <v>1390</v>
      </c>
      <c r="L365" s="100" t="s">
        <v>628</v>
      </c>
      <c r="M365" s="5" t="s">
        <v>452</v>
      </c>
      <c r="N365" s="34" t="s">
        <v>464</v>
      </c>
      <c r="O365" s="5" t="s">
        <v>629</v>
      </c>
      <c r="P365" s="5" t="s">
        <v>597</v>
      </c>
      <c r="Q365" s="5" t="s">
        <v>630</v>
      </c>
      <c r="R365" s="5" t="s">
        <v>638</v>
      </c>
      <c r="S365" s="5" t="s">
        <v>632</v>
      </c>
      <c r="T365" s="5" t="s">
        <v>445</v>
      </c>
      <c r="U365" s="5"/>
      <c r="V365" s="5"/>
      <c r="W365" s="5"/>
      <c r="X365" s="5"/>
      <c r="Y365" s="5"/>
      <c r="Z365" s="5"/>
      <c r="AA365" s="5"/>
    </row>
    <row r="366" spans="1:256" customFormat="1" ht="14">
      <c r="A366" s="300">
        <v>5291</v>
      </c>
      <c r="B366">
        <v>5263</v>
      </c>
      <c r="D366" s="214" t="s">
        <v>383</v>
      </c>
      <c r="E366" s="212" t="str">
        <f>+VLOOKUP(F366,Resumen_Base!$B$6:$F$69,5,0)</f>
        <v>Food &amp; Wine</v>
      </c>
      <c r="F366" s="179" t="s">
        <v>110</v>
      </c>
      <c r="G366" s="168" t="s">
        <v>111</v>
      </c>
      <c r="H366" s="5" t="str">
        <f t="shared" si="5"/>
        <v>DEL5291</v>
      </c>
      <c r="I366" s="62">
        <v>20000</v>
      </c>
      <c r="J366" s="62">
        <v>14.3884892086331</v>
      </c>
      <c r="K366" s="62">
        <v>1390</v>
      </c>
      <c r="L366" s="100" t="s">
        <v>628</v>
      </c>
      <c r="M366" s="5" t="s">
        <v>452</v>
      </c>
      <c r="N366" s="34" t="s">
        <v>464</v>
      </c>
      <c r="O366" s="5" t="s">
        <v>629</v>
      </c>
      <c r="P366" s="5" t="s">
        <v>597</v>
      </c>
      <c r="Q366" s="5" t="s">
        <v>630</v>
      </c>
      <c r="R366" s="5" t="s">
        <v>640</v>
      </c>
      <c r="S366" s="5" t="s">
        <v>632</v>
      </c>
      <c r="T366" s="5" t="s">
        <v>445</v>
      </c>
      <c r="U366" s="5"/>
      <c r="V366" s="5"/>
      <c r="W366" s="5"/>
      <c r="X366" s="5"/>
      <c r="Y366" s="5"/>
      <c r="Z366" s="5"/>
      <c r="AA366" s="5"/>
    </row>
    <row r="367" spans="1:256" customFormat="1">
      <c r="D367" s="214" t="s">
        <v>383</v>
      </c>
      <c r="E367" s="212" t="str">
        <f>+VLOOKUP(F367,Resumen_Base!$B$6:$F$69,5,0)</f>
        <v>Food &amp; Wine</v>
      </c>
      <c r="F367" s="36" t="s">
        <v>110</v>
      </c>
      <c r="G367" s="5" t="s">
        <v>111</v>
      </c>
      <c r="H367" s="5" t="str">
        <f t="shared" si="5"/>
        <v>DEL5291</v>
      </c>
      <c r="I367" s="62">
        <v>2500</v>
      </c>
      <c r="J367" s="62">
        <v>1.7985611510791399</v>
      </c>
      <c r="K367" s="62">
        <v>1390</v>
      </c>
      <c r="L367" s="100" t="s">
        <v>628</v>
      </c>
      <c r="M367" s="5" t="s">
        <v>452</v>
      </c>
      <c r="N367" s="34" t="s">
        <v>464</v>
      </c>
      <c r="O367" s="5" t="s">
        <v>629</v>
      </c>
      <c r="P367" s="5" t="s">
        <v>597</v>
      </c>
      <c r="Q367" s="5" t="s">
        <v>630</v>
      </c>
      <c r="R367" s="5" t="s">
        <v>636</v>
      </c>
      <c r="S367" s="5" t="s">
        <v>632</v>
      </c>
      <c r="T367" s="5" t="s">
        <v>445</v>
      </c>
      <c r="U367" s="5"/>
      <c r="V367" s="5"/>
      <c r="W367" s="5"/>
      <c r="X367" s="5"/>
      <c r="Y367" s="5"/>
      <c r="Z367" s="5"/>
      <c r="AA367" s="5"/>
    </row>
    <row r="368" spans="1:256" customFormat="1">
      <c r="D368" s="214" t="s">
        <v>383</v>
      </c>
      <c r="E368" s="212" t="str">
        <f>+VLOOKUP(F368,Resumen_Base!$B$6:$F$69,5,0)</f>
        <v>Fixed Asset's Sales</v>
      </c>
      <c r="F368" s="36" t="s">
        <v>24</v>
      </c>
      <c r="G368" s="5" t="s">
        <v>23</v>
      </c>
      <c r="H368" s="5" t="str">
        <f t="shared" si="5"/>
        <v>DEL7102</v>
      </c>
      <c r="I368" s="62">
        <v>-5680000</v>
      </c>
      <c r="J368" s="62">
        <v>-4000</v>
      </c>
      <c r="K368" s="62">
        <v>1420</v>
      </c>
      <c r="L368" s="100" t="s">
        <v>989</v>
      </c>
      <c r="M368" s="5" t="s">
        <v>452</v>
      </c>
      <c r="N368" s="34" t="s">
        <v>464</v>
      </c>
      <c r="O368" s="5" t="s">
        <v>1136</v>
      </c>
      <c r="P368" s="5" t="s">
        <v>597</v>
      </c>
      <c r="Q368" s="5" t="s">
        <v>1137</v>
      </c>
      <c r="R368" s="5" t="s">
        <v>1138</v>
      </c>
      <c r="S368" s="5" t="s">
        <v>1139</v>
      </c>
      <c r="T368" s="5" t="s">
        <v>445</v>
      </c>
      <c r="U368" s="5"/>
      <c r="V368" s="5"/>
      <c r="W368" s="5"/>
      <c r="X368" s="5"/>
      <c r="Y368" s="5"/>
      <c r="Z368" s="5"/>
      <c r="AA368" s="5"/>
    </row>
    <row r="369" spans="1:256" customFormat="1">
      <c r="A369" s="9"/>
      <c r="B369" s="5"/>
      <c r="C369" s="5"/>
      <c r="D369" s="34"/>
      <c r="E369" s="88"/>
      <c r="F369" s="36"/>
      <c r="G369" s="5"/>
      <c r="H369" s="5"/>
      <c r="I369" s="62"/>
      <c r="J369" s="62"/>
      <c r="K369" s="62"/>
      <c r="L369" s="100"/>
      <c r="M369" s="5"/>
      <c r="N369" s="3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</row>
    <row r="370" spans="1:256" ht="14.5">
      <c r="A370" s="103"/>
      <c r="B370" s="103"/>
      <c r="C370" s="103"/>
      <c r="D370" s="103"/>
      <c r="E370" s="103"/>
      <c r="F370" s="105"/>
      <c r="G370" s="103"/>
      <c r="H370" s="103"/>
      <c r="I370" s="106"/>
      <c r="J370" s="106"/>
      <c r="K370" s="106"/>
      <c r="L370" s="216"/>
      <c r="M370" s="65"/>
      <c r="N370" s="5"/>
      <c r="X370" s="6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  <c r="BF370" s="103"/>
      <c r="BG370" s="103"/>
      <c r="BH370" s="103"/>
      <c r="BI370" s="103"/>
      <c r="BJ370" s="103"/>
      <c r="BK370" s="103"/>
      <c r="BL370" s="103"/>
      <c r="BM370" s="103"/>
      <c r="BN370" s="103"/>
      <c r="BO370" s="103"/>
      <c r="BP370" s="103"/>
      <c r="BQ370" s="103"/>
      <c r="BR370" s="103"/>
      <c r="BS370" s="103"/>
      <c r="BT370" s="103"/>
      <c r="BU370" s="103"/>
      <c r="BV370" s="103"/>
      <c r="BW370" s="103"/>
      <c r="BX370" s="103"/>
      <c r="BY370" s="103"/>
      <c r="BZ370" s="103"/>
      <c r="CA370" s="103"/>
      <c r="CB370" s="103"/>
      <c r="CC370" s="103"/>
      <c r="CD370" s="103"/>
      <c r="CE370" s="103"/>
      <c r="CF370" s="103"/>
      <c r="CG370" s="103"/>
      <c r="CH370" s="103"/>
      <c r="CI370" s="103"/>
      <c r="CJ370" s="103"/>
      <c r="CK370" s="103"/>
      <c r="CL370" s="103"/>
      <c r="CM370" s="103"/>
      <c r="CN370" s="103"/>
      <c r="CO370" s="103"/>
      <c r="CP370" s="103"/>
      <c r="CQ370" s="103"/>
      <c r="CR370" s="103"/>
      <c r="CS370" s="103"/>
      <c r="CT370" s="103"/>
      <c r="CU370" s="103"/>
      <c r="CV370" s="103"/>
      <c r="CW370" s="103"/>
      <c r="CX370" s="103"/>
      <c r="CY370" s="103"/>
      <c r="CZ370" s="103"/>
      <c r="DA370" s="103"/>
      <c r="DB370" s="103"/>
      <c r="DC370" s="103"/>
      <c r="DD370" s="103"/>
      <c r="DE370" s="103"/>
      <c r="DF370" s="103"/>
      <c r="DG370" s="103"/>
      <c r="DH370" s="103"/>
      <c r="DI370" s="103"/>
      <c r="DJ370" s="103"/>
      <c r="DK370" s="103"/>
      <c r="DL370" s="103"/>
      <c r="DM370" s="103"/>
      <c r="DN370" s="103"/>
      <c r="DO370" s="103"/>
      <c r="DP370" s="103"/>
      <c r="DQ370" s="103"/>
      <c r="DR370" s="103"/>
      <c r="DS370" s="103"/>
      <c r="DT370" s="103"/>
      <c r="DU370" s="103"/>
      <c r="DV370" s="103"/>
      <c r="DW370" s="103"/>
      <c r="DX370" s="103"/>
      <c r="DY370" s="103"/>
      <c r="DZ370" s="103"/>
      <c r="EA370" s="103"/>
      <c r="EB370" s="103"/>
      <c r="EC370" s="103"/>
      <c r="ED370" s="103"/>
      <c r="EE370" s="103"/>
      <c r="EF370" s="103"/>
      <c r="EG370" s="103"/>
      <c r="EH370" s="103"/>
      <c r="EI370" s="103"/>
      <c r="EJ370" s="103"/>
      <c r="EK370" s="103"/>
      <c r="EL370" s="103"/>
      <c r="EM370" s="103"/>
      <c r="EN370" s="103"/>
      <c r="EO370" s="103"/>
      <c r="EP370" s="103"/>
      <c r="EQ370" s="103"/>
      <c r="ER370" s="103"/>
      <c r="ES370" s="103"/>
      <c r="ET370" s="103"/>
      <c r="EU370" s="103"/>
      <c r="EV370" s="103"/>
      <c r="EW370" s="103"/>
      <c r="EX370" s="103"/>
      <c r="EY370" s="103"/>
      <c r="EZ370" s="103"/>
      <c r="FA370" s="103"/>
      <c r="FB370" s="103"/>
      <c r="FC370" s="103"/>
      <c r="FD370" s="103"/>
      <c r="FE370" s="103"/>
      <c r="FF370" s="103"/>
      <c r="FG370" s="103"/>
      <c r="FH370" s="103"/>
      <c r="FI370" s="103"/>
      <c r="FJ370" s="103"/>
      <c r="FK370" s="103"/>
      <c r="FL370" s="103"/>
      <c r="FM370" s="103"/>
      <c r="FN370" s="103"/>
      <c r="FO370" s="103"/>
      <c r="FP370" s="103"/>
      <c r="FQ370" s="103"/>
      <c r="FR370" s="103"/>
      <c r="FS370" s="103"/>
      <c r="FT370" s="103"/>
      <c r="FU370" s="103"/>
      <c r="FV370" s="103"/>
      <c r="FW370" s="103"/>
      <c r="FX370" s="103"/>
      <c r="FY370" s="103"/>
      <c r="FZ370" s="103"/>
      <c r="GA370" s="103"/>
      <c r="GB370" s="103"/>
      <c r="GC370" s="103"/>
      <c r="GD370" s="103"/>
      <c r="GE370" s="103"/>
      <c r="GF370" s="103"/>
      <c r="GG370" s="103"/>
      <c r="GH370" s="103"/>
      <c r="GI370" s="103"/>
      <c r="GJ370" s="103"/>
      <c r="GK370" s="103"/>
      <c r="GL370" s="103"/>
      <c r="GM370" s="103"/>
      <c r="GN370" s="103"/>
      <c r="GO370" s="103"/>
      <c r="GP370" s="103"/>
      <c r="GQ370" s="103"/>
      <c r="GR370" s="103"/>
      <c r="GS370" s="103"/>
      <c r="GT370" s="103"/>
      <c r="GU370" s="103"/>
      <c r="GV370" s="103"/>
      <c r="GW370" s="103"/>
      <c r="GX370" s="103"/>
      <c r="GY370" s="103"/>
      <c r="GZ370" s="103"/>
      <c r="HA370" s="103"/>
      <c r="HB370" s="103"/>
      <c r="HC370" s="103"/>
      <c r="HD370" s="103"/>
      <c r="HE370" s="103"/>
      <c r="HF370" s="103"/>
      <c r="HG370" s="103"/>
      <c r="HH370" s="103"/>
      <c r="HI370" s="103"/>
      <c r="HJ370" s="103"/>
      <c r="HK370" s="103"/>
      <c r="HL370" s="103"/>
      <c r="HM370" s="103"/>
      <c r="HN370" s="103"/>
      <c r="HO370" s="103"/>
      <c r="HP370" s="103"/>
      <c r="HQ370" s="103"/>
      <c r="HR370" s="103"/>
      <c r="HS370" s="103"/>
      <c r="HT370" s="103"/>
      <c r="HU370" s="103"/>
      <c r="HV370" s="103"/>
      <c r="HW370" s="103"/>
      <c r="HX370" s="103"/>
      <c r="HY370" s="103"/>
      <c r="HZ370" s="103"/>
      <c r="IA370" s="103"/>
      <c r="IB370" s="103"/>
      <c r="IC370" s="103"/>
      <c r="ID370" s="103"/>
      <c r="IE370" s="103"/>
      <c r="IF370" s="103"/>
      <c r="IG370" s="103"/>
      <c r="IH370" s="103"/>
      <c r="II370" s="103"/>
      <c r="IJ370" s="103"/>
      <c r="IK370" s="103"/>
      <c r="IL370" s="103"/>
      <c r="IM370" s="103"/>
      <c r="IN370" s="103"/>
      <c r="IO370" s="103"/>
      <c r="IP370" s="103"/>
      <c r="IQ370" s="103"/>
      <c r="IR370" s="103"/>
      <c r="IS370" s="103"/>
      <c r="IT370" s="103"/>
      <c r="IU370" s="103"/>
      <c r="IV370" s="103"/>
    </row>
    <row r="371" spans="1:256">
      <c r="A371" s="10" t="s">
        <v>75</v>
      </c>
      <c r="B371" s="10" t="s">
        <v>75</v>
      </c>
      <c r="C371" s="10" t="s">
        <v>75</v>
      </c>
      <c r="D371" s="10" t="s">
        <v>75</v>
      </c>
      <c r="E371" s="10" t="s">
        <v>75</v>
      </c>
      <c r="F371" s="11" t="s">
        <v>75</v>
      </c>
      <c r="G371" s="11" t="s">
        <v>75</v>
      </c>
      <c r="H371" s="11" t="s">
        <v>75</v>
      </c>
      <c r="I371" s="35" t="s">
        <v>75</v>
      </c>
      <c r="J371" s="35" t="s">
        <v>75</v>
      </c>
      <c r="K371" s="35" t="s">
        <v>75</v>
      </c>
      <c r="L371" s="102" t="s">
        <v>75</v>
      </c>
      <c r="M371" s="11" t="s">
        <v>75</v>
      </c>
      <c r="N371" s="11" t="s">
        <v>75</v>
      </c>
      <c r="O371" s="11" t="s">
        <v>75</v>
      </c>
      <c r="P371" s="11" t="s">
        <v>75</v>
      </c>
      <c r="Q371" s="11" t="s">
        <v>75</v>
      </c>
      <c r="R371" s="11" t="s">
        <v>75</v>
      </c>
      <c r="S371" s="11" t="s">
        <v>75</v>
      </c>
      <c r="T371" s="11" t="s">
        <v>75</v>
      </c>
      <c r="U371" s="11" t="s">
        <v>75</v>
      </c>
      <c r="V371" s="11" t="s">
        <v>75</v>
      </c>
      <c r="W371" s="11" t="s">
        <v>75</v>
      </c>
    </row>
    <row r="372" spans="1:256" ht="14.5">
      <c r="A372" s="103"/>
      <c r="B372" s="103"/>
      <c r="C372" s="103"/>
      <c r="D372" s="103"/>
      <c r="F372" s="105"/>
      <c r="G372" s="103"/>
      <c r="H372" s="103"/>
      <c r="I372" s="106"/>
      <c r="J372" s="106"/>
      <c r="K372" s="106"/>
      <c r="L372" s="216"/>
      <c r="M372" s="65"/>
      <c r="N372" s="5"/>
      <c r="X372" s="6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  <c r="AV372" s="103"/>
      <c r="AW372" s="103"/>
      <c r="AX372" s="103"/>
      <c r="AY372" s="103"/>
      <c r="AZ372" s="103"/>
      <c r="BA372" s="103"/>
      <c r="BB372" s="103"/>
      <c r="BC372" s="103"/>
      <c r="BD372" s="103"/>
      <c r="BE372" s="103"/>
      <c r="BF372" s="103"/>
      <c r="BG372" s="103"/>
      <c r="BH372" s="103"/>
      <c r="BI372" s="103"/>
      <c r="BJ372" s="103"/>
      <c r="BK372" s="103"/>
      <c r="BL372" s="103"/>
      <c r="BM372" s="103"/>
      <c r="BN372" s="103"/>
      <c r="BO372" s="103"/>
      <c r="BP372" s="103"/>
      <c r="BQ372" s="103"/>
      <c r="BR372" s="103"/>
      <c r="BS372" s="103"/>
      <c r="BT372" s="103"/>
      <c r="BU372" s="103"/>
      <c r="BV372" s="103"/>
      <c r="BW372" s="103"/>
      <c r="BX372" s="103"/>
      <c r="BY372" s="103"/>
      <c r="BZ372" s="103"/>
      <c r="CA372" s="103"/>
      <c r="CB372" s="103"/>
      <c r="CC372" s="103"/>
      <c r="CD372" s="103"/>
      <c r="CE372" s="103"/>
      <c r="CF372" s="103"/>
      <c r="CG372" s="103"/>
      <c r="CH372" s="103"/>
      <c r="CI372" s="103"/>
      <c r="CJ372" s="103"/>
      <c r="CK372" s="103"/>
      <c r="CL372" s="103"/>
      <c r="CM372" s="103"/>
      <c r="CN372" s="103"/>
      <c r="CO372" s="103"/>
      <c r="CP372" s="103"/>
      <c r="CQ372" s="103"/>
      <c r="CR372" s="103"/>
      <c r="CS372" s="103"/>
      <c r="CT372" s="103"/>
      <c r="CU372" s="103"/>
      <c r="CV372" s="103"/>
      <c r="CW372" s="103"/>
      <c r="CX372" s="103"/>
      <c r="CY372" s="103"/>
      <c r="CZ372" s="103"/>
      <c r="DA372" s="103"/>
      <c r="DB372" s="103"/>
      <c r="DC372" s="103"/>
      <c r="DD372" s="103"/>
      <c r="DE372" s="103"/>
      <c r="DF372" s="103"/>
      <c r="DG372" s="103"/>
      <c r="DH372" s="103"/>
      <c r="DI372" s="103"/>
      <c r="DJ372" s="103"/>
      <c r="DK372" s="103"/>
      <c r="DL372" s="103"/>
      <c r="DM372" s="103"/>
      <c r="DN372" s="103"/>
      <c r="DO372" s="103"/>
      <c r="DP372" s="103"/>
      <c r="DQ372" s="103"/>
      <c r="DR372" s="103"/>
      <c r="DS372" s="103"/>
      <c r="DT372" s="103"/>
      <c r="DU372" s="103"/>
      <c r="DV372" s="103"/>
      <c r="DW372" s="103"/>
      <c r="DX372" s="103"/>
      <c r="DY372" s="103"/>
      <c r="DZ372" s="103"/>
      <c r="EA372" s="103"/>
      <c r="EB372" s="103"/>
      <c r="EC372" s="103"/>
      <c r="ED372" s="103"/>
      <c r="EE372" s="103"/>
      <c r="EF372" s="103"/>
      <c r="EG372" s="103"/>
      <c r="EH372" s="103"/>
      <c r="EI372" s="103"/>
      <c r="EJ372" s="103"/>
      <c r="EK372" s="103"/>
      <c r="EL372" s="103"/>
      <c r="EM372" s="103"/>
      <c r="EN372" s="103"/>
      <c r="EO372" s="103"/>
      <c r="EP372" s="103"/>
      <c r="EQ372" s="103"/>
      <c r="ER372" s="103"/>
      <c r="ES372" s="103"/>
      <c r="ET372" s="103"/>
      <c r="EU372" s="103"/>
      <c r="EV372" s="103"/>
      <c r="EW372" s="103"/>
      <c r="EX372" s="103"/>
      <c r="EY372" s="103"/>
      <c r="EZ372" s="103"/>
      <c r="FA372" s="103"/>
      <c r="FB372" s="103"/>
      <c r="FC372" s="103"/>
      <c r="FD372" s="103"/>
      <c r="FE372" s="103"/>
      <c r="FF372" s="103"/>
      <c r="FG372" s="103"/>
      <c r="FH372" s="103"/>
      <c r="FI372" s="103"/>
      <c r="FJ372" s="103"/>
      <c r="FK372" s="103"/>
      <c r="FL372" s="103"/>
      <c r="FM372" s="103"/>
      <c r="FN372" s="103"/>
      <c r="FO372" s="103"/>
      <c r="FP372" s="103"/>
      <c r="FQ372" s="103"/>
      <c r="FR372" s="103"/>
      <c r="FS372" s="103"/>
      <c r="FT372" s="103"/>
      <c r="FU372" s="103"/>
      <c r="FV372" s="103"/>
      <c r="FW372" s="103"/>
      <c r="FX372" s="103"/>
      <c r="FY372" s="103"/>
      <c r="FZ372" s="103"/>
      <c r="GA372" s="103"/>
      <c r="GB372" s="103"/>
      <c r="GC372" s="103"/>
      <c r="GD372" s="103"/>
      <c r="GE372" s="103"/>
      <c r="GF372" s="103"/>
      <c r="GG372" s="103"/>
      <c r="GH372" s="103"/>
      <c r="GI372" s="103"/>
      <c r="GJ372" s="103"/>
      <c r="GK372" s="103"/>
      <c r="GL372" s="103"/>
      <c r="GM372" s="103"/>
      <c r="GN372" s="103"/>
      <c r="GO372" s="103"/>
      <c r="GP372" s="103"/>
      <c r="GQ372" s="103"/>
      <c r="GR372" s="103"/>
      <c r="GS372" s="103"/>
      <c r="GT372" s="103"/>
      <c r="GU372" s="103"/>
      <c r="GV372" s="103"/>
      <c r="GW372" s="103"/>
      <c r="GX372" s="103"/>
      <c r="GY372" s="103"/>
      <c r="GZ372" s="103"/>
      <c r="HA372" s="103"/>
      <c r="HB372" s="103"/>
      <c r="HC372" s="103"/>
      <c r="HD372" s="103"/>
      <c r="HE372" s="103"/>
      <c r="HF372" s="103"/>
      <c r="HG372" s="103"/>
      <c r="HH372" s="103"/>
      <c r="HI372" s="103"/>
      <c r="HJ372" s="103"/>
      <c r="HK372" s="103"/>
      <c r="HL372" s="103"/>
      <c r="HM372" s="103"/>
      <c r="HN372" s="103"/>
      <c r="HO372" s="103"/>
      <c r="HP372" s="103"/>
      <c r="HQ372" s="103"/>
      <c r="HR372" s="103"/>
      <c r="HS372" s="103"/>
      <c r="HT372" s="103"/>
      <c r="HU372" s="103"/>
      <c r="HV372" s="103"/>
      <c r="HW372" s="103"/>
      <c r="HX372" s="103"/>
      <c r="HY372" s="103"/>
      <c r="HZ372" s="103"/>
      <c r="IA372" s="103"/>
      <c r="IB372" s="103"/>
      <c r="IC372" s="103"/>
      <c r="ID372" s="103"/>
      <c r="IE372" s="103"/>
      <c r="IF372" s="103"/>
      <c r="IG372" s="103"/>
      <c r="IH372" s="103"/>
      <c r="II372" s="103"/>
      <c r="IJ372" s="103"/>
      <c r="IK372" s="103"/>
      <c r="IL372" s="103"/>
      <c r="IM372" s="103"/>
      <c r="IN372" s="103"/>
      <c r="IO372" s="103"/>
      <c r="IP372" s="103"/>
      <c r="IQ372" s="103"/>
      <c r="IR372" s="103"/>
      <c r="IS372" s="103"/>
      <c r="IT372" s="103"/>
      <c r="IU372" s="103"/>
      <c r="IV372" s="103"/>
    </row>
    <row r="373" spans="1:256" customFormat="1" ht="14.5">
      <c r="A373" s="192" t="s">
        <v>1171</v>
      </c>
      <c r="B373">
        <v>5226</v>
      </c>
      <c r="D373" s="103"/>
      <c r="E373" s="88"/>
      <c r="F373" s="36" t="s">
        <v>45</v>
      </c>
      <c r="G373" s="5" t="s">
        <v>44</v>
      </c>
      <c r="H373" s="103"/>
      <c r="I373" s="62">
        <v>900000</v>
      </c>
      <c r="J373" s="62">
        <v>600</v>
      </c>
      <c r="K373" s="62">
        <v>1500</v>
      </c>
      <c r="L373" s="100" t="s">
        <v>858</v>
      </c>
      <c r="M373" s="5" t="s">
        <v>452</v>
      </c>
      <c r="N373" s="34" t="s">
        <v>464</v>
      </c>
      <c r="O373" s="5" t="s">
        <v>859</v>
      </c>
      <c r="P373" s="5" t="s">
        <v>597</v>
      </c>
      <c r="Q373" s="5" t="s">
        <v>860</v>
      </c>
      <c r="R373" s="5" t="s">
        <v>866</v>
      </c>
      <c r="S373" s="5" t="s">
        <v>862</v>
      </c>
      <c r="T373" s="5" t="s">
        <v>445</v>
      </c>
      <c r="U373" s="5"/>
      <c r="V373" s="5"/>
      <c r="W373" s="5"/>
      <c r="X373" s="5"/>
      <c r="Y373" s="5"/>
      <c r="Z373" s="5"/>
      <c r="AA373" s="5"/>
    </row>
    <row r="374" spans="1:256" customFormat="1" ht="14.5">
      <c r="A374" s="192" t="s">
        <v>1171</v>
      </c>
      <c r="D374" s="103"/>
      <c r="E374" s="88"/>
      <c r="F374" s="36" t="s">
        <v>45</v>
      </c>
      <c r="G374" s="5" t="s">
        <v>44</v>
      </c>
      <c r="H374" s="103"/>
      <c r="I374" s="62">
        <v>852000</v>
      </c>
      <c r="J374" s="62">
        <v>600</v>
      </c>
      <c r="K374" s="62">
        <v>1420</v>
      </c>
      <c r="L374" s="100" t="s">
        <v>989</v>
      </c>
      <c r="M374" s="5" t="s">
        <v>452</v>
      </c>
      <c r="N374" s="34" t="s">
        <v>464</v>
      </c>
      <c r="O374" s="5" t="s">
        <v>1082</v>
      </c>
      <c r="P374" s="5" t="s">
        <v>597</v>
      </c>
      <c r="Q374" s="5" t="s">
        <v>1083</v>
      </c>
      <c r="R374" s="5" t="s">
        <v>1089</v>
      </c>
      <c r="S374" s="5" t="s">
        <v>1085</v>
      </c>
      <c r="T374" s="5" t="s">
        <v>445</v>
      </c>
      <c r="U374" s="5"/>
      <c r="V374" s="5"/>
      <c r="W374" s="5"/>
      <c r="X374" s="5"/>
      <c r="Y374" s="5"/>
      <c r="Z374" s="5"/>
      <c r="AA374" s="5"/>
    </row>
    <row r="375" spans="1:256" customFormat="1" ht="14.5">
      <c r="A375" s="192" t="s">
        <v>1171</v>
      </c>
      <c r="D375" s="103"/>
      <c r="E375" s="88"/>
      <c r="F375" s="36" t="s">
        <v>45</v>
      </c>
      <c r="G375" s="5" t="s">
        <v>44</v>
      </c>
      <c r="H375" s="103"/>
      <c r="I375" s="62">
        <v>3748800</v>
      </c>
      <c r="J375" s="62">
        <v>2640</v>
      </c>
      <c r="K375" s="62">
        <v>1420</v>
      </c>
      <c r="L375" s="100" t="s">
        <v>985</v>
      </c>
      <c r="M375" s="5" t="s">
        <v>452</v>
      </c>
      <c r="N375" s="34" t="s">
        <v>464</v>
      </c>
      <c r="O375" s="5" t="s">
        <v>997</v>
      </c>
      <c r="P375" s="5" t="s">
        <v>597</v>
      </c>
      <c r="Q375" s="5" t="s">
        <v>998</v>
      </c>
      <c r="R375" s="5" t="s">
        <v>999</v>
      </c>
      <c r="S375" s="5" t="s">
        <v>1000</v>
      </c>
      <c r="T375" s="5" t="s">
        <v>445</v>
      </c>
      <c r="U375" s="5"/>
      <c r="V375" s="5"/>
      <c r="W375" s="5"/>
      <c r="X375" s="5"/>
      <c r="Y375" s="5"/>
      <c r="Z375" s="5"/>
      <c r="AA375" s="5"/>
    </row>
    <row r="376" spans="1:256" customFormat="1" ht="14.5">
      <c r="A376" s="192" t="s">
        <v>1171</v>
      </c>
      <c r="D376" s="103"/>
      <c r="E376" s="88"/>
      <c r="F376" s="36" t="s">
        <v>45</v>
      </c>
      <c r="G376" s="5" t="s">
        <v>44</v>
      </c>
      <c r="H376" s="103"/>
      <c r="I376" s="62">
        <v>1500000</v>
      </c>
      <c r="J376" s="62">
        <v>1000</v>
      </c>
      <c r="K376" s="62">
        <v>1500</v>
      </c>
      <c r="L376" s="100" t="s">
        <v>914</v>
      </c>
      <c r="M376" s="5" t="s">
        <v>452</v>
      </c>
      <c r="N376" s="34" t="s">
        <v>464</v>
      </c>
      <c r="O376" s="5" t="s">
        <v>922</v>
      </c>
      <c r="P376" s="5" t="s">
        <v>597</v>
      </c>
      <c r="Q376" s="5" t="s">
        <v>923</v>
      </c>
      <c r="R376" s="5" t="s">
        <v>931</v>
      </c>
      <c r="S376" s="5" t="s">
        <v>925</v>
      </c>
      <c r="T376" s="5" t="s">
        <v>445</v>
      </c>
      <c r="U376" s="5"/>
      <c r="V376" s="5"/>
      <c r="W376" s="5"/>
      <c r="X376" s="5"/>
      <c r="Y376" s="5"/>
      <c r="Z376" s="5"/>
      <c r="AA376" s="5"/>
    </row>
    <row r="377" spans="1:256" customFormat="1">
      <c r="F377" s="36"/>
      <c r="G377" s="5"/>
      <c r="H377" s="5"/>
      <c r="I377" s="62"/>
      <c r="J377" s="62"/>
      <c r="K377" s="62"/>
      <c r="L377" s="100"/>
      <c r="M377" s="5"/>
      <c r="N377" s="3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56" customFormat="1">
      <c r="A378" s="5" t="s">
        <v>443</v>
      </c>
      <c r="F378" s="36" t="s">
        <v>46</v>
      </c>
      <c r="G378" s="5" t="s">
        <v>47</v>
      </c>
      <c r="H378" s="5"/>
      <c r="I378" s="62">
        <v>125874754.48999999</v>
      </c>
      <c r="J378" s="62">
        <v>0</v>
      </c>
      <c r="K378" s="62">
        <v>1300</v>
      </c>
      <c r="L378" s="100" t="s">
        <v>441</v>
      </c>
      <c r="M378" s="5"/>
      <c r="N378" s="34" t="s">
        <v>442</v>
      </c>
      <c r="O378" s="5"/>
      <c r="P378" s="5" t="s">
        <v>443</v>
      </c>
      <c r="Q378" s="5"/>
      <c r="R378" s="5"/>
      <c r="S378" s="5" t="s">
        <v>444</v>
      </c>
      <c r="T378" s="5" t="s">
        <v>445</v>
      </c>
      <c r="U378" s="5"/>
      <c r="V378" s="5"/>
      <c r="W378" s="5"/>
      <c r="X378" s="5"/>
      <c r="Y378" s="5"/>
      <c r="Z378" s="5"/>
      <c r="AA378" s="5"/>
    </row>
    <row r="379" spans="1:256" customFormat="1">
      <c r="A379" s="5" t="s">
        <v>443</v>
      </c>
      <c r="F379" s="36" t="s">
        <v>297</v>
      </c>
      <c r="G379" s="5" t="s">
        <v>298</v>
      </c>
      <c r="H379" s="5"/>
      <c r="I379" s="62">
        <v>156000</v>
      </c>
      <c r="J379" s="62">
        <v>0</v>
      </c>
      <c r="K379" s="62">
        <v>1300</v>
      </c>
      <c r="L379" s="100" t="s">
        <v>441</v>
      </c>
      <c r="M379" s="5"/>
      <c r="N379" s="34" t="s">
        <v>442</v>
      </c>
      <c r="O379" s="5"/>
      <c r="P379" s="5" t="s">
        <v>443</v>
      </c>
      <c r="Q379" s="5"/>
      <c r="R379" s="5"/>
      <c r="S379" s="5" t="s">
        <v>444</v>
      </c>
      <c r="T379" s="5" t="s">
        <v>445</v>
      </c>
      <c r="U379" s="5"/>
      <c r="V379" s="5"/>
      <c r="W379" s="5"/>
      <c r="X379" s="5"/>
      <c r="Y379" s="5"/>
      <c r="Z379" s="5"/>
      <c r="AA379" s="5"/>
    </row>
    <row r="380" spans="1:256" customFormat="1">
      <c r="A380" s="5" t="s">
        <v>443</v>
      </c>
      <c r="F380" s="36" t="s">
        <v>291</v>
      </c>
      <c r="G380" s="5" t="s">
        <v>292</v>
      </c>
      <c r="H380" s="5"/>
      <c r="I380" s="62">
        <v>313157.24</v>
      </c>
      <c r="J380" s="62">
        <v>0</v>
      </c>
      <c r="K380" s="62">
        <v>1300</v>
      </c>
      <c r="L380" s="100" t="s">
        <v>441</v>
      </c>
      <c r="M380" s="5"/>
      <c r="N380" s="34" t="s">
        <v>442</v>
      </c>
      <c r="O380" s="5"/>
      <c r="P380" s="5" t="s">
        <v>443</v>
      </c>
      <c r="Q380" s="5"/>
      <c r="R380" s="5"/>
      <c r="S380" s="5" t="s">
        <v>444</v>
      </c>
      <c r="T380" s="5" t="s">
        <v>445</v>
      </c>
      <c r="U380" s="5"/>
      <c r="V380" s="5"/>
      <c r="W380" s="5"/>
      <c r="X380" s="5"/>
      <c r="Y380" s="5"/>
      <c r="Z380" s="5"/>
      <c r="AA380" s="5"/>
    </row>
    <row r="381" spans="1:256" customFormat="1">
      <c r="A381" s="5" t="s">
        <v>443</v>
      </c>
      <c r="F381" s="36" t="s">
        <v>50</v>
      </c>
      <c r="G381" s="5" t="s">
        <v>51</v>
      </c>
      <c r="H381" s="5"/>
      <c r="I381" s="62">
        <v>385591.32</v>
      </c>
      <c r="J381" s="62">
        <v>0</v>
      </c>
      <c r="K381" s="62">
        <v>1300</v>
      </c>
      <c r="L381" s="100" t="s">
        <v>441</v>
      </c>
      <c r="M381" s="5"/>
      <c r="N381" s="34" t="s">
        <v>442</v>
      </c>
      <c r="O381" s="5"/>
      <c r="P381" s="5" t="s">
        <v>443</v>
      </c>
      <c r="Q381" s="5"/>
      <c r="R381" s="5"/>
      <c r="S381" s="5" t="s">
        <v>444</v>
      </c>
      <c r="T381" s="5" t="s">
        <v>445</v>
      </c>
      <c r="U381" s="5"/>
      <c r="V381" s="5"/>
      <c r="W381" s="5"/>
      <c r="X381" s="5"/>
      <c r="Y381" s="5"/>
      <c r="Z381" s="5"/>
      <c r="AA381" s="5"/>
    </row>
    <row r="382" spans="1:256" customFormat="1">
      <c r="A382" s="5" t="s">
        <v>443</v>
      </c>
      <c r="F382" s="36" t="s">
        <v>446</v>
      </c>
      <c r="G382" s="5" t="s">
        <v>447</v>
      </c>
      <c r="H382" s="5"/>
      <c r="I382" s="62">
        <v>8959707.8000000007</v>
      </c>
      <c r="J382" s="62">
        <v>0</v>
      </c>
      <c r="K382" s="62">
        <v>1300</v>
      </c>
      <c r="L382" s="100" t="s">
        <v>441</v>
      </c>
      <c r="M382" s="5"/>
      <c r="N382" s="34" t="s">
        <v>442</v>
      </c>
      <c r="O382" s="5"/>
      <c r="P382" s="5" t="s">
        <v>443</v>
      </c>
      <c r="Q382" s="5"/>
      <c r="R382" s="5"/>
      <c r="S382" s="5" t="s">
        <v>444</v>
      </c>
      <c r="T382" s="5" t="s">
        <v>445</v>
      </c>
      <c r="U382" s="5"/>
      <c r="V382" s="5"/>
      <c r="W382" s="5"/>
      <c r="X382" s="5"/>
      <c r="Y382" s="5"/>
      <c r="Z382" s="5"/>
      <c r="AA382" s="5"/>
    </row>
    <row r="383" spans="1:256" customFormat="1">
      <c r="A383" s="5" t="s">
        <v>443</v>
      </c>
      <c r="F383" s="36" t="s">
        <v>271</v>
      </c>
      <c r="G383" s="5" t="s">
        <v>252</v>
      </c>
      <c r="H383" s="5"/>
      <c r="I383" s="62">
        <v>16893945.27</v>
      </c>
      <c r="J383" s="62">
        <v>0</v>
      </c>
      <c r="K383" s="62">
        <v>1300</v>
      </c>
      <c r="L383" s="100" t="s">
        <v>441</v>
      </c>
      <c r="M383" s="5"/>
      <c r="N383" s="34" t="s">
        <v>442</v>
      </c>
      <c r="O383" s="5"/>
      <c r="P383" s="5" t="s">
        <v>443</v>
      </c>
      <c r="Q383" s="5"/>
      <c r="R383" s="5"/>
      <c r="S383" s="5" t="s">
        <v>444</v>
      </c>
      <c r="T383" s="5" t="s">
        <v>445</v>
      </c>
      <c r="U383" s="5"/>
      <c r="V383" s="5"/>
      <c r="W383" s="5"/>
      <c r="X383" s="5"/>
      <c r="Y383" s="5"/>
      <c r="Z383" s="5"/>
      <c r="AA383" s="5"/>
    </row>
    <row r="384" spans="1:256" customFormat="1">
      <c r="A384" s="5" t="s">
        <v>443</v>
      </c>
      <c r="F384" s="36" t="s">
        <v>48</v>
      </c>
      <c r="G384" s="5" t="s">
        <v>49</v>
      </c>
      <c r="H384" s="5"/>
      <c r="I384" s="62">
        <v>36225033.600000001</v>
      </c>
      <c r="J384" s="62">
        <v>0</v>
      </c>
      <c r="K384" s="62">
        <v>1300</v>
      </c>
      <c r="L384" s="100" t="s">
        <v>441</v>
      </c>
      <c r="M384" s="5"/>
      <c r="N384" s="34" t="s">
        <v>442</v>
      </c>
      <c r="O384" s="5"/>
      <c r="P384" s="5" t="s">
        <v>443</v>
      </c>
      <c r="Q384" s="5"/>
      <c r="R384" s="5"/>
      <c r="S384" s="5" t="s">
        <v>444</v>
      </c>
      <c r="T384" s="5" t="s">
        <v>445</v>
      </c>
      <c r="U384" s="5"/>
      <c r="V384" s="5"/>
      <c r="W384" s="5"/>
      <c r="X384" s="5"/>
      <c r="Y384" s="5"/>
      <c r="Z384" s="5"/>
      <c r="AA384" s="5"/>
    </row>
    <row r="385" spans="1:27" customFormat="1">
      <c r="A385" s="5" t="s">
        <v>443</v>
      </c>
      <c r="F385" s="36" t="s">
        <v>84</v>
      </c>
      <c r="G385" s="5" t="s">
        <v>85</v>
      </c>
      <c r="H385" s="5"/>
      <c r="I385" s="62">
        <v>8363283.3099999996</v>
      </c>
      <c r="J385" s="62">
        <v>0</v>
      </c>
      <c r="K385" s="62">
        <v>1300</v>
      </c>
      <c r="L385" s="100" t="s">
        <v>441</v>
      </c>
      <c r="M385" s="5"/>
      <c r="N385" s="34" t="s">
        <v>442</v>
      </c>
      <c r="O385" s="5"/>
      <c r="P385" s="5" t="s">
        <v>443</v>
      </c>
      <c r="Q385" s="5"/>
      <c r="R385" s="5"/>
      <c r="S385" s="5" t="s">
        <v>444</v>
      </c>
      <c r="T385" s="5" t="s">
        <v>445</v>
      </c>
      <c r="U385" s="5"/>
      <c r="V385" s="5"/>
      <c r="W385" s="5"/>
      <c r="X385" s="5"/>
      <c r="Y385" s="5"/>
      <c r="Z385" s="5"/>
      <c r="AA385" s="5"/>
    </row>
    <row r="386" spans="1:27" customFormat="1">
      <c r="A386" s="5" t="s">
        <v>443</v>
      </c>
      <c r="F386" s="36" t="s">
        <v>301</v>
      </c>
      <c r="G386" s="5" t="s">
        <v>302</v>
      </c>
      <c r="H386" s="5"/>
      <c r="I386" s="62">
        <v>7463846</v>
      </c>
      <c r="J386" s="62">
        <v>0</v>
      </c>
      <c r="K386" s="62">
        <v>1300</v>
      </c>
      <c r="L386" s="100" t="s">
        <v>441</v>
      </c>
      <c r="M386" s="5"/>
      <c r="N386" s="34" t="s">
        <v>442</v>
      </c>
      <c r="O386" s="5"/>
      <c r="P386" s="5" t="s">
        <v>443</v>
      </c>
      <c r="Q386" s="5"/>
      <c r="R386" s="5"/>
      <c r="S386" s="5" t="s">
        <v>444</v>
      </c>
      <c r="T386" s="5" t="s">
        <v>445</v>
      </c>
      <c r="U386" s="5"/>
      <c r="V386" s="5"/>
      <c r="W386" s="5"/>
      <c r="X386" s="5"/>
      <c r="Y386" s="5"/>
      <c r="Z386" s="5"/>
      <c r="AA386" s="5"/>
    </row>
    <row r="387" spans="1:27" customFormat="1">
      <c r="A387" s="5" t="s">
        <v>443</v>
      </c>
      <c r="F387" s="36" t="s">
        <v>299</v>
      </c>
      <c r="G387" s="5" t="s">
        <v>300</v>
      </c>
      <c r="H387" s="5"/>
      <c r="I387" s="62">
        <v>3742700</v>
      </c>
      <c r="J387" s="62">
        <v>0</v>
      </c>
      <c r="K387" s="62">
        <v>1300</v>
      </c>
      <c r="L387" s="100" t="s">
        <v>441</v>
      </c>
      <c r="M387" s="5"/>
      <c r="N387" s="34" t="s">
        <v>442</v>
      </c>
      <c r="O387" s="5"/>
      <c r="P387" s="5" t="s">
        <v>443</v>
      </c>
      <c r="Q387" s="5"/>
      <c r="R387" s="5"/>
      <c r="S387" s="5" t="s">
        <v>444</v>
      </c>
      <c r="T387" s="5" t="s">
        <v>445</v>
      </c>
      <c r="U387" s="5"/>
      <c r="V387" s="5"/>
      <c r="W387" s="5"/>
      <c r="X387" s="5"/>
      <c r="Y387" s="5"/>
      <c r="Z387" s="5"/>
      <c r="AA387" s="5"/>
    </row>
    <row r="388" spans="1:27" customFormat="1">
      <c r="A388" s="5" t="s">
        <v>443</v>
      </c>
      <c r="F388" s="36" t="s">
        <v>82</v>
      </c>
      <c r="G388" s="5" t="s">
        <v>83</v>
      </c>
      <c r="H388" s="5"/>
      <c r="I388" s="62">
        <v>1738394.37</v>
      </c>
      <c r="J388" s="62">
        <v>0</v>
      </c>
      <c r="K388" s="62">
        <v>1300</v>
      </c>
      <c r="L388" s="100" t="s">
        <v>441</v>
      </c>
      <c r="M388" s="5"/>
      <c r="N388" s="34" t="s">
        <v>442</v>
      </c>
      <c r="O388" s="5"/>
      <c r="P388" s="5" t="s">
        <v>443</v>
      </c>
      <c r="Q388" s="5"/>
      <c r="R388" s="5"/>
      <c r="S388" s="5" t="s">
        <v>444</v>
      </c>
      <c r="T388" s="5" t="s">
        <v>445</v>
      </c>
      <c r="U388" s="5"/>
      <c r="V388" s="5"/>
      <c r="W388" s="5"/>
      <c r="X388" s="5"/>
      <c r="Y388" s="5"/>
      <c r="Z388" s="5"/>
      <c r="AA388" s="5"/>
    </row>
    <row r="389" spans="1:27" customFormat="1">
      <c r="A389" s="5" t="s">
        <v>443</v>
      </c>
      <c r="F389" s="36" t="s">
        <v>295</v>
      </c>
      <c r="G389" s="5" t="s">
        <v>296</v>
      </c>
      <c r="H389" s="5"/>
      <c r="I389" s="62">
        <v>922890</v>
      </c>
      <c r="J389" s="62">
        <v>0</v>
      </c>
      <c r="K389" s="62">
        <v>1300</v>
      </c>
      <c r="L389" s="100" t="s">
        <v>441</v>
      </c>
      <c r="M389" s="5"/>
      <c r="N389" s="34" t="s">
        <v>442</v>
      </c>
      <c r="O389" s="5"/>
      <c r="P389" s="5" t="s">
        <v>443</v>
      </c>
      <c r="Q389" s="5"/>
      <c r="R389" s="5"/>
      <c r="S389" s="5" t="s">
        <v>444</v>
      </c>
      <c r="T389" s="5" t="s">
        <v>445</v>
      </c>
      <c r="U389" s="5"/>
      <c r="V389" s="5"/>
      <c r="W389" s="5"/>
      <c r="X389" s="5"/>
      <c r="Y389" s="5"/>
      <c r="Z389" s="5"/>
      <c r="AA389" s="5"/>
    </row>
    <row r="390" spans="1:27" customFormat="1">
      <c r="A390" s="5" t="s">
        <v>443</v>
      </c>
      <c r="F390" s="36" t="s">
        <v>448</v>
      </c>
      <c r="G390" s="5" t="s">
        <v>449</v>
      </c>
      <c r="H390" s="5"/>
      <c r="I390" s="62">
        <v>-1909090.59</v>
      </c>
      <c r="J390" s="62">
        <v>0</v>
      </c>
      <c r="K390" s="62">
        <v>1300</v>
      </c>
      <c r="L390" s="100" t="s">
        <v>441</v>
      </c>
      <c r="M390" s="5"/>
      <c r="N390" s="34" t="s">
        <v>442</v>
      </c>
      <c r="O390" s="5"/>
      <c r="P390" s="5" t="s">
        <v>443</v>
      </c>
      <c r="Q390" s="5"/>
      <c r="R390" s="5"/>
      <c r="S390" s="5" t="s">
        <v>444</v>
      </c>
      <c r="T390" s="5" t="s">
        <v>445</v>
      </c>
      <c r="U390" s="5"/>
      <c r="V390" s="5"/>
      <c r="W390" s="5"/>
      <c r="X390" s="5"/>
      <c r="Y390" s="5"/>
      <c r="Z390" s="5"/>
      <c r="AA390" s="5"/>
    </row>
    <row r="391" spans="1:27" customFormat="1">
      <c r="A391" s="5" t="s">
        <v>443</v>
      </c>
      <c r="F391" s="36" t="s">
        <v>305</v>
      </c>
      <c r="G391" s="5" t="s">
        <v>306</v>
      </c>
      <c r="H391" s="5"/>
      <c r="I391" s="62">
        <v>-20184922</v>
      </c>
      <c r="J391" s="62">
        <v>0</v>
      </c>
      <c r="K391" s="62">
        <v>1300</v>
      </c>
      <c r="L391" s="100" t="s">
        <v>441</v>
      </c>
      <c r="M391" s="5"/>
      <c r="N391" s="34" t="s">
        <v>442</v>
      </c>
      <c r="O391" s="5"/>
      <c r="P391" s="5" t="s">
        <v>443</v>
      </c>
      <c r="Q391" s="5"/>
      <c r="R391" s="5"/>
      <c r="S391" s="5" t="s">
        <v>444</v>
      </c>
      <c r="T391" s="5" t="s">
        <v>445</v>
      </c>
      <c r="U391" s="5"/>
      <c r="V391" s="5"/>
      <c r="W391" s="5"/>
      <c r="X391" s="5"/>
      <c r="Y391" s="5"/>
      <c r="Z391" s="5"/>
      <c r="AA391" s="5"/>
    </row>
    <row r="392" spans="1:27" customFormat="1">
      <c r="A392" s="5" t="s">
        <v>443</v>
      </c>
      <c r="F392" s="36" t="s">
        <v>307</v>
      </c>
      <c r="G392" s="5" t="s">
        <v>308</v>
      </c>
      <c r="H392" s="5"/>
      <c r="I392" s="62">
        <v>-192498043.37</v>
      </c>
      <c r="J392" s="62">
        <v>0</v>
      </c>
      <c r="K392" s="62">
        <v>1300</v>
      </c>
      <c r="L392" s="100" t="s">
        <v>441</v>
      </c>
      <c r="M392" s="5"/>
      <c r="N392" s="34" t="s">
        <v>442</v>
      </c>
      <c r="O392" s="5"/>
      <c r="P392" s="5" t="s">
        <v>443</v>
      </c>
      <c r="Q392" s="5"/>
      <c r="R392" s="5"/>
      <c r="S392" s="5" t="s">
        <v>444</v>
      </c>
      <c r="T392" s="5" t="s">
        <v>445</v>
      </c>
      <c r="U392" s="5"/>
      <c r="V392" s="5"/>
      <c r="W392" s="5"/>
      <c r="X392" s="5"/>
      <c r="Y392" s="5"/>
      <c r="Z392" s="5"/>
      <c r="AA392" s="5"/>
    </row>
    <row r="393" spans="1:27" customFormat="1">
      <c r="A393" s="5" t="s">
        <v>443</v>
      </c>
      <c r="F393" s="36" t="s">
        <v>303</v>
      </c>
      <c r="G393" s="5" t="s">
        <v>304</v>
      </c>
      <c r="H393" s="5"/>
      <c r="I393" s="62">
        <v>-151907275</v>
      </c>
      <c r="J393" s="62">
        <v>0</v>
      </c>
      <c r="K393" s="62">
        <v>1300</v>
      </c>
      <c r="L393" s="100" t="s">
        <v>441</v>
      </c>
      <c r="M393" s="5"/>
      <c r="N393" s="34" t="s">
        <v>442</v>
      </c>
      <c r="O393" s="5"/>
      <c r="P393" s="5" t="s">
        <v>443</v>
      </c>
      <c r="Q393" s="5"/>
      <c r="R393" s="5"/>
      <c r="S393" s="5" t="s">
        <v>444</v>
      </c>
      <c r="T393" s="5" t="s">
        <v>445</v>
      </c>
      <c r="U393" s="5"/>
      <c r="V393" s="5"/>
      <c r="W393" s="5"/>
      <c r="X393" s="5"/>
      <c r="Y393" s="5"/>
      <c r="Z393" s="5"/>
      <c r="AA393" s="5"/>
    </row>
    <row r="394" spans="1:27" customFormat="1">
      <c r="A394" s="5" t="s">
        <v>443</v>
      </c>
      <c r="F394" s="36" t="s">
        <v>4</v>
      </c>
      <c r="G394" s="5" t="s">
        <v>3</v>
      </c>
      <c r="H394" s="5"/>
      <c r="I394" s="62">
        <v>36616315.560000002</v>
      </c>
      <c r="J394" s="62">
        <v>0</v>
      </c>
      <c r="K394" s="62">
        <v>1300</v>
      </c>
      <c r="L394" s="100" t="s">
        <v>441</v>
      </c>
      <c r="M394" s="5"/>
      <c r="N394" s="34" t="s">
        <v>442</v>
      </c>
      <c r="O394" s="5"/>
      <c r="P394" s="5" t="s">
        <v>443</v>
      </c>
      <c r="Q394" s="5"/>
      <c r="R394" s="5"/>
      <c r="S394" s="5" t="s">
        <v>444</v>
      </c>
      <c r="T394" s="5" t="s">
        <v>445</v>
      </c>
      <c r="U394" s="5"/>
      <c r="V394" s="5"/>
      <c r="W394" s="5"/>
      <c r="X394" s="5"/>
      <c r="Y394" s="5"/>
      <c r="Z394" s="5"/>
      <c r="AA394" s="5"/>
    </row>
    <row r="395" spans="1:27" customFormat="1">
      <c r="A395" s="5" t="s">
        <v>443</v>
      </c>
      <c r="F395" s="36" t="s">
        <v>293</v>
      </c>
      <c r="G395" s="5" t="s">
        <v>294</v>
      </c>
      <c r="H395" s="5"/>
      <c r="I395" s="62">
        <v>118843712</v>
      </c>
      <c r="J395" s="62">
        <v>0</v>
      </c>
      <c r="K395" s="62">
        <v>1300</v>
      </c>
      <c r="L395" s="100" t="s">
        <v>441</v>
      </c>
      <c r="M395" s="5"/>
      <c r="N395" s="34" t="s">
        <v>442</v>
      </c>
      <c r="O395" s="5"/>
      <c r="P395" s="5" t="s">
        <v>443</v>
      </c>
      <c r="Q395" s="5"/>
      <c r="R395" s="5"/>
      <c r="S395" s="5" t="s">
        <v>444</v>
      </c>
      <c r="T395" s="5" t="s">
        <v>445</v>
      </c>
      <c r="U395" s="5"/>
      <c r="V395" s="5"/>
      <c r="W395" s="5"/>
      <c r="X395" s="5"/>
      <c r="Y395" s="5"/>
      <c r="Z395" s="5"/>
      <c r="AA395" s="5"/>
    </row>
    <row r="396" spans="1:27" customFormat="1">
      <c r="A396" s="5" t="s">
        <v>443</v>
      </c>
      <c r="F396" s="36" t="s">
        <v>4</v>
      </c>
      <c r="G396" s="5" t="s">
        <v>3</v>
      </c>
      <c r="H396" s="5"/>
      <c r="I396" s="62">
        <v>0</v>
      </c>
      <c r="J396" s="62">
        <v>103408.45</v>
      </c>
      <c r="K396" s="62">
        <v>1300</v>
      </c>
      <c r="L396" s="100" t="s">
        <v>441</v>
      </c>
      <c r="M396" s="5"/>
      <c r="N396" s="34" t="s">
        <v>442</v>
      </c>
      <c r="O396" s="5"/>
      <c r="P396" s="5" t="s">
        <v>443</v>
      </c>
      <c r="Q396" s="5"/>
      <c r="R396" s="5"/>
      <c r="S396" s="5" t="s">
        <v>450</v>
      </c>
      <c r="T396" s="5" t="s">
        <v>445</v>
      </c>
      <c r="U396" s="5"/>
      <c r="V396" s="5"/>
      <c r="W396" s="5"/>
      <c r="X396" s="5"/>
      <c r="Y396" s="5"/>
      <c r="Z396" s="5"/>
      <c r="AA396" s="5"/>
    </row>
    <row r="397" spans="1:27" customFormat="1">
      <c r="A397" s="5" t="s">
        <v>443</v>
      </c>
      <c r="F397" s="36" t="s">
        <v>46</v>
      </c>
      <c r="G397" s="5" t="s">
        <v>47</v>
      </c>
      <c r="H397" s="5"/>
      <c r="I397" s="62">
        <v>0</v>
      </c>
      <c r="J397" s="62">
        <v>361136.56</v>
      </c>
      <c r="K397" s="62">
        <v>1300</v>
      </c>
      <c r="L397" s="100" t="s">
        <v>441</v>
      </c>
      <c r="M397" s="5"/>
      <c r="N397" s="34" t="s">
        <v>442</v>
      </c>
      <c r="O397" s="5"/>
      <c r="P397" s="5" t="s">
        <v>443</v>
      </c>
      <c r="Q397" s="5"/>
      <c r="R397" s="5"/>
      <c r="S397" s="5" t="s">
        <v>450</v>
      </c>
      <c r="T397" s="5" t="s">
        <v>445</v>
      </c>
      <c r="U397" s="5"/>
      <c r="V397" s="5"/>
      <c r="W397" s="5"/>
      <c r="X397" s="5"/>
      <c r="Y397" s="5"/>
      <c r="Z397" s="5"/>
      <c r="AA397" s="5"/>
    </row>
    <row r="398" spans="1:27" customFormat="1">
      <c r="A398" s="5" t="s">
        <v>443</v>
      </c>
      <c r="F398" s="36" t="s">
        <v>307</v>
      </c>
      <c r="G398" s="5" t="s">
        <v>308</v>
      </c>
      <c r="H398" s="5"/>
      <c r="I398" s="62">
        <v>0</v>
      </c>
      <c r="J398" s="62">
        <v>-460022.13</v>
      </c>
      <c r="K398" s="62">
        <v>1300</v>
      </c>
      <c r="L398" s="100" t="s">
        <v>441</v>
      </c>
      <c r="M398" s="5"/>
      <c r="N398" s="34" t="s">
        <v>442</v>
      </c>
      <c r="O398" s="5"/>
      <c r="P398" s="5" t="s">
        <v>443</v>
      </c>
      <c r="Q398" s="5"/>
      <c r="R398" s="5"/>
      <c r="S398" s="5" t="s">
        <v>450</v>
      </c>
      <c r="T398" s="5" t="s">
        <v>445</v>
      </c>
      <c r="U398" s="5"/>
      <c r="V398" s="5"/>
      <c r="W398" s="5"/>
      <c r="X398" s="5"/>
      <c r="Y398" s="5"/>
      <c r="Z398" s="5"/>
      <c r="AA398" s="5"/>
    </row>
    <row r="399" spans="1:27" customFormat="1">
      <c r="A399" s="5" t="s">
        <v>443</v>
      </c>
      <c r="F399" s="36" t="s">
        <v>448</v>
      </c>
      <c r="G399" s="5" t="s">
        <v>449</v>
      </c>
      <c r="H399" s="5"/>
      <c r="I399" s="62">
        <v>0</v>
      </c>
      <c r="J399" s="62">
        <v>-153318.32999999999</v>
      </c>
      <c r="K399" s="62">
        <v>1300</v>
      </c>
      <c r="L399" s="100" t="s">
        <v>441</v>
      </c>
      <c r="M399" s="5"/>
      <c r="N399" s="34" t="s">
        <v>442</v>
      </c>
      <c r="O399" s="5"/>
      <c r="P399" s="5" t="s">
        <v>443</v>
      </c>
      <c r="Q399" s="5"/>
      <c r="R399" s="5"/>
      <c r="S399" s="5" t="s">
        <v>450</v>
      </c>
      <c r="T399" s="5" t="s">
        <v>445</v>
      </c>
      <c r="U399" s="5"/>
      <c r="V399" s="5"/>
      <c r="W399" s="5"/>
      <c r="X399" s="5"/>
      <c r="Y399" s="5"/>
      <c r="Z399" s="5"/>
      <c r="AA399" s="5"/>
    </row>
    <row r="400" spans="1:27" customFormat="1">
      <c r="A400" s="5" t="s">
        <v>443</v>
      </c>
      <c r="F400" s="36" t="s">
        <v>303</v>
      </c>
      <c r="G400" s="5" t="s">
        <v>304</v>
      </c>
      <c r="H400" s="5"/>
      <c r="I400" s="62">
        <v>0</v>
      </c>
      <c r="J400" s="62">
        <v>-116851.75</v>
      </c>
      <c r="K400" s="62">
        <v>1300</v>
      </c>
      <c r="L400" s="100" t="s">
        <v>441</v>
      </c>
      <c r="M400" s="5"/>
      <c r="N400" s="34" t="s">
        <v>442</v>
      </c>
      <c r="O400" s="5"/>
      <c r="P400" s="5" t="s">
        <v>443</v>
      </c>
      <c r="Q400" s="5"/>
      <c r="R400" s="5"/>
      <c r="S400" s="5" t="s">
        <v>450</v>
      </c>
      <c r="T400" s="5" t="s">
        <v>445</v>
      </c>
      <c r="U400" s="5"/>
      <c r="V400" s="5"/>
      <c r="W400" s="5"/>
      <c r="X400" s="5"/>
      <c r="Y400" s="5"/>
      <c r="Z400" s="5"/>
      <c r="AA400" s="5"/>
    </row>
    <row r="401" spans="1:27" customFormat="1">
      <c r="A401" s="5" t="s">
        <v>443</v>
      </c>
      <c r="F401" s="36" t="s">
        <v>305</v>
      </c>
      <c r="G401" s="5" t="s">
        <v>306</v>
      </c>
      <c r="H401" s="5"/>
      <c r="I401" s="62">
        <v>0</v>
      </c>
      <c r="J401" s="62">
        <v>-15526.86</v>
      </c>
      <c r="K401" s="62">
        <v>1300</v>
      </c>
      <c r="L401" s="100" t="s">
        <v>441</v>
      </c>
      <c r="M401" s="5"/>
      <c r="N401" s="34" t="s">
        <v>442</v>
      </c>
      <c r="O401" s="5"/>
      <c r="P401" s="5" t="s">
        <v>443</v>
      </c>
      <c r="Q401" s="5"/>
      <c r="R401" s="5"/>
      <c r="S401" s="5" t="s">
        <v>450</v>
      </c>
      <c r="T401" s="5" t="s">
        <v>445</v>
      </c>
      <c r="U401" s="5"/>
      <c r="V401" s="5"/>
      <c r="W401" s="5"/>
      <c r="X401" s="5"/>
      <c r="Y401" s="5"/>
      <c r="Z401" s="5"/>
      <c r="AA401" s="5"/>
    </row>
    <row r="402" spans="1:27" customFormat="1">
      <c r="A402" s="5" t="s">
        <v>443</v>
      </c>
      <c r="F402" s="36" t="s">
        <v>297</v>
      </c>
      <c r="G402" s="5" t="s">
        <v>298</v>
      </c>
      <c r="H402" s="5"/>
      <c r="I402" s="62">
        <v>0</v>
      </c>
      <c r="J402" s="62">
        <v>120</v>
      </c>
      <c r="K402" s="62">
        <v>1300</v>
      </c>
      <c r="L402" s="100" t="s">
        <v>441</v>
      </c>
      <c r="M402" s="5"/>
      <c r="N402" s="34" t="s">
        <v>442</v>
      </c>
      <c r="O402" s="5"/>
      <c r="P402" s="5" t="s">
        <v>443</v>
      </c>
      <c r="Q402" s="5"/>
      <c r="R402" s="5"/>
      <c r="S402" s="5" t="s">
        <v>450</v>
      </c>
      <c r="T402" s="5" t="s">
        <v>445</v>
      </c>
      <c r="U402" s="5"/>
      <c r="V402" s="5"/>
      <c r="W402" s="5"/>
      <c r="X402" s="5"/>
      <c r="Y402" s="5"/>
      <c r="Z402" s="5"/>
      <c r="AA402" s="5"/>
    </row>
    <row r="403" spans="1:27" customFormat="1">
      <c r="A403" s="5" t="s">
        <v>443</v>
      </c>
      <c r="F403" s="36" t="s">
        <v>291</v>
      </c>
      <c r="G403" s="5" t="s">
        <v>292</v>
      </c>
      <c r="H403" s="5"/>
      <c r="I403" s="62">
        <v>0</v>
      </c>
      <c r="J403" s="62">
        <v>240.89</v>
      </c>
      <c r="K403" s="62">
        <v>1300</v>
      </c>
      <c r="L403" s="100" t="s">
        <v>441</v>
      </c>
      <c r="M403" s="5"/>
      <c r="N403" s="34" t="s">
        <v>442</v>
      </c>
      <c r="O403" s="5"/>
      <c r="P403" s="5" t="s">
        <v>443</v>
      </c>
      <c r="Q403" s="5"/>
      <c r="R403" s="5"/>
      <c r="S403" s="5" t="s">
        <v>450</v>
      </c>
      <c r="T403" s="5" t="s">
        <v>445</v>
      </c>
      <c r="U403" s="5"/>
      <c r="V403" s="5"/>
      <c r="W403" s="5"/>
      <c r="X403" s="5"/>
      <c r="Y403" s="5"/>
      <c r="Z403" s="5"/>
      <c r="AA403" s="5"/>
    </row>
    <row r="404" spans="1:27" customFormat="1">
      <c r="A404" s="5" t="s">
        <v>443</v>
      </c>
      <c r="F404" s="36" t="s">
        <v>295</v>
      </c>
      <c r="G404" s="5" t="s">
        <v>296</v>
      </c>
      <c r="H404" s="5"/>
      <c r="I404" s="62">
        <v>0</v>
      </c>
      <c r="J404" s="62">
        <v>709.92</v>
      </c>
      <c r="K404" s="62">
        <v>1300</v>
      </c>
      <c r="L404" s="100" t="s">
        <v>441</v>
      </c>
      <c r="M404" s="5"/>
      <c r="N404" s="34" t="s">
        <v>442</v>
      </c>
      <c r="O404" s="5"/>
      <c r="P404" s="5" t="s">
        <v>443</v>
      </c>
      <c r="Q404" s="5"/>
      <c r="R404" s="5"/>
      <c r="S404" s="5" t="s">
        <v>450</v>
      </c>
      <c r="T404" s="5" t="s">
        <v>445</v>
      </c>
      <c r="U404" s="5"/>
      <c r="V404" s="5"/>
      <c r="W404" s="5"/>
      <c r="X404" s="5"/>
      <c r="Y404" s="5"/>
      <c r="Z404" s="5"/>
      <c r="AA404" s="5"/>
    </row>
    <row r="405" spans="1:27" customFormat="1">
      <c r="A405" s="5" t="s">
        <v>443</v>
      </c>
      <c r="F405" s="36" t="s">
        <v>50</v>
      </c>
      <c r="G405" s="5" t="s">
        <v>51</v>
      </c>
      <c r="H405" s="5"/>
      <c r="I405" s="62">
        <v>0</v>
      </c>
      <c r="J405" s="62">
        <v>996.36</v>
      </c>
      <c r="K405" s="62">
        <v>1300</v>
      </c>
      <c r="L405" s="100" t="s">
        <v>441</v>
      </c>
      <c r="M405" s="5"/>
      <c r="N405" s="34" t="s">
        <v>442</v>
      </c>
      <c r="O405" s="5"/>
      <c r="P405" s="5" t="s">
        <v>443</v>
      </c>
      <c r="Q405" s="5"/>
      <c r="R405" s="5"/>
      <c r="S405" s="5" t="s">
        <v>450</v>
      </c>
      <c r="T405" s="5" t="s">
        <v>445</v>
      </c>
      <c r="U405" s="5"/>
      <c r="V405" s="5"/>
      <c r="W405" s="5"/>
      <c r="X405" s="5"/>
      <c r="Y405" s="5"/>
      <c r="Z405" s="5"/>
      <c r="AA405" s="5"/>
    </row>
    <row r="406" spans="1:27" customFormat="1">
      <c r="A406" s="5" t="s">
        <v>443</v>
      </c>
      <c r="F406" s="36" t="s">
        <v>299</v>
      </c>
      <c r="G406" s="5" t="s">
        <v>300</v>
      </c>
      <c r="H406" s="5"/>
      <c r="I406" s="62">
        <v>0</v>
      </c>
      <c r="J406" s="62">
        <v>2879</v>
      </c>
      <c r="K406" s="62">
        <v>1300</v>
      </c>
      <c r="L406" s="100" t="s">
        <v>441</v>
      </c>
      <c r="M406" s="5"/>
      <c r="N406" s="34" t="s">
        <v>442</v>
      </c>
      <c r="O406" s="5"/>
      <c r="P406" s="5" t="s">
        <v>443</v>
      </c>
      <c r="Q406" s="5"/>
      <c r="R406" s="5"/>
      <c r="S406" s="5" t="s">
        <v>450</v>
      </c>
      <c r="T406" s="5" t="s">
        <v>445</v>
      </c>
      <c r="U406" s="5"/>
      <c r="V406" s="5"/>
      <c r="W406" s="5"/>
      <c r="X406" s="5"/>
      <c r="Y406" s="5"/>
      <c r="Z406" s="5"/>
      <c r="AA406" s="5"/>
    </row>
    <row r="407" spans="1:27" customFormat="1">
      <c r="A407" s="5" t="s">
        <v>443</v>
      </c>
      <c r="F407" s="36" t="s">
        <v>82</v>
      </c>
      <c r="G407" s="5" t="s">
        <v>83</v>
      </c>
      <c r="H407" s="5"/>
      <c r="I407" s="62">
        <v>0</v>
      </c>
      <c r="J407" s="62">
        <v>4570.74</v>
      </c>
      <c r="K407" s="62">
        <v>1300</v>
      </c>
      <c r="L407" s="100" t="s">
        <v>441</v>
      </c>
      <c r="M407" s="5"/>
      <c r="N407" s="34" t="s">
        <v>442</v>
      </c>
      <c r="O407" s="5"/>
      <c r="P407" s="5" t="s">
        <v>443</v>
      </c>
      <c r="Q407" s="5"/>
      <c r="R407" s="5"/>
      <c r="S407" s="5" t="s">
        <v>450</v>
      </c>
      <c r="T407" s="5" t="s">
        <v>445</v>
      </c>
      <c r="U407" s="5"/>
      <c r="V407" s="5"/>
      <c r="W407" s="5"/>
      <c r="X407" s="5"/>
      <c r="Y407" s="5"/>
      <c r="Z407" s="5"/>
      <c r="AA407" s="5"/>
    </row>
    <row r="408" spans="1:27" customFormat="1">
      <c r="A408" s="5" t="s">
        <v>443</v>
      </c>
      <c r="F408" s="36" t="s">
        <v>301</v>
      </c>
      <c r="G408" s="5" t="s">
        <v>302</v>
      </c>
      <c r="H408" s="5"/>
      <c r="I408" s="62">
        <v>0</v>
      </c>
      <c r="J408" s="62">
        <v>5741.42</v>
      </c>
      <c r="K408" s="62">
        <v>1300</v>
      </c>
      <c r="L408" s="100" t="s">
        <v>441</v>
      </c>
      <c r="M408" s="5"/>
      <c r="N408" s="34" t="s">
        <v>442</v>
      </c>
      <c r="O408" s="5"/>
      <c r="P408" s="5" t="s">
        <v>443</v>
      </c>
      <c r="Q408" s="5"/>
      <c r="R408" s="5"/>
      <c r="S408" s="5" t="s">
        <v>450</v>
      </c>
      <c r="T408" s="5" t="s">
        <v>445</v>
      </c>
      <c r="U408" s="5"/>
      <c r="V408" s="5"/>
      <c r="W408" s="5"/>
      <c r="X408" s="5"/>
      <c r="Y408" s="5"/>
      <c r="Z408" s="5"/>
      <c r="AA408" s="5"/>
    </row>
    <row r="409" spans="1:27" customFormat="1">
      <c r="A409" s="5" t="s">
        <v>443</v>
      </c>
      <c r="F409" s="36" t="s">
        <v>84</v>
      </c>
      <c r="G409" s="5" t="s">
        <v>85</v>
      </c>
      <c r="H409" s="5"/>
      <c r="I409" s="62">
        <v>0</v>
      </c>
      <c r="J409" s="62">
        <v>15542.86</v>
      </c>
      <c r="K409" s="62">
        <v>1300</v>
      </c>
      <c r="L409" s="100" t="s">
        <v>441</v>
      </c>
      <c r="M409" s="5"/>
      <c r="N409" s="34" t="s">
        <v>442</v>
      </c>
      <c r="O409" s="5"/>
      <c r="P409" s="5" t="s">
        <v>443</v>
      </c>
      <c r="Q409" s="5"/>
      <c r="R409" s="5"/>
      <c r="S409" s="5" t="s">
        <v>450</v>
      </c>
      <c r="T409" s="5" t="s">
        <v>445</v>
      </c>
      <c r="U409" s="5"/>
      <c r="V409" s="5"/>
      <c r="W409" s="5"/>
      <c r="X409" s="5"/>
      <c r="Y409" s="5"/>
      <c r="Z409" s="5"/>
      <c r="AA409" s="5"/>
    </row>
    <row r="410" spans="1:27" customFormat="1">
      <c r="A410" s="5" t="s">
        <v>443</v>
      </c>
      <c r="F410" s="36" t="s">
        <v>446</v>
      </c>
      <c r="G410" s="5" t="s">
        <v>447</v>
      </c>
      <c r="H410" s="5"/>
      <c r="I410" s="62">
        <v>0</v>
      </c>
      <c r="J410" s="62">
        <v>42622</v>
      </c>
      <c r="K410" s="62">
        <v>1300</v>
      </c>
      <c r="L410" s="100" t="s">
        <v>441</v>
      </c>
      <c r="M410" s="5"/>
      <c r="N410" s="34" t="s">
        <v>442</v>
      </c>
      <c r="O410" s="5"/>
      <c r="P410" s="5" t="s">
        <v>443</v>
      </c>
      <c r="Q410" s="5"/>
      <c r="R410" s="5"/>
      <c r="S410" s="5" t="s">
        <v>450</v>
      </c>
      <c r="T410" s="5" t="s">
        <v>445</v>
      </c>
      <c r="U410" s="5"/>
      <c r="V410" s="5"/>
      <c r="W410" s="5"/>
      <c r="X410" s="5"/>
      <c r="Y410" s="5"/>
      <c r="Z410" s="5"/>
      <c r="AA410" s="5"/>
    </row>
    <row r="411" spans="1:27" customFormat="1">
      <c r="A411" s="5" t="s">
        <v>443</v>
      </c>
      <c r="F411" s="36" t="s">
        <v>48</v>
      </c>
      <c r="G411" s="5" t="s">
        <v>49</v>
      </c>
      <c r="H411" s="5"/>
      <c r="I411" s="62">
        <v>0</v>
      </c>
      <c r="J411" s="62">
        <v>50668.97</v>
      </c>
      <c r="K411" s="62">
        <v>1300</v>
      </c>
      <c r="L411" s="100" t="s">
        <v>441</v>
      </c>
      <c r="M411" s="5"/>
      <c r="N411" s="34" t="s">
        <v>442</v>
      </c>
      <c r="O411" s="5"/>
      <c r="P411" s="5" t="s">
        <v>443</v>
      </c>
      <c r="Q411" s="5"/>
      <c r="R411" s="5"/>
      <c r="S411" s="5" t="s">
        <v>450</v>
      </c>
      <c r="T411" s="5" t="s">
        <v>445</v>
      </c>
      <c r="U411" s="5"/>
      <c r="V411" s="5"/>
      <c r="W411" s="5"/>
      <c r="X411" s="5"/>
      <c r="Y411" s="5"/>
      <c r="Z411" s="5"/>
      <c r="AA411" s="5"/>
    </row>
    <row r="412" spans="1:27" customFormat="1">
      <c r="A412" s="5" t="s">
        <v>443</v>
      </c>
      <c r="F412" s="36" t="s">
        <v>271</v>
      </c>
      <c r="G412" s="5" t="s">
        <v>252</v>
      </c>
      <c r="H412" s="5"/>
      <c r="I412" s="62">
        <v>0</v>
      </c>
      <c r="J412" s="62">
        <v>65663.66</v>
      </c>
      <c r="K412" s="62">
        <v>1300</v>
      </c>
      <c r="L412" s="100" t="s">
        <v>441</v>
      </c>
      <c r="M412" s="5"/>
      <c r="N412" s="34" t="s">
        <v>442</v>
      </c>
      <c r="O412" s="5"/>
      <c r="P412" s="5" t="s">
        <v>443</v>
      </c>
      <c r="Q412" s="5"/>
      <c r="R412" s="5"/>
      <c r="S412" s="5" t="s">
        <v>450</v>
      </c>
      <c r="T412" s="5" t="s">
        <v>445</v>
      </c>
      <c r="U412" s="5"/>
      <c r="V412" s="5"/>
      <c r="W412" s="5"/>
      <c r="X412" s="5"/>
      <c r="Y412" s="5"/>
      <c r="Z412" s="5"/>
      <c r="AA412" s="5"/>
    </row>
    <row r="413" spans="1:27" customFormat="1">
      <c r="A413" s="5" t="s">
        <v>443</v>
      </c>
      <c r="F413" s="36" t="s">
        <v>293</v>
      </c>
      <c r="G413" s="5" t="s">
        <v>294</v>
      </c>
      <c r="H413" s="5"/>
      <c r="I413" s="62">
        <v>0</v>
      </c>
      <c r="J413" s="62">
        <v>91418.240000000005</v>
      </c>
      <c r="K413" s="62">
        <v>1300</v>
      </c>
      <c r="L413" s="100" t="s">
        <v>441</v>
      </c>
      <c r="M413" s="5"/>
      <c r="N413" s="34" t="s">
        <v>442</v>
      </c>
      <c r="O413" s="5"/>
      <c r="P413" s="5" t="s">
        <v>443</v>
      </c>
      <c r="Q413" s="5"/>
      <c r="R413" s="5"/>
      <c r="S413" s="5" t="s">
        <v>450</v>
      </c>
      <c r="T413" s="5" t="s">
        <v>445</v>
      </c>
      <c r="U413" s="5"/>
      <c r="V413" s="5"/>
      <c r="W413" s="5"/>
      <c r="X413" s="5"/>
      <c r="Y413" s="5"/>
      <c r="Z413" s="5"/>
      <c r="AA413" s="5"/>
    </row>
    <row r="415" spans="1:27" customFormat="1">
      <c r="E415" s="88"/>
      <c r="F415" s="36" t="s">
        <v>291</v>
      </c>
      <c r="G415" s="5" t="s">
        <v>292</v>
      </c>
      <c r="H415" s="5"/>
      <c r="I415" s="62">
        <v>6500000</v>
      </c>
      <c r="J415" s="62">
        <v>4744.5255474452597</v>
      </c>
      <c r="K415" s="62">
        <v>1370</v>
      </c>
      <c r="L415" s="100" t="s">
        <v>451</v>
      </c>
      <c r="M415" s="5" t="s">
        <v>452</v>
      </c>
      <c r="N415" s="34" t="s">
        <v>442</v>
      </c>
      <c r="O415" s="5" t="s">
        <v>453</v>
      </c>
      <c r="P415" s="5" t="s">
        <v>454</v>
      </c>
      <c r="Q415" s="5" t="s">
        <v>455</v>
      </c>
      <c r="R415" s="5"/>
      <c r="S415" s="5" t="s">
        <v>456</v>
      </c>
      <c r="T415" s="5" t="s">
        <v>445</v>
      </c>
      <c r="U415" s="5"/>
      <c r="V415" s="5"/>
      <c r="W415" s="5"/>
      <c r="X415" s="5"/>
      <c r="Y415" s="5"/>
      <c r="Z415" s="5"/>
      <c r="AA415" s="5"/>
    </row>
    <row r="416" spans="1:27" customFormat="1">
      <c r="E416" s="88"/>
      <c r="F416" s="36" t="s">
        <v>291</v>
      </c>
      <c r="G416" s="5" t="s">
        <v>292</v>
      </c>
      <c r="H416" s="5"/>
      <c r="I416" s="62">
        <v>3100000</v>
      </c>
      <c r="J416" s="62">
        <v>2384.6153846153802</v>
      </c>
      <c r="K416" s="62">
        <v>1300</v>
      </c>
      <c r="L416" s="100" t="s">
        <v>459</v>
      </c>
      <c r="M416" s="5" t="s">
        <v>452</v>
      </c>
      <c r="N416" s="34" t="s">
        <v>442</v>
      </c>
      <c r="O416" s="5" t="s">
        <v>460</v>
      </c>
      <c r="P416" s="5" t="s">
        <v>454</v>
      </c>
      <c r="Q416" s="5" t="s">
        <v>461</v>
      </c>
      <c r="R416" s="5"/>
      <c r="S416" s="5" t="s">
        <v>462</v>
      </c>
      <c r="T416" s="5" t="s">
        <v>445</v>
      </c>
      <c r="U416" s="5"/>
      <c r="V416" s="5"/>
      <c r="W416" s="5"/>
      <c r="X416" s="5"/>
      <c r="Y416" s="5"/>
      <c r="Z416" s="5"/>
      <c r="AA416" s="5"/>
    </row>
    <row r="417" spans="5:27" customFormat="1">
      <c r="E417" s="88"/>
      <c r="F417" s="36" t="s">
        <v>291</v>
      </c>
      <c r="G417" s="5" t="s">
        <v>292</v>
      </c>
      <c r="H417" s="5"/>
      <c r="I417" s="62">
        <v>2800000</v>
      </c>
      <c r="J417" s="62">
        <v>1971.8309859154899</v>
      </c>
      <c r="K417" s="62">
        <v>1420</v>
      </c>
      <c r="L417" s="100" t="s">
        <v>472</v>
      </c>
      <c r="M417" s="5" t="s">
        <v>452</v>
      </c>
      <c r="N417" s="34" t="s">
        <v>442</v>
      </c>
      <c r="O417" s="5" t="s">
        <v>473</v>
      </c>
      <c r="P417" s="5" t="s">
        <v>454</v>
      </c>
      <c r="Q417" s="5" t="s">
        <v>474</v>
      </c>
      <c r="R417" s="5"/>
      <c r="S417" s="5" t="s">
        <v>475</v>
      </c>
      <c r="T417" s="5" t="s">
        <v>445</v>
      </c>
      <c r="U417" s="5"/>
      <c r="V417" s="5"/>
      <c r="W417" s="5"/>
      <c r="X417" s="5"/>
      <c r="Y417" s="5"/>
      <c r="Z417" s="5"/>
      <c r="AA417" s="5"/>
    </row>
    <row r="418" spans="5:27" customFormat="1">
      <c r="E418" s="88"/>
      <c r="F418" s="36" t="s">
        <v>291</v>
      </c>
      <c r="G418" s="5" t="s">
        <v>292</v>
      </c>
      <c r="H418" s="5"/>
      <c r="I418" s="62">
        <v>200000</v>
      </c>
      <c r="J418" s="62">
        <v>141.84397163120599</v>
      </c>
      <c r="K418" s="62">
        <v>1410</v>
      </c>
      <c r="L418" s="100" t="s">
        <v>604</v>
      </c>
      <c r="M418" s="5" t="s">
        <v>452</v>
      </c>
      <c r="N418" s="34" t="s">
        <v>442</v>
      </c>
      <c r="O418" s="5" t="s">
        <v>605</v>
      </c>
      <c r="P418" s="5" t="s">
        <v>597</v>
      </c>
      <c r="Q418" s="5" t="s">
        <v>606</v>
      </c>
      <c r="R418" s="5"/>
      <c r="S418" s="5" t="s">
        <v>607</v>
      </c>
      <c r="T418" s="5" t="s">
        <v>445</v>
      </c>
      <c r="U418" s="5"/>
      <c r="V418" s="5"/>
      <c r="W418" s="5"/>
      <c r="X418" s="5"/>
      <c r="Y418" s="5"/>
      <c r="Z418" s="5"/>
      <c r="AA418" s="5"/>
    </row>
    <row r="419" spans="5:27" customFormat="1">
      <c r="E419" s="88"/>
      <c r="F419" s="36" t="s">
        <v>291</v>
      </c>
      <c r="G419" s="5" t="s">
        <v>292</v>
      </c>
      <c r="H419" s="5"/>
      <c r="I419" s="62">
        <v>3700000</v>
      </c>
      <c r="J419" s="62">
        <v>2587.4125874125898</v>
      </c>
      <c r="K419" s="62">
        <v>1430</v>
      </c>
      <c r="L419" s="100" t="s">
        <v>608</v>
      </c>
      <c r="M419" s="5" t="s">
        <v>452</v>
      </c>
      <c r="N419" s="34" t="s">
        <v>442</v>
      </c>
      <c r="O419" s="5" t="s">
        <v>609</v>
      </c>
      <c r="P419" s="5" t="s">
        <v>597</v>
      </c>
      <c r="Q419" s="5" t="s">
        <v>610</v>
      </c>
      <c r="R419" s="5"/>
      <c r="S419" s="5" t="s">
        <v>611</v>
      </c>
      <c r="T419" s="5" t="s">
        <v>445</v>
      </c>
      <c r="U419" s="5"/>
      <c r="V419" s="5"/>
      <c r="W419" s="5"/>
      <c r="X419" s="5"/>
      <c r="Y419" s="5"/>
      <c r="Z419" s="5"/>
      <c r="AA419" s="5"/>
    </row>
    <row r="420" spans="5:27" customFormat="1">
      <c r="E420" s="88"/>
      <c r="F420" s="36" t="s">
        <v>291</v>
      </c>
      <c r="G420" s="5" t="s">
        <v>292</v>
      </c>
      <c r="H420" s="5"/>
      <c r="I420" s="62">
        <v>6900000</v>
      </c>
      <c r="J420" s="62">
        <v>4928.5714285714303</v>
      </c>
      <c r="K420" s="62">
        <v>1400</v>
      </c>
      <c r="L420" s="100" t="s">
        <v>813</v>
      </c>
      <c r="M420" s="5" t="s">
        <v>452</v>
      </c>
      <c r="N420" s="34" t="s">
        <v>442</v>
      </c>
      <c r="O420" s="5" t="s">
        <v>814</v>
      </c>
      <c r="P420" s="5" t="s">
        <v>597</v>
      </c>
      <c r="Q420" s="5" t="s">
        <v>815</v>
      </c>
      <c r="R420" s="5"/>
      <c r="S420" s="5" t="s">
        <v>816</v>
      </c>
      <c r="T420" s="5" t="s">
        <v>445</v>
      </c>
      <c r="U420" s="5"/>
      <c r="V420" s="5"/>
      <c r="W420" s="5"/>
      <c r="X420" s="5"/>
      <c r="Y420" s="5"/>
      <c r="Z420" s="5"/>
      <c r="AA420" s="5"/>
    </row>
    <row r="421" spans="5:27" customFormat="1">
      <c r="E421" s="88"/>
      <c r="F421" s="36" t="s">
        <v>291</v>
      </c>
      <c r="G421" s="5" t="s">
        <v>292</v>
      </c>
      <c r="H421" s="5"/>
      <c r="I421" s="62">
        <v>5200000</v>
      </c>
      <c r="J421" s="62">
        <v>3466.6666666666702</v>
      </c>
      <c r="K421" s="62">
        <v>1500</v>
      </c>
      <c r="L421" s="100" t="s">
        <v>854</v>
      </c>
      <c r="M421" s="5" t="s">
        <v>452</v>
      </c>
      <c r="N421" s="34" t="s">
        <v>442</v>
      </c>
      <c r="O421" s="5" t="s">
        <v>855</v>
      </c>
      <c r="P421" s="5" t="s">
        <v>597</v>
      </c>
      <c r="Q421" s="5" t="s">
        <v>856</v>
      </c>
      <c r="R421" s="5"/>
      <c r="S421" s="5" t="s">
        <v>857</v>
      </c>
      <c r="T421" s="5" t="s">
        <v>445</v>
      </c>
      <c r="U421" s="5"/>
      <c r="V421" s="5"/>
      <c r="W421" s="5"/>
      <c r="X421" s="5"/>
      <c r="Y421" s="5"/>
      <c r="Z421" s="5"/>
      <c r="AA421" s="5"/>
    </row>
    <row r="422" spans="5:27" customFormat="1">
      <c r="E422" s="88"/>
      <c r="F422" s="36" t="s">
        <v>291</v>
      </c>
      <c r="G422" s="5" t="s">
        <v>292</v>
      </c>
      <c r="H422" s="5"/>
      <c r="I422" s="62">
        <v>1600000</v>
      </c>
      <c r="J422" s="62">
        <v>1095.8904109589</v>
      </c>
      <c r="K422" s="62">
        <v>1460</v>
      </c>
      <c r="L422" s="100" t="s">
        <v>914</v>
      </c>
      <c r="M422" s="5" t="s">
        <v>452</v>
      </c>
      <c r="N422" s="34" t="s">
        <v>442</v>
      </c>
      <c r="O422" s="5" t="s">
        <v>915</v>
      </c>
      <c r="P422" s="5" t="s">
        <v>597</v>
      </c>
      <c r="Q422" s="5" t="s">
        <v>916</v>
      </c>
      <c r="R422" s="5"/>
      <c r="S422" s="5" t="s">
        <v>917</v>
      </c>
      <c r="T422" s="5" t="s">
        <v>445</v>
      </c>
      <c r="U422" s="5"/>
      <c r="V422" s="5"/>
      <c r="W422" s="5"/>
      <c r="X422" s="5"/>
      <c r="Y422" s="5"/>
      <c r="Z422" s="5"/>
      <c r="AA422" s="5"/>
    </row>
    <row r="423" spans="5:27" customFormat="1">
      <c r="E423" s="88"/>
      <c r="F423" s="36" t="s">
        <v>291</v>
      </c>
      <c r="G423" s="5" t="s">
        <v>292</v>
      </c>
      <c r="H423" s="5"/>
      <c r="I423" s="62">
        <v>1000000</v>
      </c>
      <c r="J423" s="62">
        <v>684.93150684931504</v>
      </c>
      <c r="K423" s="62">
        <v>1460</v>
      </c>
      <c r="L423" s="100" t="s">
        <v>918</v>
      </c>
      <c r="M423" s="5" t="s">
        <v>452</v>
      </c>
      <c r="N423" s="34" t="s">
        <v>442</v>
      </c>
      <c r="O423" s="5" t="s">
        <v>919</v>
      </c>
      <c r="P423" s="5" t="s">
        <v>597</v>
      </c>
      <c r="Q423" s="5" t="s">
        <v>920</v>
      </c>
      <c r="R423" s="5"/>
      <c r="S423" s="5" t="s">
        <v>921</v>
      </c>
      <c r="T423" s="5" t="s">
        <v>445</v>
      </c>
      <c r="U423" s="5"/>
      <c r="V423" s="5"/>
      <c r="W423" s="5"/>
      <c r="X423" s="5"/>
      <c r="Y423" s="5"/>
      <c r="Z423" s="5"/>
      <c r="AA423" s="5"/>
    </row>
    <row r="424" spans="5:27" customFormat="1">
      <c r="E424" s="88"/>
      <c r="F424" s="36" t="s">
        <v>291</v>
      </c>
      <c r="G424" s="5" t="s">
        <v>292</v>
      </c>
      <c r="H424" s="5"/>
      <c r="I424" s="62">
        <v>1200000</v>
      </c>
      <c r="J424" s="62">
        <v>845.07042253521104</v>
      </c>
      <c r="K424" s="62">
        <v>1420</v>
      </c>
      <c r="L424" s="100" t="s">
        <v>985</v>
      </c>
      <c r="M424" s="5" t="s">
        <v>452</v>
      </c>
      <c r="N424" s="34" t="s">
        <v>442</v>
      </c>
      <c r="O424" s="5" t="s">
        <v>986</v>
      </c>
      <c r="P424" s="5" t="s">
        <v>597</v>
      </c>
      <c r="Q424" s="5" t="s">
        <v>987</v>
      </c>
      <c r="R424" s="5"/>
      <c r="S424" s="5" t="s">
        <v>988</v>
      </c>
      <c r="T424" s="5" t="s">
        <v>445</v>
      </c>
      <c r="U424" s="5"/>
      <c r="V424" s="5"/>
      <c r="W424" s="5"/>
      <c r="X424" s="5"/>
      <c r="Y424" s="5"/>
      <c r="Z424" s="5"/>
      <c r="AA424" s="5"/>
    </row>
    <row r="425" spans="5:27" customFormat="1">
      <c r="E425" s="88"/>
      <c r="F425" s="36" t="s">
        <v>291</v>
      </c>
      <c r="G425" s="5" t="s">
        <v>292</v>
      </c>
      <c r="H425" s="5"/>
      <c r="I425" s="62">
        <v>5000000</v>
      </c>
      <c r="J425" s="62">
        <v>3521.1267605633798</v>
      </c>
      <c r="K425" s="62">
        <v>1420</v>
      </c>
      <c r="L425" s="100" t="s">
        <v>989</v>
      </c>
      <c r="M425" s="5" t="s">
        <v>452</v>
      </c>
      <c r="N425" s="34" t="s">
        <v>442</v>
      </c>
      <c r="O425" s="5" t="s">
        <v>990</v>
      </c>
      <c r="P425" s="5" t="s">
        <v>597</v>
      </c>
      <c r="Q425" s="5" t="s">
        <v>991</v>
      </c>
      <c r="R425" s="5"/>
      <c r="S425" s="5" t="s">
        <v>992</v>
      </c>
      <c r="T425" s="5" t="s">
        <v>445</v>
      </c>
      <c r="U425" s="5"/>
      <c r="V425" s="5"/>
      <c r="W425" s="5"/>
      <c r="X425" s="5"/>
      <c r="Y425" s="5"/>
      <c r="Z425" s="5"/>
      <c r="AA425" s="5"/>
    </row>
    <row r="426" spans="5:27" customFormat="1">
      <c r="E426" s="88"/>
      <c r="F426" s="36" t="s">
        <v>291</v>
      </c>
      <c r="G426" s="5" t="s">
        <v>292</v>
      </c>
      <c r="H426" s="5"/>
      <c r="I426" s="62">
        <v>-2760000</v>
      </c>
      <c r="J426" s="62">
        <v>-2123.0769230769201</v>
      </c>
      <c r="K426" s="62">
        <v>1300</v>
      </c>
      <c r="L426" s="100" t="s">
        <v>451</v>
      </c>
      <c r="M426" s="5" t="s">
        <v>452</v>
      </c>
      <c r="N426" s="34" t="s">
        <v>464</v>
      </c>
      <c r="O426" s="5" t="s">
        <v>524</v>
      </c>
      <c r="P426" s="5" t="s">
        <v>454</v>
      </c>
      <c r="Q426" s="5" t="s">
        <v>525</v>
      </c>
      <c r="R426" s="5" t="s">
        <v>528</v>
      </c>
      <c r="S426" s="5" t="s">
        <v>527</v>
      </c>
      <c r="T426" s="5" t="s">
        <v>445</v>
      </c>
      <c r="U426" s="5"/>
      <c r="V426" s="5"/>
      <c r="W426" s="5"/>
      <c r="X426" s="5"/>
      <c r="Y426" s="5"/>
      <c r="Z426" s="5"/>
      <c r="AA426" s="5"/>
    </row>
    <row r="427" spans="5:27" customFormat="1">
      <c r="E427" s="88"/>
      <c r="F427" s="36" t="s">
        <v>291</v>
      </c>
      <c r="G427" s="5" t="s">
        <v>292</v>
      </c>
      <c r="H427" s="5"/>
      <c r="I427" s="62">
        <v>2760000</v>
      </c>
      <c r="J427" s="62">
        <v>2123.0769230769201</v>
      </c>
      <c r="K427" s="62">
        <v>1300</v>
      </c>
      <c r="L427" s="100" t="s">
        <v>451</v>
      </c>
      <c r="M427" s="5" t="s">
        <v>452</v>
      </c>
      <c r="N427" s="34" t="s">
        <v>464</v>
      </c>
      <c r="O427" s="5" t="s">
        <v>574</v>
      </c>
      <c r="P427" s="5" t="s">
        <v>454</v>
      </c>
      <c r="Q427" s="5" t="s">
        <v>575</v>
      </c>
      <c r="R427" s="5" t="s">
        <v>576</v>
      </c>
      <c r="S427" s="5" t="s">
        <v>577</v>
      </c>
      <c r="T427" s="5" t="s">
        <v>445</v>
      </c>
      <c r="U427" s="5"/>
      <c r="V427" s="5"/>
      <c r="W427" s="5"/>
      <c r="X427" s="5"/>
      <c r="Y427" s="5"/>
      <c r="Z427" s="5"/>
      <c r="AA427" s="5"/>
    </row>
    <row r="428" spans="5:27" customFormat="1">
      <c r="E428" s="88"/>
      <c r="F428" s="36" t="s">
        <v>291</v>
      </c>
      <c r="G428" s="5" t="s">
        <v>292</v>
      </c>
      <c r="H428" s="5"/>
      <c r="I428" s="62">
        <v>-33570</v>
      </c>
      <c r="J428" s="62">
        <v>-24.503649635036499</v>
      </c>
      <c r="K428" s="62">
        <v>1370</v>
      </c>
      <c r="L428" s="100" t="s">
        <v>451</v>
      </c>
      <c r="M428" s="5" t="s">
        <v>452</v>
      </c>
      <c r="N428" s="34" t="s">
        <v>464</v>
      </c>
      <c r="O428" s="5" t="s">
        <v>524</v>
      </c>
      <c r="P428" s="5" t="s">
        <v>454</v>
      </c>
      <c r="Q428" s="5" t="s">
        <v>525</v>
      </c>
      <c r="R428" s="5" t="s">
        <v>530</v>
      </c>
      <c r="S428" s="5" t="s">
        <v>527</v>
      </c>
      <c r="T428" s="5" t="s">
        <v>445</v>
      </c>
      <c r="U428" s="5"/>
      <c r="V428" s="5"/>
      <c r="W428" s="5"/>
      <c r="X428" s="5"/>
      <c r="Y428" s="5"/>
      <c r="Z428" s="5"/>
      <c r="AA428" s="5"/>
    </row>
    <row r="429" spans="5:27" customFormat="1">
      <c r="E429" s="88"/>
      <c r="F429" s="36" t="s">
        <v>291</v>
      </c>
      <c r="G429" s="5" t="s">
        <v>292</v>
      </c>
      <c r="H429" s="5"/>
      <c r="I429" s="62">
        <v>-1283000</v>
      </c>
      <c r="J429" s="62">
        <v>-916.42857142857099</v>
      </c>
      <c r="K429" s="62">
        <v>1400</v>
      </c>
      <c r="L429" s="100" t="s">
        <v>813</v>
      </c>
      <c r="M429" s="5" t="s">
        <v>452</v>
      </c>
      <c r="N429" s="34" t="s">
        <v>464</v>
      </c>
      <c r="O429" s="5" t="s">
        <v>817</v>
      </c>
      <c r="P429" s="5" t="s">
        <v>597</v>
      </c>
      <c r="Q429" s="5" t="s">
        <v>818</v>
      </c>
      <c r="R429" s="5" t="s">
        <v>822</v>
      </c>
      <c r="S429" s="5" t="s">
        <v>820</v>
      </c>
      <c r="T429" s="5" t="s">
        <v>445</v>
      </c>
      <c r="U429" s="5"/>
      <c r="V429" s="5"/>
      <c r="W429" s="5"/>
      <c r="X429" s="5"/>
      <c r="Y429" s="5"/>
      <c r="Z429" s="5"/>
      <c r="AA429" s="5"/>
    </row>
    <row r="430" spans="5:27" customFormat="1">
      <c r="E430" s="88"/>
      <c r="F430" s="36" t="s">
        <v>291</v>
      </c>
      <c r="G430" s="5" t="s">
        <v>292</v>
      </c>
      <c r="H430" s="5"/>
      <c r="I430" s="62">
        <v>-40500</v>
      </c>
      <c r="J430" s="62">
        <v>-29.562043795620401</v>
      </c>
      <c r="K430" s="62">
        <v>1370</v>
      </c>
      <c r="L430" s="100" t="s">
        <v>451</v>
      </c>
      <c r="M430" s="5" t="s">
        <v>452</v>
      </c>
      <c r="N430" s="34" t="s">
        <v>464</v>
      </c>
      <c r="O430" s="5" t="s">
        <v>524</v>
      </c>
      <c r="P430" s="5" t="s">
        <v>454</v>
      </c>
      <c r="Q430" s="5" t="s">
        <v>525</v>
      </c>
      <c r="R430" s="5" t="s">
        <v>529</v>
      </c>
      <c r="S430" s="5" t="s">
        <v>527</v>
      </c>
      <c r="T430" s="5" t="s">
        <v>445</v>
      </c>
      <c r="U430" s="5"/>
      <c r="V430" s="5"/>
      <c r="W430" s="5"/>
      <c r="X430" s="5"/>
      <c r="Y430" s="5"/>
      <c r="Z430" s="5"/>
      <c r="AA430" s="5"/>
    </row>
    <row r="431" spans="5:27" customFormat="1">
      <c r="E431" s="88"/>
      <c r="F431" s="36" t="s">
        <v>291</v>
      </c>
      <c r="G431" s="5" t="s">
        <v>292</v>
      </c>
      <c r="H431" s="5"/>
      <c r="I431" s="62">
        <v>-252000</v>
      </c>
      <c r="J431" s="62">
        <v>-177.464788732394</v>
      </c>
      <c r="K431" s="62">
        <v>1420</v>
      </c>
      <c r="L431" s="100" t="s">
        <v>989</v>
      </c>
      <c r="M431" s="5" t="s">
        <v>452</v>
      </c>
      <c r="N431" s="34" t="s">
        <v>464</v>
      </c>
      <c r="O431" s="5" t="s">
        <v>1075</v>
      </c>
      <c r="P431" s="5" t="s">
        <v>597</v>
      </c>
      <c r="Q431" s="5" t="s">
        <v>1076</v>
      </c>
      <c r="R431" s="5" t="s">
        <v>1079</v>
      </c>
      <c r="S431" s="5" t="s">
        <v>1078</v>
      </c>
      <c r="T431" s="5" t="s">
        <v>445</v>
      </c>
      <c r="U431" s="5"/>
      <c r="V431" s="5"/>
      <c r="W431" s="5"/>
      <c r="X431" s="5"/>
      <c r="Y431" s="5"/>
      <c r="Z431" s="5"/>
      <c r="AA431" s="5"/>
    </row>
    <row r="432" spans="5:27" customFormat="1">
      <c r="E432" s="88"/>
      <c r="F432" s="36" t="s">
        <v>291</v>
      </c>
      <c r="G432" s="5" t="s">
        <v>292</v>
      </c>
      <c r="H432" s="5"/>
      <c r="I432" s="62">
        <v>-294156</v>
      </c>
      <c r="J432" s="62">
        <v>-207.15211267605599</v>
      </c>
      <c r="K432" s="62">
        <v>1420</v>
      </c>
      <c r="L432" s="100" t="s">
        <v>1030</v>
      </c>
      <c r="M432" s="5" t="s">
        <v>452</v>
      </c>
      <c r="N432" s="34" t="s">
        <v>464</v>
      </c>
      <c r="O432" s="5" t="s">
        <v>1097</v>
      </c>
      <c r="P432" s="5" t="s">
        <v>597</v>
      </c>
      <c r="Q432" s="5" t="s">
        <v>1098</v>
      </c>
      <c r="R432" s="5" t="s">
        <v>1102</v>
      </c>
      <c r="S432" s="5" t="s">
        <v>1100</v>
      </c>
      <c r="T432" s="5" t="s">
        <v>445</v>
      </c>
      <c r="U432" s="5"/>
      <c r="V432" s="5"/>
      <c r="W432" s="5"/>
      <c r="X432" s="5"/>
      <c r="Y432" s="5"/>
      <c r="Z432" s="5"/>
      <c r="AA432" s="5"/>
    </row>
    <row r="433" spans="5:27" customFormat="1">
      <c r="E433" s="88"/>
      <c r="F433" s="36" t="s">
        <v>291</v>
      </c>
      <c r="G433" s="5" t="s">
        <v>292</v>
      </c>
      <c r="H433" s="5"/>
      <c r="I433" s="62">
        <v>-355156</v>
      </c>
      <c r="J433" s="62">
        <v>-243.25753424657501</v>
      </c>
      <c r="K433" s="62">
        <v>1460</v>
      </c>
      <c r="L433" s="100" t="s">
        <v>914</v>
      </c>
      <c r="M433" s="5" t="s">
        <v>452</v>
      </c>
      <c r="N433" s="34" t="s">
        <v>464</v>
      </c>
      <c r="O433" s="5" t="s">
        <v>946</v>
      </c>
      <c r="P433" s="5" t="s">
        <v>597</v>
      </c>
      <c r="Q433" s="5" t="s">
        <v>947</v>
      </c>
      <c r="R433" s="5" t="s">
        <v>951</v>
      </c>
      <c r="S433" s="5" t="s">
        <v>949</v>
      </c>
      <c r="T433" s="5" t="s">
        <v>445</v>
      </c>
      <c r="U433" s="5"/>
      <c r="V433" s="5"/>
      <c r="W433" s="5"/>
      <c r="X433" s="5"/>
      <c r="Y433" s="5"/>
      <c r="Z433" s="5"/>
      <c r="AA433" s="5"/>
    </row>
    <row r="434" spans="5:27" customFormat="1">
      <c r="E434" s="88"/>
      <c r="F434" s="36" t="s">
        <v>291</v>
      </c>
      <c r="G434" s="5" t="s">
        <v>292</v>
      </c>
      <c r="H434" s="5"/>
      <c r="I434" s="62">
        <v>-355156</v>
      </c>
      <c r="J434" s="62">
        <v>-248.36083916083899</v>
      </c>
      <c r="K434" s="62">
        <v>1430</v>
      </c>
      <c r="L434" s="100" t="s">
        <v>608</v>
      </c>
      <c r="M434" s="5" t="s">
        <v>452</v>
      </c>
      <c r="N434" s="34" t="s">
        <v>464</v>
      </c>
      <c r="O434" s="5" t="s">
        <v>729</v>
      </c>
      <c r="P434" s="5" t="s">
        <v>597</v>
      </c>
      <c r="Q434" s="5" t="s">
        <v>730</v>
      </c>
      <c r="R434" s="5" t="s">
        <v>734</v>
      </c>
      <c r="S434" s="5" t="s">
        <v>732</v>
      </c>
      <c r="T434" s="5" t="s">
        <v>445</v>
      </c>
      <c r="U434" s="5"/>
      <c r="V434" s="5"/>
      <c r="W434" s="5"/>
      <c r="X434" s="5"/>
      <c r="Y434" s="5"/>
      <c r="Z434" s="5"/>
      <c r="AA434" s="5"/>
    </row>
    <row r="435" spans="5:27" customFormat="1">
      <c r="E435" s="88"/>
      <c r="F435" s="36" t="s">
        <v>291</v>
      </c>
      <c r="G435" s="5" t="s">
        <v>292</v>
      </c>
      <c r="H435" s="5"/>
      <c r="I435" s="62">
        <v>-91340</v>
      </c>
      <c r="J435" s="62">
        <v>-64.323943661971796</v>
      </c>
      <c r="K435" s="62">
        <v>1420</v>
      </c>
      <c r="L435" s="100" t="s">
        <v>1030</v>
      </c>
      <c r="M435" s="5" t="s">
        <v>452</v>
      </c>
      <c r="N435" s="34" t="s">
        <v>464</v>
      </c>
      <c r="O435" s="5" t="s">
        <v>1097</v>
      </c>
      <c r="P435" s="5" t="s">
        <v>597</v>
      </c>
      <c r="Q435" s="5" t="s">
        <v>1098</v>
      </c>
      <c r="R435" s="5" t="s">
        <v>1103</v>
      </c>
      <c r="S435" s="5" t="s">
        <v>1100</v>
      </c>
      <c r="T435" s="5" t="s">
        <v>445</v>
      </c>
      <c r="U435" s="5"/>
      <c r="V435" s="5"/>
      <c r="W435" s="5"/>
      <c r="X435" s="5"/>
      <c r="Y435" s="5"/>
      <c r="Z435" s="5"/>
      <c r="AA435" s="5"/>
    </row>
    <row r="436" spans="5:27" customFormat="1">
      <c r="E436" s="88"/>
      <c r="F436" s="36" t="s">
        <v>291</v>
      </c>
      <c r="G436" s="5" t="s">
        <v>292</v>
      </c>
      <c r="H436" s="5"/>
      <c r="I436" s="62">
        <v>-2120000</v>
      </c>
      <c r="J436" s="62">
        <v>-1630.76923076923</v>
      </c>
      <c r="K436" s="62">
        <v>1300</v>
      </c>
      <c r="L436" s="100" t="s">
        <v>459</v>
      </c>
      <c r="M436" s="5" t="s">
        <v>452</v>
      </c>
      <c r="N436" s="34" t="s">
        <v>464</v>
      </c>
      <c r="O436" s="5" t="s">
        <v>492</v>
      </c>
      <c r="P436" s="5" t="s">
        <v>454</v>
      </c>
      <c r="Q436" s="5" t="s">
        <v>493</v>
      </c>
      <c r="R436" s="5" t="s">
        <v>496</v>
      </c>
      <c r="S436" s="5" t="s">
        <v>495</v>
      </c>
      <c r="T436" s="5" t="s">
        <v>445</v>
      </c>
      <c r="U436" s="5"/>
      <c r="V436" s="5"/>
      <c r="W436" s="5"/>
      <c r="X436" s="5"/>
      <c r="Y436" s="5"/>
      <c r="Z436" s="5"/>
      <c r="AA436" s="5"/>
    </row>
    <row r="437" spans="5:27" customFormat="1">
      <c r="E437" s="88"/>
      <c r="F437" s="36" t="s">
        <v>291</v>
      </c>
      <c r="G437" s="5" t="s">
        <v>292</v>
      </c>
      <c r="H437" s="5"/>
      <c r="I437" s="62">
        <v>-3085000</v>
      </c>
      <c r="J437" s="62">
        <v>-2157.34265734266</v>
      </c>
      <c r="K437" s="62">
        <v>1430</v>
      </c>
      <c r="L437" s="100" t="s">
        <v>608</v>
      </c>
      <c r="M437" s="5" t="s">
        <v>452</v>
      </c>
      <c r="N437" s="34" t="s">
        <v>464</v>
      </c>
      <c r="O437" s="5" t="s">
        <v>729</v>
      </c>
      <c r="P437" s="5" t="s">
        <v>597</v>
      </c>
      <c r="Q437" s="5" t="s">
        <v>730</v>
      </c>
      <c r="R437" s="5" t="s">
        <v>735</v>
      </c>
      <c r="S437" s="5" t="s">
        <v>732</v>
      </c>
      <c r="T437" s="5" t="s">
        <v>445</v>
      </c>
      <c r="U437" s="5"/>
      <c r="V437" s="5"/>
      <c r="W437" s="5"/>
      <c r="X437" s="5"/>
      <c r="Y437" s="5"/>
      <c r="Z437" s="5"/>
      <c r="AA437" s="5"/>
    </row>
    <row r="438" spans="5:27" customFormat="1">
      <c r="E438" s="88"/>
      <c r="F438" s="36" t="s">
        <v>291</v>
      </c>
      <c r="G438" s="5" t="s">
        <v>292</v>
      </c>
      <c r="H438" s="5"/>
      <c r="I438" s="62">
        <v>-820000</v>
      </c>
      <c r="J438" s="62">
        <v>-577.46478873239403</v>
      </c>
      <c r="K438" s="62">
        <v>1420</v>
      </c>
      <c r="L438" s="100" t="s">
        <v>985</v>
      </c>
      <c r="M438" s="5" t="s">
        <v>452</v>
      </c>
      <c r="N438" s="34" t="s">
        <v>464</v>
      </c>
      <c r="O438" s="5" t="s">
        <v>1002</v>
      </c>
      <c r="P438" s="5" t="s">
        <v>597</v>
      </c>
      <c r="Q438" s="5" t="s">
        <v>1003</v>
      </c>
      <c r="R438" s="5" t="s">
        <v>1007</v>
      </c>
      <c r="S438" s="5" t="s">
        <v>1005</v>
      </c>
      <c r="T438" s="5" t="s">
        <v>445</v>
      </c>
      <c r="U438" s="5"/>
      <c r="V438" s="5"/>
      <c r="W438" s="5"/>
      <c r="X438" s="5"/>
      <c r="Y438" s="5"/>
      <c r="Z438" s="5"/>
      <c r="AA438" s="5"/>
    </row>
    <row r="439" spans="5:27" customFormat="1">
      <c r="E439" s="88"/>
      <c r="F439" s="36" t="s">
        <v>291</v>
      </c>
      <c r="G439" s="5" t="s">
        <v>292</v>
      </c>
      <c r="H439" s="5"/>
      <c r="I439" s="62">
        <v>-4330000</v>
      </c>
      <c r="J439" s="62">
        <v>-3049.2957746478901</v>
      </c>
      <c r="K439" s="62">
        <v>1420</v>
      </c>
      <c r="L439" s="100" t="s">
        <v>989</v>
      </c>
      <c r="M439" s="5" t="s">
        <v>452</v>
      </c>
      <c r="N439" s="34" t="s">
        <v>464</v>
      </c>
      <c r="O439" s="5" t="s">
        <v>1075</v>
      </c>
      <c r="P439" s="5" t="s">
        <v>597</v>
      </c>
      <c r="Q439" s="5" t="s">
        <v>1076</v>
      </c>
      <c r="R439" s="5" t="s">
        <v>1081</v>
      </c>
      <c r="S439" s="5" t="s">
        <v>1078</v>
      </c>
      <c r="T439" s="5" t="s">
        <v>445</v>
      </c>
      <c r="U439" s="5"/>
      <c r="V439" s="5"/>
      <c r="W439" s="5"/>
      <c r="X439" s="5"/>
      <c r="Y439" s="5"/>
      <c r="Z439" s="5"/>
      <c r="AA439" s="5"/>
    </row>
    <row r="440" spans="5:27" customFormat="1">
      <c r="E440" s="88"/>
      <c r="F440" s="36" t="s">
        <v>291</v>
      </c>
      <c r="G440" s="5" t="s">
        <v>292</v>
      </c>
      <c r="H440" s="5"/>
      <c r="I440" s="62">
        <v>-6410000</v>
      </c>
      <c r="J440" s="62">
        <v>-4678.8321167883196</v>
      </c>
      <c r="K440" s="62">
        <v>1370</v>
      </c>
      <c r="L440" s="100" t="s">
        <v>451</v>
      </c>
      <c r="M440" s="5" t="s">
        <v>452</v>
      </c>
      <c r="N440" s="34" t="s">
        <v>464</v>
      </c>
      <c r="O440" s="5" t="s">
        <v>524</v>
      </c>
      <c r="P440" s="5" t="s">
        <v>454</v>
      </c>
      <c r="Q440" s="5" t="s">
        <v>525</v>
      </c>
      <c r="R440" s="5" t="s">
        <v>532</v>
      </c>
      <c r="S440" s="5" t="s">
        <v>527</v>
      </c>
      <c r="T440" s="5" t="s">
        <v>445</v>
      </c>
      <c r="U440" s="5"/>
      <c r="V440" s="5"/>
      <c r="W440" s="5"/>
      <c r="X440" s="5"/>
      <c r="Y440" s="5"/>
      <c r="Z440" s="5"/>
      <c r="AA440" s="5"/>
    </row>
    <row r="441" spans="5:27" customFormat="1">
      <c r="E441" s="88"/>
      <c r="F441" s="36" t="s">
        <v>291</v>
      </c>
      <c r="G441" s="5" t="s">
        <v>292</v>
      </c>
      <c r="H441" s="5"/>
      <c r="I441" s="62">
        <v>-80000</v>
      </c>
      <c r="J441" s="62">
        <v>-56.338028169014102</v>
      </c>
      <c r="K441" s="62">
        <v>1420</v>
      </c>
      <c r="L441" s="100" t="s">
        <v>1030</v>
      </c>
      <c r="M441" s="5" t="s">
        <v>452</v>
      </c>
      <c r="N441" s="34" t="s">
        <v>464</v>
      </c>
      <c r="O441" s="5" t="s">
        <v>1097</v>
      </c>
      <c r="P441" s="5" t="s">
        <v>597</v>
      </c>
      <c r="Q441" s="5" t="s">
        <v>1098</v>
      </c>
      <c r="R441" s="5" t="s">
        <v>1099</v>
      </c>
      <c r="S441" s="5" t="s">
        <v>1100</v>
      </c>
      <c r="T441" s="5" t="s">
        <v>445</v>
      </c>
      <c r="U441" s="5"/>
      <c r="V441" s="5"/>
      <c r="W441" s="5"/>
      <c r="X441" s="5"/>
      <c r="Y441" s="5"/>
      <c r="Z441" s="5"/>
      <c r="AA441" s="5"/>
    </row>
    <row r="442" spans="5:27" customFormat="1">
      <c r="E442" s="88"/>
      <c r="F442" s="36" t="s">
        <v>291</v>
      </c>
      <c r="G442" s="5" t="s">
        <v>292</v>
      </c>
      <c r="H442" s="5"/>
      <c r="I442" s="62">
        <v>-93000</v>
      </c>
      <c r="J442" s="62">
        <v>-63.698630136986303</v>
      </c>
      <c r="K442" s="62">
        <v>1460</v>
      </c>
      <c r="L442" s="100" t="s">
        <v>914</v>
      </c>
      <c r="M442" s="5" t="s">
        <v>452</v>
      </c>
      <c r="N442" s="34" t="s">
        <v>464</v>
      </c>
      <c r="O442" s="5" t="s">
        <v>946</v>
      </c>
      <c r="P442" s="5" t="s">
        <v>597</v>
      </c>
      <c r="Q442" s="5" t="s">
        <v>947</v>
      </c>
      <c r="R442" s="5" t="s">
        <v>948</v>
      </c>
      <c r="S442" s="5" t="s">
        <v>949</v>
      </c>
      <c r="T442" s="5" t="s">
        <v>445</v>
      </c>
      <c r="U442" s="5"/>
      <c r="V442" s="5"/>
      <c r="W442" s="5"/>
      <c r="X442" s="5"/>
      <c r="Y442" s="5"/>
      <c r="Z442" s="5"/>
      <c r="AA442" s="5"/>
    </row>
    <row r="443" spans="5:27" customFormat="1">
      <c r="E443" s="88"/>
      <c r="F443" s="36" t="s">
        <v>291</v>
      </c>
      <c r="G443" s="5" t="s">
        <v>292</v>
      </c>
      <c r="H443" s="5"/>
      <c r="I443" s="62">
        <v>-800000</v>
      </c>
      <c r="J443" s="62">
        <v>-533.33333333333303</v>
      </c>
      <c r="K443" s="62">
        <v>1500</v>
      </c>
      <c r="L443" s="100" t="s">
        <v>854</v>
      </c>
      <c r="M443" s="5" t="s">
        <v>452</v>
      </c>
      <c r="N443" s="34" t="s">
        <v>464</v>
      </c>
      <c r="O443" s="5" t="s">
        <v>870</v>
      </c>
      <c r="P443" s="5" t="s">
        <v>597</v>
      </c>
      <c r="Q443" s="5" t="s">
        <v>871</v>
      </c>
      <c r="R443" s="5" t="s">
        <v>877</v>
      </c>
      <c r="S443" s="5" t="s">
        <v>873</v>
      </c>
      <c r="T443" s="5" t="s">
        <v>445</v>
      </c>
      <c r="U443" s="5"/>
      <c r="V443" s="5"/>
      <c r="W443" s="5"/>
      <c r="X443" s="5"/>
      <c r="Y443" s="5"/>
      <c r="Z443" s="5"/>
      <c r="AA443" s="5"/>
    </row>
    <row r="444" spans="5:27" customFormat="1">
      <c r="E444" s="88"/>
      <c r="F444" s="36" t="s">
        <v>291</v>
      </c>
      <c r="G444" s="5" t="s">
        <v>292</v>
      </c>
      <c r="H444" s="5"/>
      <c r="I444" s="62">
        <v>-84216</v>
      </c>
      <c r="J444" s="62">
        <v>-64.781538461538503</v>
      </c>
      <c r="K444" s="62">
        <v>1300</v>
      </c>
      <c r="L444" s="100" t="s">
        <v>459</v>
      </c>
      <c r="M444" s="5" t="s">
        <v>452</v>
      </c>
      <c r="N444" s="34" t="s">
        <v>464</v>
      </c>
      <c r="O444" s="5" t="s">
        <v>492</v>
      </c>
      <c r="P444" s="5" t="s">
        <v>454</v>
      </c>
      <c r="Q444" s="5" t="s">
        <v>493</v>
      </c>
      <c r="R444" s="5" t="s">
        <v>499</v>
      </c>
      <c r="S444" s="5" t="s">
        <v>495</v>
      </c>
      <c r="T444" s="5" t="s">
        <v>445</v>
      </c>
      <c r="U444" s="5"/>
      <c r="V444" s="5"/>
      <c r="W444" s="5"/>
      <c r="X444" s="5"/>
      <c r="Y444" s="5"/>
      <c r="Z444" s="5"/>
      <c r="AA444" s="5"/>
    </row>
    <row r="445" spans="5:27" customFormat="1">
      <c r="E445" s="88"/>
      <c r="F445" s="36" t="s">
        <v>291</v>
      </c>
      <c r="G445" s="5" t="s">
        <v>292</v>
      </c>
      <c r="H445" s="5"/>
      <c r="I445" s="62">
        <v>-159600</v>
      </c>
      <c r="J445" s="62">
        <v>-109.315068493151</v>
      </c>
      <c r="K445" s="62">
        <v>1460</v>
      </c>
      <c r="L445" s="100" t="s">
        <v>985</v>
      </c>
      <c r="M445" s="5" t="s">
        <v>452</v>
      </c>
      <c r="N445" s="34" t="s">
        <v>464</v>
      </c>
      <c r="O445" s="5" t="s">
        <v>1002</v>
      </c>
      <c r="P445" s="5" t="s">
        <v>597</v>
      </c>
      <c r="Q445" s="5" t="s">
        <v>1003</v>
      </c>
      <c r="R445" s="5" t="s">
        <v>1006</v>
      </c>
      <c r="S445" s="5" t="s">
        <v>1005</v>
      </c>
      <c r="T445" s="5" t="s">
        <v>445</v>
      </c>
      <c r="U445" s="5"/>
      <c r="V445" s="5"/>
      <c r="W445" s="5"/>
      <c r="X445" s="5"/>
      <c r="Y445" s="5"/>
      <c r="Z445" s="5"/>
      <c r="AA445" s="5"/>
    </row>
    <row r="446" spans="5:27" customFormat="1">
      <c r="E446" s="88"/>
      <c r="F446" s="36" t="s">
        <v>291</v>
      </c>
      <c r="G446" s="5" t="s">
        <v>292</v>
      </c>
      <c r="H446" s="5"/>
      <c r="I446" s="62">
        <v>-89900</v>
      </c>
      <c r="J446" s="62">
        <v>-64.214285714285694</v>
      </c>
      <c r="K446" s="62">
        <v>1400</v>
      </c>
      <c r="L446" s="100" t="s">
        <v>854</v>
      </c>
      <c r="M446" s="5" t="s">
        <v>452</v>
      </c>
      <c r="N446" s="34" t="s">
        <v>464</v>
      </c>
      <c r="O446" s="5" t="s">
        <v>870</v>
      </c>
      <c r="P446" s="5" t="s">
        <v>597</v>
      </c>
      <c r="Q446" s="5" t="s">
        <v>871</v>
      </c>
      <c r="R446" s="5" t="s">
        <v>872</v>
      </c>
      <c r="S446" s="5" t="s">
        <v>873</v>
      </c>
      <c r="T446" s="5" t="s">
        <v>445</v>
      </c>
      <c r="U446" s="5"/>
      <c r="V446" s="5"/>
      <c r="W446" s="5"/>
      <c r="X446" s="5"/>
      <c r="Y446" s="5"/>
      <c r="Z446" s="5"/>
      <c r="AA446" s="5"/>
    </row>
    <row r="447" spans="5:27" customFormat="1">
      <c r="E447" s="88"/>
      <c r="F447" s="36" t="s">
        <v>291</v>
      </c>
      <c r="G447" s="5" t="s">
        <v>292</v>
      </c>
      <c r="H447" s="5"/>
      <c r="I447" s="62">
        <v>-708761</v>
      </c>
      <c r="J447" s="62">
        <v>-506.25785714285701</v>
      </c>
      <c r="K447" s="62">
        <v>1400</v>
      </c>
      <c r="L447" s="100" t="s">
        <v>813</v>
      </c>
      <c r="M447" s="5" t="s">
        <v>452</v>
      </c>
      <c r="N447" s="34" t="s">
        <v>464</v>
      </c>
      <c r="O447" s="5" t="s">
        <v>817</v>
      </c>
      <c r="P447" s="5" t="s">
        <v>597</v>
      </c>
      <c r="Q447" s="5" t="s">
        <v>818</v>
      </c>
      <c r="R447" s="5" t="s">
        <v>826</v>
      </c>
      <c r="S447" s="5" t="s">
        <v>820</v>
      </c>
      <c r="T447" s="5" t="s">
        <v>445</v>
      </c>
      <c r="U447" s="5"/>
      <c r="V447" s="5"/>
      <c r="W447" s="5"/>
      <c r="X447" s="5"/>
      <c r="Y447" s="5"/>
      <c r="Z447" s="5"/>
      <c r="AA447" s="5"/>
    </row>
    <row r="448" spans="5:27" customFormat="1">
      <c r="E448" s="88"/>
      <c r="F448" s="36" t="s">
        <v>291</v>
      </c>
      <c r="G448" s="5" t="s">
        <v>292</v>
      </c>
      <c r="H448" s="5"/>
      <c r="I448" s="62">
        <v>-342258</v>
      </c>
      <c r="J448" s="62">
        <v>-228.172</v>
      </c>
      <c r="K448" s="62">
        <v>1500</v>
      </c>
      <c r="L448" s="100" t="s">
        <v>914</v>
      </c>
      <c r="M448" s="5" t="s">
        <v>452</v>
      </c>
      <c r="N448" s="34" t="s">
        <v>464</v>
      </c>
      <c r="O448" s="5" t="s">
        <v>935</v>
      </c>
      <c r="P448" s="5" t="s">
        <v>597</v>
      </c>
      <c r="Q448" s="5" t="s">
        <v>936</v>
      </c>
      <c r="R448" s="5" t="s">
        <v>937</v>
      </c>
      <c r="S448" s="5" t="s">
        <v>938</v>
      </c>
      <c r="T448" s="5" t="s">
        <v>445</v>
      </c>
      <c r="U448" s="5"/>
      <c r="V448" s="5"/>
      <c r="W448" s="5"/>
      <c r="X448" s="5"/>
      <c r="Y448" s="5"/>
      <c r="Z448" s="5"/>
      <c r="AA448" s="5"/>
    </row>
    <row r="449" spans="5:27" customFormat="1">
      <c r="E449" s="88"/>
      <c r="F449" s="36" t="s">
        <v>291</v>
      </c>
      <c r="G449" s="5" t="s">
        <v>292</v>
      </c>
      <c r="H449" s="5"/>
      <c r="I449" s="62">
        <v>-510348</v>
      </c>
      <c r="J449" s="62">
        <v>-364.534285714286</v>
      </c>
      <c r="K449" s="62">
        <v>1400</v>
      </c>
      <c r="L449" s="100" t="s">
        <v>813</v>
      </c>
      <c r="M449" s="5" t="s">
        <v>452</v>
      </c>
      <c r="N449" s="34" t="s">
        <v>464</v>
      </c>
      <c r="O449" s="5" t="s">
        <v>817</v>
      </c>
      <c r="P449" s="5" t="s">
        <v>597</v>
      </c>
      <c r="Q449" s="5" t="s">
        <v>818</v>
      </c>
      <c r="R449" s="5" t="s">
        <v>823</v>
      </c>
      <c r="S449" s="5" t="s">
        <v>820</v>
      </c>
      <c r="T449" s="5" t="s">
        <v>445</v>
      </c>
      <c r="U449" s="5"/>
      <c r="V449" s="5"/>
      <c r="W449" s="5"/>
      <c r="X449" s="5"/>
      <c r="Y449" s="5"/>
      <c r="Z449" s="5"/>
      <c r="AA449" s="5"/>
    </row>
    <row r="450" spans="5:27" customFormat="1">
      <c r="E450" s="88"/>
      <c r="F450" s="36" t="s">
        <v>291</v>
      </c>
      <c r="G450" s="5" t="s">
        <v>292</v>
      </c>
      <c r="H450" s="5"/>
      <c r="I450" s="62">
        <v>-126452</v>
      </c>
      <c r="J450" s="62">
        <v>-84.301333333333304</v>
      </c>
      <c r="K450" s="62">
        <v>1500</v>
      </c>
      <c r="L450" s="100" t="s">
        <v>914</v>
      </c>
      <c r="M450" s="5" t="s">
        <v>452</v>
      </c>
      <c r="N450" s="34" t="s">
        <v>464</v>
      </c>
      <c r="O450" s="5" t="s">
        <v>935</v>
      </c>
      <c r="P450" s="5" t="s">
        <v>597</v>
      </c>
      <c r="Q450" s="5" t="s">
        <v>936</v>
      </c>
      <c r="R450" s="5" t="s">
        <v>945</v>
      </c>
      <c r="S450" s="5" t="s">
        <v>938</v>
      </c>
      <c r="T450" s="5" t="s">
        <v>445</v>
      </c>
      <c r="U450" s="5"/>
      <c r="V450" s="5"/>
      <c r="W450" s="5"/>
      <c r="X450" s="5"/>
      <c r="Y450" s="5"/>
      <c r="Z450" s="5"/>
      <c r="AA450" s="5"/>
    </row>
    <row r="451" spans="5:27" customFormat="1">
      <c r="E451" s="88"/>
      <c r="F451" s="36" t="s">
        <v>291</v>
      </c>
      <c r="G451" s="5" t="s">
        <v>292</v>
      </c>
      <c r="H451" s="5"/>
      <c r="I451" s="62">
        <v>-7384.62</v>
      </c>
      <c r="J451" s="62">
        <v>-5.3902335766423404</v>
      </c>
      <c r="K451" s="62">
        <v>1370</v>
      </c>
      <c r="L451" s="100" t="s">
        <v>451</v>
      </c>
      <c r="M451" s="5" t="s">
        <v>452</v>
      </c>
      <c r="N451" s="34" t="s">
        <v>464</v>
      </c>
      <c r="O451" s="5" t="s">
        <v>524</v>
      </c>
      <c r="P451" s="5" t="s">
        <v>454</v>
      </c>
      <c r="Q451" s="5" t="s">
        <v>525</v>
      </c>
      <c r="R451" s="5" t="s">
        <v>526</v>
      </c>
      <c r="S451" s="5" t="s">
        <v>527</v>
      </c>
      <c r="T451" s="5" t="s">
        <v>445</v>
      </c>
      <c r="U451" s="5"/>
      <c r="V451" s="5"/>
      <c r="W451" s="5"/>
      <c r="X451" s="5"/>
      <c r="Y451" s="5"/>
      <c r="Z451" s="5"/>
      <c r="AA451" s="5"/>
    </row>
    <row r="452" spans="5:27" customFormat="1">
      <c r="E452" s="88"/>
      <c r="F452" s="36" t="s">
        <v>291</v>
      </c>
      <c r="G452" s="5" t="s">
        <v>292</v>
      </c>
      <c r="H452" s="5"/>
      <c r="I452" s="62">
        <v>-964079</v>
      </c>
      <c r="J452" s="62">
        <v>-688.62785714285701</v>
      </c>
      <c r="K452" s="62">
        <v>1400</v>
      </c>
      <c r="L452" s="100" t="s">
        <v>813</v>
      </c>
      <c r="M452" s="5" t="s">
        <v>452</v>
      </c>
      <c r="N452" s="34" t="s">
        <v>464</v>
      </c>
      <c r="O452" s="5" t="s">
        <v>817</v>
      </c>
      <c r="P452" s="5" t="s">
        <v>597</v>
      </c>
      <c r="Q452" s="5" t="s">
        <v>818</v>
      </c>
      <c r="R452" s="5" t="s">
        <v>824</v>
      </c>
      <c r="S452" s="5" t="s">
        <v>820</v>
      </c>
      <c r="T452" s="5" t="s">
        <v>445</v>
      </c>
      <c r="U452" s="5"/>
      <c r="V452" s="5"/>
      <c r="W452" s="5"/>
      <c r="X452" s="5"/>
      <c r="Y452" s="5"/>
      <c r="Z452" s="5"/>
      <c r="AA452" s="5"/>
    </row>
    <row r="453" spans="5:27" customFormat="1">
      <c r="E453" s="88"/>
      <c r="F453" s="36" t="s">
        <v>291</v>
      </c>
      <c r="G453" s="5" t="s">
        <v>292</v>
      </c>
      <c r="H453" s="5"/>
      <c r="I453" s="62">
        <v>-200000</v>
      </c>
      <c r="J453" s="62">
        <v>-136.98630136986301</v>
      </c>
      <c r="K453" s="62">
        <v>1460</v>
      </c>
      <c r="L453" s="100" t="s">
        <v>914</v>
      </c>
      <c r="M453" s="5" t="s">
        <v>452</v>
      </c>
      <c r="N453" s="34" t="s">
        <v>464</v>
      </c>
      <c r="O453" s="5" t="s">
        <v>935</v>
      </c>
      <c r="P453" s="5" t="s">
        <v>597</v>
      </c>
      <c r="Q453" s="5" t="s">
        <v>936</v>
      </c>
      <c r="R453" s="5" t="s">
        <v>944</v>
      </c>
      <c r="S453" s="5" t="s">
        <v>938</v>
      </c>
      <c r="T453" s="5" t="s">
        <v>445</v>
      </c>
      <c r="U453" s="5"/>
      <c r="V453" s="5"/>
      <c r="W453" s="5"/>
      <c r="X453" s="5"/>
      <c r="Y453" s="5"/>
      <c r="Z453" s="5"/>
      <c r="AA453" s="5"/>
    </row>
    <row r="454" spans="5:27" customFormat="1">
      <c r="E454" s="88"/>
      <c r="F454" s="36" t="s">
        <v>291</v>
      </c>
      <c r="G454" s="5" t="s">
        <v>292</v>
      </c>
      <c r="H454" s="5"/>
      <c r="I454" s="62">
        <v>-893650</v>
      </c>
      <c r="J454" s="62">
        <v>-629.33098591549299</v>
      </c>
      <c r="K454" s="62">
        <v>1420</v>
      </c>
      <c r="L454" s="100" t="s">
        <v>472</v>
      </c>
      <c r="M454" s="5" t="s">
        <v>452</v>
      </c>
      <c r="N454" s="34" t="s">
        <v>464</v>
      </c>
      <c r="O454" s="5" t="s">
        <v>544</v>
      </c>
      <c r="P454" s="5" t="s">
        <v>454</v>
      </c>
      <c r="Q454" s="5" t="s">
        <v>545</v>
      </c>
      <c r="R454" s="5" t="s">
        <v>546</v>
      </c>
      <c r="S454" s="5" t="s">
        <v>547</v>
      </c>
      <c r="T454" s="5" t="s">
        <v>445</v>
      </c>
      <c r="U454" s="5"/>
      <c r="V454" s="5"/>
      <c r="W454" s="5"/>
      <c r="X454" s="5"/>
      <c r="Y454" s="5"/>
      <c r="Z454" s="5"/>
      <c r="AA454" s="5"/>
    </row>
    <row r="455" spans="5:27" customFormat="1">
      <c r="E455" s="88"/>
      <c r="F455" s="36" t="s">
        <v>291</v>
      </c>
      <c r="G455" s="5" t="s">
        <v>292</v>
      </c>
      <c r="H455" s="5"/>
      <c r="I455" s="62">
        <v>-120000</v>
      </c>
      <c r="J455" s="62">
        <v>-82.191780821917803</v>
      </c>
      <c r="K455" s="62">
        <v>1460</v>
      </c>
      <c r="L455" s="100" t="s">
        <v>914</v>
      </c>
      <c r="M455" s="5" t="s">
        <v>452</v>
      </c>
      <c r="N455" s="34" t="s">
        <v>464</v>
      </c>
      <c r="O455" s="5" t="s">
        <v>935</v>
      </c>
      <c r="P455" s="5" t="s">
        <v>597</v>
      </c>
      <c r="Q455" s="5" t="s">
        <v>936</v>
      </c>
      <c r="R455" s="5" t="s">
        <v>942</v>
      </c>
      <c r="S455" s="5" t="s">
        <v>938</v>
      </c>
      <c r="T455" s="5" t="s">
        <v>445</v>
      </c>
      <c r="U455" s="5"/>
      <c r="V455" s="5"/>
      <c r="W455" s="5"/>
      <c r="X455" s="5"/>
      <c r="Y455" s="5"/>
      <c r="Z455" s="5"/>
      <c r="AA455" s="5"/>
    </row>
    <row r="456" spans="5:27" customFormat="1">
      <c r="E456" s="88"/>
      <c r="F456" s="36" t="s">
        <v>291</v>
      </c>
      <c r="G456" s="5" t="s">
        <v>292</v>
      </c>
      <c r="H456" s="5"/>
      <c r="I456" s="62">
        <v>-328900</v>
      </c>
      <c r="J456" s="62">
        <v>-231.619718309859</v>
      </c>
      <c r="K456" s="62">
        <v>1420</v>
      </c>
      <c r="L456" s="100" t="s">
        <v>989</v>
      </c>
      <c r="M456" s="5" t="s">
        <v>452</v>
      </c>
      <c r="N456" s="34" t="s">
        <v>464</v>
      </c>
      <c r="O456" s="5" t="s">
        <v>1075</v>
      </c>
      <c r="P456" s="5" t="s">
        <v>597</v>
      </c>
      <c r="Q456" s="5" t="s">
        <v>1076</v>
      </c>
      <c r="R456" s="5" t="s">
        <v>1077</v>
      </c>
      <c r="S456" s="5" t="s">
        <v>1078</v>
      </c>
      <c r="T456" s="5" t="s">
        <v>445</v>
      </c>
      <c r="U456" s="5"/>
      <c r="V456" s="5"/>
      <c r="W456" s="5"/>
      <c r="X456" s="5"/>
      <c r="Y456" s="5"/>
      <c r="Z456" s="5"/>
      <c r="AA456" s="5"/>
    </row>
    <row r="457" spans="5:27" customFormat="1">
      <c r="E457" s="88"/>
      <c r="F457" s="36" t="s">
        <v>291</v>
      </c>
      <c r="G457" s="5" t="s">
        <v>292</v>
      </c>
      <c r="H457" s="5"/>
      <c r="I457" s="62">
        <v>-22400</v>
      </c>
      <c r="J457" s="62">
        <v>-16.350364963503701</v>
      </c>
      <c r="K457" s="62">
        <v>1370</v>
      </c>
      <c r="L457" s="100" t="s">
        <v>451</v>
      </c>
      <c r="M457" s="5" t="s">
        <v>452</v>
      </c>
      <c r="N457" s="34" t="s">
        <v>464</v>
      </c>
      <c r="O457" s="5" t="s">
        <v>524</v>
      </c>
      <c r="P457" s="5" t="s">
        <v>454</v>
      </c>
      <c r="Q457" s="5" t="s">
        <v>525</v>
      </c>
      <c r="R457" s="5" t="s">
        <v>531</v>
      </c>
      <c r="S457" s="5" t="s">
        <v>527</v>
      </c>
      <c r="T457" s="5" t="s">
        <v>445</v>
      </c>
      <c r="U457" s="5"/>
      <c r="V457" s="5"/>
      <c r="W457" s="5"/>
      <c r="X457" s="5"/>
      <c r="Y457" s="5"/>
      <c r="Z457" s="5"/>
      <c r="AA457" s="5"/>
    </row>
    <row r="458" spans="5:27" customFormat="1">
      <c r="E458" s="88"/>
      <c r="F458" s="36" t="s">
        <v>291</v>
      </c>
      <c r="G458" s="5" t="s">
        <v>292</v>
      </c>
      <c r="H458" s="5"/>
      <c r="I458" s="62">
        <v>-9832.5</v>
      </c>
      <c r="J458" s="62">
        <v>-6.9242957746478897</v>
      </c>
      <c r="K458" s="62">
        <v>1420</v>
      </c>
      <c r="L458" s="100" t="s">
        <v>472</v>
      </c>
      <c r="M458" s="5" t="s">
        <v>452</v>
      </c>
      <c r="N458" s="34" t="s">
        <v>464</v>
      </c>
      <c r="O458" s="5" t="s">
        <v>544</v>
      </c>
      <c r="P458" s="5" t="s">
        <v>454</v>
      </c>
      <c r="Q458" s="5" t="s">
        <v>545</v>
      </c>
      <c r="R458" s="5" t="s">
        <v>548</v>
      </c>
      <c r="S458" s="5" t="s">
        <v>547</v>
      </c>
      <c r="T458" s="5" t="s">
        <v>445</v>
      </c>
      <c r="U458" s="5"/>
      <c r="V458" s="5"/>
      <c r="W458" s="5"/>
      <c r="X458" s="5"/>
      <c r="Y458" s="5"/>
      <c r="Z458" s="5"/>
      <c r="AA458" s="5"/>
    </row>
    <row r="459" spans="5:27" customFormat="1">
      <c r="E459" s="88"/>
      <c r="F459" s="36" t="s">
        <v>291</v>
      </c>
      <c r="G459" s="5" t="s">
        <v>292</v>
      </c>
      <c r="H459" s="5"/>
      <c r="I459" s="62">
        <v>-28000</v>
      </c>
      <c r="J459" s="62">
        <v>-19.580419580419601</v>
      </c>
      <c r="K459" s="62">
        <v>1430</v>
      </c>
      <c r="L459" s="100" t="s">
        <v>608</v>
      </c>
      <c r="M459" s="5" t="s">
        <v>452</v>
      </c>
      <c r="N459" s="34" t="s">
        <v>464</v>
      </c>
      <c r="O459" s="5" t="s">
        <v>729</v>
      </c>
      <c r="P459" s="5" t="s">
        <v>597</v>
      </c>
      <c r="Q459" s="5" t="s">
        <v>730</v>
      </c>
      <c r="R459" s="5" t="s">
        <v>733</v>
      </c>
      <c r="S459" s="5" t="s">
        <v>732</v>
      </c>
      <c r="T459" s="5" t="s">
        <v>445</v>
      </c>
      <c r="U459" s="5"/>
      <c r="V459" s="5"/>
      <c r="W459" s="5"/>
      <c r="X459" s="5"/>
      <c r="Y459" s="5"/>
      <c r="Z459" s="5"/>
      <c r="AA459" s="5"/>
    </row>
    <row r="460" spans="5:27" customFormat="1">
      <c r="E460" s="88"/>
      <c r="F460" s="36" t="s">
        <v>291</v>
      </c>
      <c r="G460" s="5" t="s">
        <v>292</v>
      </c>
      <c r="H460" s="5"/>
      <c r="I460" s="62">
        <v>-150000</v>
      </c>
      <c r="J460" s="62">
        <v>-102.739726027397</v>
      </c>
      <c r="K460" s="62">
        <v>1460</v>
      </c>
      <c r="L460" s="100" t="s">
        <v>914</v>
      </c>
      <c r="M460" s="5" t="s">
        <v>452</v>
      </c>
      <c r="N460" s="34" t="s">
        <v>464</v>
      </c>
      <c r="O460" s="5" t="s">
        <v>935</v>
      </c>
      <c r="P460" s="5" t="s">
        <v>597</v>
      </c>
      <c r="Q460" s="5" t="s">
        <v>936</v>
      </c>
      <c r="R460" s="5" t="s">
        <v>941</v>
      </c>
      <c r="S460" s="5" t="s">
        <v>938</v>
      </c>
      <c r="T460" s="5" t="s">
        <v>445</v>
      </c>
      <c r="U460" s="5"/>
      <c r="V460" s="5"/>
      <c r="W460" s="5"/>
      <c r="X460" s="5"/>
      <c r="Y460" s="5"/>
      <c r="Z460" s="5"/>
      <c r="AA460" s="5"/>
    </row>
    <row r="461" spans="5:27" customFormat="1">
      <c r="E461" s="88"/>
      <c r="F461" s="36" t="s">
        <v>291</v>
      </c>
      <c r="G461" s="5" t="s">
        <v>292</v>
      </c>
      <c r="H461" s="5"/>
      <c r="I461" s="62">
        <v>-3433.9</v>
      </c>
      <c r="J461" s="62">
        <v>-2.4704316546762599</v>
      </c>
      <c r="K461" s="62">
        <v>1390</v>
      </c>
      <c r="L461" s="100" t="s">
        <v>623</v>
      </c>
      <c r="M461" s="5" t="s">
        <v>452</v>
      </c>
      <c r="N461" s="34" t="s">
        <v>464</v>
      </c>
      <c r="O461" s="5" t="s">
        <v>624</v>
      </c>
      <c r="P461" s="5" t="s">
        <v>597</v>
      </c>
      <c r="Q461" s="5" t="s">
        <v>625</v>
      </c>
      <c r="R461" s="5" t="s">
        <v>626</v>
      </c>
      <c r="S461" s="5" t="s">
        <v>627</v>
      </c>
      <c r="T461" s="5" t="s">
        <v>445</v>
      </c>
      <c r="U461" s="5"/>
      <c r="V461" s="5"/>
      <c r="W461" s="5"/>
      <c r="X461" s="5"/>
      <c r="Y461" s="5"/>
      <c r="Z461" s="5"/>
      <c r="AA461" s="5"/>
    </row>
    <row r="462" spans="5:27" customFormat="1">
      <c r="E462" s="88"/>
      <c r="F462" s="36" t="s">
        <v>291</v>
      </c>
      <c r="G462" s="5" t="s">
        <v>292</v>
      </c>
      <c r="H462" s="5"/>
      <c r="I462" s="62">
        <v>-42000</v>
      </c>
      <c r="J462" s="62">
        <v>-30</v>
      </c>
      <c r="K462" s="62">
        <v>1400</v>
      </c>
      <c r="L462" s="100" t="s">
        <v>813</v>
      </c>
      <c r="M462" s="5" t="s">
        <v>452</v>
      </c>
      <c r="N462" s="34" t="s">
        <v>464</v>
      </c>
      <c r="O462" s="5" t="s">
        <v>817</v>
      </c>
      <c r="P462" s="5" t="s">
        <v>597</v>
      </c>
      <c r="Q462" s="5" t="s">
        <v>818</v>
      </c>
      <c r="R462" s="5" t="s">
        <v>825</v>
      </c>
      <c r="S462" s="5" t="s">
        <v>820</v>
      </c>
      <c r="T462" s="5" t="s">
        <v>445</v>
      </c>
      <c r="U462" s="5"/>
      <c r="V462" s="5"/>
      <c r="W462" s="5"/>
      <c r="X462" s="5"/>
      <c r="Y462" s="5"/>
      <c r="Z462" s="5"/>
      <c r="AA462" s="5"/>
    </row>
    <row r="463" spans="5:27" customFormat="1">
      <c r="E463" s="88"/>
      <c r="F463" s="36" t="s">
        <v>291</v>
      </c>
      <c r="G463" s="5" t="s">
        <v>292</v>
      </c>
      <c r="H463" s="5"/>
      <c r="I463" s="62">
        <v>-899305</v>
      </c>
      <c r="J463" s="62">
        <v>-642.36071428571404</v>
      </c>
      <c r="K463" s="62">
        <v>1400</v>
      </c>
      <c r="L463" s="100" t="s">
        <v>813</v>
      </c>
      <c r="M463" s="5" t="s">
        <v>452</v>
      </c>
      <c r="N463" s="34" t="s">
        <v>464</v>
      </c>
      <c r="O463" s="5" t="s">
        <v>817</v>
      </c>
      <c r="P463" s="5" t="s">
        <v>597</v>
      </c>
      <c r="Q463" s="5" t="s">
        <v>818</v>
      </c>
      <c r="R463" s="5" t="s">
        <v>819</v>
      </c>
      <c r="S463" s="5" t="s">
        <v>820</v>
      </c>
      <c r="T463" s="5" t="s">
        <v>445</v>
      </c>
      <c r="U463" s="5"/>
      <c r="V463" s="5"/>
      <c r="W463" s="5"/>
      <c r="X463" s="5"/>
      <c r="Y463" s="5"/>
      <c r="Z463" s="5"/>
      <c r="AA463" s="5"/>
    </row>
    <row r="464" spans="5:27" customFormat="1">
      <c r="E464" s="88"/>
      <c r="F464" s="36" t="s">
        <v>291</v>
      </c>
      <c r="G464" s="5" t="s">
        <v>292</v>
      </c>
      <c r="H464" s="5"/>
      <c r="I464" s="62">
        <v>-307000</v>
      </c>
      <c r="J464" s="62">
        <v>-236.15384615384599</v>
      </c>
      <c r="K464" s="62">
        <v>1300</v>
      </c>
      <c r="L464" s="100" t="s">
        <v>459</v>
      </c>
      <c r="M464" s="5" t="s">
        <v>452</v>
      </c>
      <c r="N464" s="34" t="s">
        <v>464</v>
      </c>
      <c r="O464" s="5" t="s">
        <v>492</v>
      </c>
      <c r="P464" s="5" t="s">
        <v>454</v>
      </c>
      <c r="Q464" s="5" t="s">
        <v>493</v>
      </c>
      <c r="R464" s="5" t="s">
        <v>494</v>
      </c>
      <c r="S464" s="5" t="s">
        <v>495</v>
      </c>
      <c r="T464" s="5" t="s">
        <v>445</v>
      </c>
      <c r="U464" s="5"/>
      <c r="V464" s="5"/>
      <c r="W464" s="5"/>
      <c r="X464" s="5"/>
      <c r="Y464" s="5"/>
      <c r="Z464" s="5"/>
      <c r="AA464" s="5"/>
    </row>
    <row r="465" spans="5:27" customFormat="1">
      <c r="E465" s="88"/>
      <c r="F465" s="36" t="s">
        <v>291</v>
      </c>
      <c r="G465" s="5" t="s">
        <v>292</v>
      </c>
      <c r="H465" s="5"/>
      <c r="I465" s="62">
        <v>-335000</v>
      </c>
      <c r="J465" s="62">
        <v>-235.91549295774601</v>
      </c>
      <c r="K465" s="62">
        <v>1420</v>
      </c>
      <c r="L465" s="100" t="s">
        <v>1030</v>
      </c>
      <c r="M465" s="5" t="s">
        <v>452</v>
      </c>
      <c r="N465" s="34" t="s">
        <v>464</v>
      </c>
      <c r="O465" s="5" t="s">
        <v>1097</v>
      </c>
      <c r="P465" s="5" t="s">
        <v>597</v>
      </c>
      <c r="Q465" s="5" t="s">
        <v>1098</v>
      </c>
      <c r="R465" s="5" t="s">
        <v>1101</v>
      </c>
      <c r="S465" s="5" t="s">
        <v>1100</v>
      </c>
      <c r="T465" s="5" t="s">
        <v>445</v>
      </c>
      <c r="U465" s="5"/>
      <c r="V465" s="5"/>
      <c r="W465" s="5"/>
      <c r="X465" s="5"/>
      <c r="Y465" s="5"/>
      <c r="Z465" s="5"/>
      <c r="AA465" s="5"/>
    </row>
    <row r="466" spans="5:27" customFormat="1">
      <c r="E466" s="88"/>
      <c r="F466" s="36" t="s">
        <v>291</v>
      </c>
      <c r="G466" s="5" t="s">
        <v>292</v>
      </c>
      <c r="H466" s="5"/>
      <c r="I466" s="62">
        <v>-307000</v>
      </c>
      <c r="J466" s="62">
        <v>-214.68531468531501</v>
      </c>
      <c r="K466" s="62">
        <v>1430</v>
      </c>
      <c r="L466" s="100" t="s">
        <v>608</v>
      </c>
      <c r="M466" s="5" t="s">
        <v>452</v>
      </c>
      <c r="N466" s="34" t="s">
        <v>464</v>
      </c>
      <c r="O466" s="5" t="s">
        <v>729</v>
      </c>
      <c r="P466" s="5" t="s">
        <v>597</v>
      </c>
      <c r="Q466" s="5" t="s">
        <v>730</v>
      </c>
      <c r="R466" s="5" t="s">
        <v>736</v>
      </c>
      <c r="S466" s="5" t="s">
        <v>732</v>
      </c>
      <c r="T466" s="5" t="s">
        <v>445</v>
      </c>
      <c r="U466" s="5"/>
      <c r="V466" s="5"/>
      <c r="W466" s="5"/>
      <c r="X466" s="5"/>
      <c r="Y466" s="5"/>
      <c r="Z466" s="5"/>
      <c r="AA466" s="5"/>
    </row>
    <row r="467" spans="5:27" customFormat="1">
      <c r="E467" s="88"/>
      <c r="F467" s="36" t="s">
        <v>291</v>
      </c>
      <c r="G467" s="5" t="s">
        <v>292</v>
      </c>
      <c r="H467" s="5"/>
      <c r="I467" s="62">
        <v>-335000</v>
      </c>
      <c r="J467" s="62">
        <v>-229.45205479452099</v>
      </c>
      <c r="K467" s="62">
        <v>1460</v>
      </c>
      <c r="L467" s="100" t="s">
        <v>914</v>
      </c>
      <c r="M467" s="5" t="s">
        <v>452</v>
      </c>
      <c r="N467" s="34" t="s">
        <v>464</v>
      </c>
      <c r="O467" s="5" t="s">
        <v>946</v>
      </c>
      <c r="P467" s="5" t="s">
        <v>597</v>
      </c>
      <c r="Q467" s="5" t="s">
        <v>947</v>
      </c>
      <c r="R467" s="5" t="s">
        <v>952</v>
      </c>
      <c r="S467" s="5" t="s">
        <v>949</v>
      </c>
      <c r="T467" s="5" t="s">
        <v>445</v>
      </c>
      <c r="U467" s="5"/>
      <c r="V467" s="5"/>
      <c r="W467" s="5"/>
      <c r="X467" s="5"/>
      <c r="Y467" s="5"/>
      <c r="Z467" s="5"/>
      <c r="AA467" s="5"/>
    </row>
    <row r="468" spans="5:27" customFormat="1">
      <c r="E468" s="88"/>
      <c r="F468" s="36" t="s">
        <v>291</v>
      </c>
      <c r="G468" s="5" t="s">
        <v>292</v>
      </c>
      <c r="H468" s="5"/>
      <c r="I468" s="62">
        <v>-174712</v>
      </c>
      <c r="J468" s="62">
        <v>-134.393846153846</v>
      </c>
      <c r="K468" s="62">
        <v>1300</v>
      </c>
      <c r="L468" s="100" t="s">
        <v>459</v>
      </c>
      <c r="M468" s="5" t="s">
        <v>452</v>
      </c>
      <c r="N468" s="34" t="s">
        <v>464</v>
      </c>
      <c r="O468" s="5" t="s">
        <v>492</v>
      </c>
      <c r="P468" s="5" t="s">
        <v>454</v>
      </c>
      <c r="Q468" s="5" t="s">
        <v>493</v>
      </c>
      <c r="R468" s="5" t="s">
        <v>497</v>
      </c>
      <c r="S468" s="5" t="s">
        <v>495</v>
      </c>
      <c r="T468" s="5" t="s">
        <v>445</v>
      </c>
      <c r="U468" s="5"/>
      <c r="V468" s="5"/>
      <c r="W468" s="5"/>
      <c r="X468" s="5"/>
      <c r="Y468" s="5"/>
      <c r="Z468" s="5"/>
      <c r="AA468" s="5"/>
    </row>
    <row r="469" spans="5:27" customFormat="1">
      <c r="E469" s="88"/>
      <c r="F469" s="36" t="s">
        <v>291</v>
      </c>
      <c r="G469" s="5" t="s">
        <v>292</v>
      </c>
      <c r="H469" s="5"/>
      <c r="I469" s="62">
        <v>-170000</v>
      </c>
      <c r="J469" s="62">
        <v>-118.88111888111899</v>
      </c>
      <c r="K469" s="62">
        <v>1430</v>
      </c>
      <c r="L469" s="100" t="s">
        <v>608</v>
      </c>
      <c r="M469" s="5" t="s">
        <v>452</v>
      </c>
      <c r="N469" s="34" t="s">
        <v>464</v>
      </c>
      <c r="O469" s="5" t="s">
        <v>729</v>
      </c>
      <c r="P469" s="5" t="s">
        <v>597</v>
      </c>
      <c r="Q469" s="5" t="s">
        <v>730</v>
      </c>
      <c r="R469" s="5" t="s">
        <v>731</v>
      </c>
      <c r="S469" s="5" t="s">
        <v>732</v>
      </c>
      <c r="T469" s="5" t="s">
        <v>445</v>
      </c>
      <c r="U469" s="5"/>
      <c r="V469" s="5"/>
      <c r="W469" s="5"/>
      <c r="X469" s="5"/>
      <c r="Y469" s="5"/>
      <c r="Z469" s="5"/>
      <c r="AA469" s="5"/>
    </row>
    <row r="470" spans="5:27" customFormat="1">
      <c r="E470" s="88"/>
      <c r="F470" s="36" t="s">
        <v>291</v>
      </c>
      <c r="G470" s="5" t="s">
        <v>292</v>
      </c>
      <c r="H470" s="5"/>
      <c r="I470" s="62">
        <v>-172312</v>
      </c>
      <c r="J470" s="62">
        <v>-118.021917808219</v>
      </c>
      <c r="K470" s="62">
        <v>1460</v>
      </c>
      <c r="L470" s="100" t="s">
        <v>914</v>
      </c>
      <c r="M470" s="5" t="s">
        <v>452</v>
      </c>
      <c r="N470" s="34" t="s">
        <v>464</v>
      </c>
      <c r="O470" s="5" t="s">
        <v>946</v>
      </c>
      <c r="P470" s="5" t="s">
        <v>597</v>
      </c>
      <c r="Q470" s="5" t="s">
        <v>947</v>
      </c>
      <c r="R470" s="5" t="s">
        <v>950</v>
      </c>
      <c r="S470" s="5" t="s">
        <v>949</v>
      </c>
      <c r="T470" s="5" t="s">
        <v>445</v>
      </c>
      <c r="U470" s="5"/>
      <c r="V470" s="5"/>
      <c r="W470" s="5"/>
      <c r="X470" s="5"/>
      <c r="Y470" s="5"/>
      <c r="Z470" s="5"/>
      <c r="AA470" s="5"/>
    </row>
    <row r="471" spans="5:27" customFormat="1">
      <c r="E471" s="88"/>
      <c r="F471" s="36" t="s">
        <v>291</v>
      </c>
      <c r="G471" s="5" t="s">
        <v>292</v>
      </c>
      <c r="H471" s="5"/>
      <c r="I471" s="62">
        <v>-358899.85</v>
      </c>
      <c r="J471" s="62">
        <v>-276.07680769230802</v>
      </c>
      <c r="K471" s="62">
        <v>1300</v>
      </c>
      <c r="L471" s="100" t="s">
        <v>459</v>
      </c>
      <c r="M471" s="5" t="s">
        <v>452</v>
      </c>
      <c r="N471" s="34" t="s">
        <v>464</v>
      </c>
      <c r="O471" s="5" t="s">
        <v>501</v>
      </c>
      <c r="P471" s="5" t="s">
        <v>454</v>
      </c>
      <c r="Q471" s="5" t="s">
        <v>502</v>
      </c>
      <c r="R471" s="5" t="s">
        <v>503</v>
      </c>
      <c r="S471" s="5" t="s">
        <v>504</v>
      </c>
      <c r="T471" s="5" t="s">
        <v>445</v>
      </c>
      <c r="U471" s="5"/>
      <c r="V471" s="5"/>
      <c r="W471" s="5"/>
      <c r="X471" s="5"/>
      <c r="Y471" s="5"/>
      <c r="Z471" s="5"/>
      <c r="AA471" s="5"/>
    </row>
    <row r="472" spans="5:27" customFormat="1">
      <c r="E472" s="88"/>
      <c r="F472" s="36" t="s">
        <v>291</v>
      </c>
      <c r="G472" s="5" t="s">
        <v>292</v>
      </c>
      <c r="H472" s="5"/>
      <c r="I472" s="62">
        <v>-450000</v>
      </c>
      <c r="J472" s="62">
        <v>-300</v>
      </c>
      <c r="K472" s="62">
        <v>1500</v>
      </c>
      <c r="L472" s="100" t="s">
        <v>854</v>
      </c>
      <c r="M472" s="5" t="s">
        <v>452</v>
      </c>
      <c r="N472" s="34" t="s">
        <v>464</v>
      </c>
      <c r="O472" s="5" t="s">
        <v>870</v>
      </c>
      <c r="P472" s="5" t="s">
        <v>597</v>
      </c>
      <c r="Q472" s="5" t="s">
        <v>871</v>
      </c>
      <c r="R472" s="5" t="s">
        <v>876</v>
      </c>
      <c r="S472" s="5" t="s">
        <v>873</v>
      </c>
      <c r="T472" s="5" t="s">
        <v>445</v>
      </c>
      <c r="U472" s="5"/>
      <c r="V472" s="5"/>
      <c r="W472" s="5"/>
      <c r="X472" s="5"/>
      <c r="Y472" s="5"/>
      <c r="Z472" s="5"/>
      <c r="AA472" s="5"/>
    </row>
    <row r="473" spans="5:27" customFormat="1">
      <c r="E473" s="88"/>
      <c r="F473" s="36" t="s">
        <v>291</v>
      </c>
      <c r="G473" s="5" t="s">
        <v>292</v>
      </c>
      <c r="H473" s="5"/>
      <c r="I473" s="62">
        <v>-100768.5</v>
      </c>
      <c r="J473" s="62">
        <v>-71.977500000000006</v>
      </c>
      <c r="K473" s="62">
        <v>1400</v>
      </c>
      <c r="L473" s="100" t="s">
        <v>813</v>
      </c>
      <c r="M473" s="5" t="s">
        <v>452</v>
      </c>
      <c r="N473" s="34" t="s">
        <v>464</v>
      </c>
      <c r="O473" s="5" t="s">
        <v>817</v>
      </c>
      <c r="P473" s="5" t="s">
        <v>597</v>
      </c>
      <c r="Q473" s="5" t="s">
        <v>818</v>
      </c>
      <c r="R473" s="5" t="s">
        <v>828</v>
      </c>
      <c r="S473" s="5" t="s">
        <v>820</v>
      </c>
      <c r="T473" s="5" t="s">
        <v>445</v>
      </c>
      <c r="U473" s="5"/>
      <c r="V473" s="5"/>
      <c r="W473" s="5"/>
      <c r="X473" s="5"/>
      <c r="Y473" s="5"/>
      <c r="Z473" s="5"/>
      <c r="AA473" s="5"/>
    </row>
    <row r="474" spans="5:27" customFormat="1">
      <c r="E474" s="88"/>
      <c r="F474" s="36" t="s">
        <v>291</v>
      </c>
      <c r="G474" s="5" t="s">
        <v>292</v>
      </c>
      <c r="H474" s="5"/>
      <c r="I474" s="62">
        <v>-20000</v>
      </c>
      <c r="J474" s="62">
        <v>-14.285714285714301</v>
      </c>
      <c r="K474" s="62">
        <v>1400</v>
      </c>
      <c r="L474" s="100" t="s">
        <v>813</v>
      </c>
      <c r="M474" s="5" t="s">
        <v>452</v>
      </c>
      <c r="N474" s="34" t="s">
        <v>464</v>
      </c>
      <c r="O474" s="5" t="s">
        <v>817</v>
      </c>
      <c r="P474" s="5" t="s">
        <v>597</v>
      </c>
      <c r="Q474" s="5" t="s">
        <v>818</v>
      </c>
      <c r="R474" s="5" t="s">
        <v>829</v>
      </c>
      <c r="S474" s="5" t="s">
        <v>820</v>
      </c>
      <c r="T474" s="5" t="s">
        <v>445</v>
      </c>
      <c r="U474" s="5"/>
      <c r="V474" s="5"/>
      <c r="W474" s="5"/>
      <c r="X474" s="5"/>
      <c r="Y474" s="5"/>
      <c r="Z474" s="5"/>
      <c r="AA474" s="5"/>
    </row>
    <row r="475" spans="5:27" customFormat="1">
      <c r="E475" s="88"/>
      <c r="F475" s="36" t="s">
        <v>291</v>
      </c>
      <c r="G475" s="5" t="s">
        <v>292</v>
      </c>
      <c r="H475" s="5"/>
      <c r="I475" s="62">
        <v>-150000</v>
      </c>
      <c r="J475" s="62">
        <v>-102.739726027397</v>
      </c>
      <c r="K475" s="62">
        <v>1460</v>
      </c>
      <c r="L475" s="100" t="s">
        <v>914</v>
      </c>
      <c r="M475" s="5" t="s">
        <v>452</v>
      </c>
      <c r="N475" s="34" t="s">
        <v>464</v>
      </c>
      <c r="O475" s="5" t="s">
        <v>935</v>
      </c>
      <c r="P475" s="5" t="s">
        <v>597</v>
      </c>
      <c r="Q475" s="5" t="s">
        <v>936</v>
      </c>
      <c r="R475" s="5" t="s">
        <v>940</v>
      </c>
      <c r="S475" s="5" t="s">
        <v>938</v>
      </c>
      <c r="T475" s="5" t="s">
        <v>445</v>
      </c>
      <c r="U475" s="5"/>
      <c r="V475" s="5"/>
      <c r="W475" s="5"/>
      <c r="X475" s="5"/>
      <c r="Y475" s="5"/>
      <c r="Z475" s="5"/>
      <c r="AA475" s="5"/>
    </row>
    <row r="476" spans="5:27" customFormat="1">
      <c r="E476" s="88"/>
      <c r="F476" s="36" t="s">
        <v>291</v>
      </c>
      <c r="G476" s="5" t="s">
        <v>292</v>
      </c>
      <c r="H476" s="5"/>
      <c r="I476" s="62">
        <v>-272600</v>
      </c>
      <c r="J476" s="62">
        <v>-190.62937062937101</v>
      </c>
      <c r="K476" s="62">
        <v>1430</v>
      </c>
      <c r="L476" s="100" t="s">
        <v>608</v>
      </c>
      <c r="M476" s="5" t="s">
        <v>452</v>
      </c>
      <c r="N476" s="34" t="s">
        <v>464</v>
      </c>
      <c r="O476" s="5" t="s">
        <v>729</v>
      </c>
      <c r="P476" s="5" t="s">
        <v>597</v>
      </c>
      <c r="Q476" s="5" t="s">
        <v>730</v>
      </c>
      <c r="R476" s="5" t="s">
        <v>737</v>
      </c>
      <c r="S476" s="5" t="s">
        <v>732</v>
      </c>
      <c r="T476" s="5" t="s">
        <v>445</v>
      </c>
      <c r="U476" s="5"/>
      <c r="V476" s="5"/>
      <c r="W476" s="5"/>
      <c r="X476" s="5"/>
      <c r="Y476" s="5"/>
      <c r="Z476" s="5"/>
      <c r="AA476" s="5"/>
    </row>
    <row r="477" spans="5:27" customFormat="1">
      <c r="E477" s="88"/>
      <c r="F477" s="36" t="s">
        <v>291</v>
      </c>
      <c r="G477" s="5" t="s">
        <v>292</v>
      </c>
      <c r="H477" s="5"/>
      <c r="I477" s="62">
        <v>-304000</v>
      </c>
      <c r="J477" s="62">
        <v>-208.219178082192</v>
      </c>
      <c r="K477" s="62">
        <v>1460</v>
      </c>
      <c r="L477" s="100" t="s">
        <v>985</v>
      </c>
      <c r="M477" s="5" t="s">
        <v>452</v>
      </c>
      <c r="N477" s="34" t="s">
        <v>464</v>
      </c>
      <c r="O477" s="5" t="s">
        <v>1002</v>
      </c>
      <c r="P477" s="5" t="s">
        <v>597</v>
      </c>
      <c r="Q477" s="5" t="s">
        <v>1003</v>
      </c>
      <c r="R477" s="5" t="s">
        <v>1004</v>
      </c>
      <c r="S477" s="5" t="s">
        <v>1005</v>
      </c>
      <c r="T477" s="5" t="s">
        <v>445</v>
      </c>
      <c r="U477" s="5"/>
      <c r="V477" s="5"/>
      <c r="W477" s="5"/>
      <c r="X477" s="5"/>
      <c r="Y477" s="5"/>
      <c r="Z477" s="5"/>
      <c r="AA477" s="5"/>
    </row>
    <row r="478" spans="5:27" customFormat="1">
      <c r="E478" s="88"/>
      <c r="F478" s="36" t="s">
        <v>291</v>
      </c>
      <c r="G478" s="5" t="s">
        <v>292</v>
      </c>
      <c r="H478" s="5"/>
      <c r="I478" s="62">
        <v>-250000</v>
      </c>
      <c r="J478" s="62">
        <v>-171.23287671232899</v>
      </c>
      <c r="K478" s="62">
        <v>1460</v>
      </c>
      <c r="L478" s="100" t="s">
        <v>914</v>
      </c>
      <c r="M478" s="5" t="s">
        <v>452</v>
      </c>
      <c r="N478" s="34" t="s">
        <v>464</v>
      </c>
      <c r="O478" s="5" t="s">
        <v>935</v>
      </c>
      <c r="P478" s="5" t="s">
        <v>597</v>
      </c>
      <c r="Q478" s="5" t="s">
        <v>936</v>
      </c>
      <c r="R478" s="5" t="s">
        <v>939</v>
      </c>
      <c r="S478" s="5" t="s">
        <v>938</v>
      </c>
      <c r="T478" s="5" t="s">
        <v>445</v>
      </c>
      <c r="U478" s="5"/>
      <c r="V478" s="5"/>
      <c r="W478" s="5"/>
      <c r="X478" s="5"/>
      <c r="Y478" s="5"/>
      <c r="Z478" s="5"/>
      <c r="AA478" s="5"/>
    </row>
    <row r="479" spans="5:27" customFormat="1">
      <c r="E479" s="88"/>
      <c r="F479" s="36" t="s">
        <v>291</v>
      </c>
      <c r="G479" s="5" t="s">
        <v>292</v>
      </c>
      <c r="H479" s="5"/>
      <c r="I479" s="62">
        <v>-209000</v>
      </c>
      <c r="J479" s="62">
        <v>-160.769230769231</v>
      </c>
      <c r="K479" s="62">
        <v>1300</v>
      </c>
      <c r="L479" s="100" t="s">
        <v>459</v>
      </c>
      <c r="M479" s="5" t="s">
        <v>452</v>
      </c>
      <c r="N479" s="34" t="s">
        <v>464</v>
      </c>
      <c r="O479" s="5" t="s">
        <v>492</v>
      </c>
      <c r="P479" s="5" t="s">
        <v>454</v>
      </c>
      <c r="Q479" s="5" t="s">
        <v>493</v>
      </c>
      <c r="R479" s="5" t="s">
        <v>498</v>
      </c>
      <c r="S479" s="5" t="s">
        <v>495</v>
      </c>
      <c r="T479" s="5" t="s">
        <v>445</v>
      </c>
      <c r="U479" s="5"/>
      <c r="V479" s="5"/>
      <c r="W479" s="5"/>
      <c r="X479" s="5"/>
      <c r="Y479" s="5"/>
      <c r="Z479" s="5"/>
      <c r="AA479" s="5"/>
    </row>
    <row r="480" spans="5:27" customFormat="1">
      <c r="E480" s="88"/>
      <c r="F480" s="36" t="s">
        <v>291</v>
      </c>
      <c r="G480" s="5" t="s">
        <v>292</v>
      </c>
      <c r="H480" s="5"/>
      <c r="I480" s="62">
        <v>-200000</v>
      </c>
      <c r="J480" s="62">
        <v>-136.98630136986301</v>
      </c>
      <c r="K480" s="62">
        <v>1460</v>
      </c>
      <c r="L480" s="100" t="s">
        <v>914</v>
      </c>
      <c r="M480" s="5" t="s">
        <v>452</v>
      </c>
      <c r="N480" s="34" t="s">
        <v>464</v>
      </c>
      <c r="O480" s="5" t="s">
        <v>935</v>
      </c>
      <c r="P480" s="5" t="s">
        <v>597</v>
      </c>
      <c r="Q480" s="5" t="s">
        <v>936</v>
      </c>
      <c r="R480" s="5" t="s">
        <v>943</v>
      </c>
      <c r="S480" s="5" t="s">
        <v>938</v>
      </c>
      <c r="T480" s="5" t="s">
        <v>445</v>
      </c>
      <c r="U480" s="5"/>
      <c r="V480" s="5"/>
      <c r="W480" s="5"/>
      <c r="X480" s="5"/>
      <c r="Y480" s="5"/>
      <c r="Z480" s="5"/>
      <c r="AA480" s="5"/>
    </row>
    <row r="481" spans="5:27" customFormat="1">
      <c r="E481" s="88"/>
      <c r="F481" s="36" t="s">
        <v>291</v>
      </c>
      <c r="G481" s="5" t="s">
        <v>292</v>
      </c>
      <c r="H481" s="5"/>
      <c r="I481" s="62">
        <v>-400000</v>
      </c>
      <c r="J481" s="62">
        <v>-266.66666666666703</v>
      </c>
      <c r="K481" s="62">
        <v>1500</v>
      </c>
      <c r="L481" s="100" t="s">
        <v>854</v>
      </c>
      <c r="M481" s="5" t="s">
        <v>452</v>
      </c>
      <c r="N481" s="34" t="s">
        <v>464</v>
      </c>
      <c r="O481" s="5" t="s">
        <v>870</v>
      </c>
      <c r="P481" s="5" t="s">
        <v>597</v>
      </c>
      <c r="Q481" s="5" t="s">
        <v>871</v>
      </c>
      <c r="R481" s="5" t="s">
        <v>875</v>
      </c>
      <c r="S481" s="5" t="s">
        <v>873</v>
      </c>
      <c r="T481" s="5" t="s">
        <v>445</v>
      </c>
      <c r="U481" s="5"/>
      <c r="V481" s="5"/>
      <c r="W481" s="5"/>
      <c r="X481" s="5"/>
      <c r="Y481" s="5"/>
      <c r="Z481" s="5"/>
      <c r="AA481" s="5"/>
    </row>
    <row r="482" spans="5:27" customFormat="1">
      <c r="E482" s="88"/>
      <c r="F482" s="36" t="s">
        <v>291</v>
      </c>
      <c r="G482" s="5" t="s">
        <v>292</v>
      </c>
      <c r="H482" s="5"/>
      <c r="I482" s="62">
        <v>189458.5</v>
      </c>
      <c r="J482" s="62">
        <v>134.36773049645399</v>
      </c>
      <c r="K482" s="62">
        <v>1410</v>
      </c>
      <c r="L482" s="100" t="s">
        <v>604</v>
      </c>
      <c r="M482" s="5" t="s">
        <v>452</v>
      </c>
      <c r="N482" s="34" t="s">
        <v>464</v>
      </c>
      <c r="O482" s="5" t="s">
        <v>793</v>
      </c>
      <c r="P482" s="5" t="s">
        <v>597</v>
      </c>
      <c r="Q482" s="5" t="s">
        <v>794</v>
      </c>
      <c r="R482" s="5" t="s">
        <v>795</v>
      </c>
      <c r="S482" s="5" t="s">
        <v>796</v>
      </c>
      <c r="T482" s="5" t="s">
        <v>445</v>
      </c>
      <c r="U482" s="5"/>
      <c r="V482" s="5"/>
      <c r="W482" s="5"/>
      <c r="X482" s="5"/>
      <c r="Y482" s="5"/>
      <c r="Z482" s="5"/>
      <c r="AA482" s="5"/>
    </row>
    <row r="483" spans="5:27" customFormat="1">
      <c r="E483" s="88"/>
      <c r="F483" s="36" t="s">
        <v>291</v>
      </c>
      <c r="G483" s="5" t="s">
        <v>292</v>
      </c>
      <c r="H483" s="5"/>
      <c r="I483" s="62">
        <v>-500000</v>
      </c>
      <c r="J483" s="62">
        <v>-352.11267605633799</v>
      </c>
      <c r="K483" s="62">
        <v>1420</v>
      </c>
      <c r="L483" s="100" t="s">
        <v>472</v>
      </c>
      <c r="M483" s="5" t="s">
        <v>452</v>
      </c>
      <c r="N483" s="34" t="s">
        <v>464</v>
      </c>
      <c r="O483" s="5" t="s">
        <v>544</v>
      </c>
      <c r="P483" s="5" t="s">
        <v>454</v>
      </c>
      <c r="Q483" s="5" t="s">
        <v>545</v>
      </c>
      <c r="R483" s="5" t="s">
        <v>549</v>
      </c>
      <c r="S483" s="5" t="s">
        <v>547</v>
      </c>
      <c r="T483" s="5" t="s">
        <v>445</v>
      </c>
      <c r="U483" s="5"/>
      <c r="V483" s="5"/>
      <c r="W483" s="5"/>
      <c r="X483" s="5"/>
      <c r="Y483" s="5"/>
      <c r="Z483" s="5"/>
      <c r="AA483" s="5"/>
    </row>
    <row r="484" spans="5:27" customFormat="1">
      <c r="E484" s="88"/>
      <c r="F484" s="36" t="s">
        <v>291</v>
      </c>
      <c r="G484" s="5" t="s">
        <v>292</v>
      </c>
      <c r="H484" s="5"/>
      <c r="I484" s="62">
        <v>-956000</v>
      </c>
      <c r="J484" s="62">
        <v>-673.23943661971805</v>
      </c>
      <c r="K484" s="62">
        <v>1420</v>
      </c>
      <c r="L484" s="100" t="s">
        <v>472</v>
      </c>
      <c r="M484" s="5" t="s">
        <v>452</v>
      </c>
      <c r="N484" s="34" t="s">
        <v>464</v>
      </c>
      <c r="O484" s="5" t="s">
        <v>544</v>
      </c>
      <c r="P484" s="5" t="s">
        <v>454</v>
      </c>
      <c r="Q484" s="5" t="s">
        <v>545</v>
      </c>
      <c r="R484" s="5" t="s">
        <v>549</v>
      </c>
      <c r="S484" s="5" t="s">
        <v>547</v>
      </c>
      <c r="T484" s="5" t="s">
        <v>445</v>
      </c>
      <c r="U484" s="5"/>
      <c r="V484" s="5"/>
      <c r="W484" s="5"/>
      <c r="X484" s="5"/>
      <c r="Y484" s="5"/>
      <c r="Z484" s="5"/>
      <c r="AA484" s="5"/>
    </row>
    <row r="485" spans="5:27" customFormat="1">
      <c r="E485" s="88"/>
      <c r="F485" s="36" t="s">
        <v>291</v>
      </c>
      <c r="G485" s="5" t="s">
        <v>292</v>
      </c>
      <c r="H485" s="5"/>
      <c r="I485" s="62">
        <v>-369000</v>
      </c>
      <c r="J485" s="62">
        <v>-259.85915492957702</v>
      </c>
      <c r="K485" s="62">
        <v>1420</v>
      </c>
      <c r="L485" s="100" t="s">
        <v>472</v>
      </c>
      <c r="M485" s="5" t="s">
        <v>452</v>
      </c>
      <c r="N485" s="34" t="s">
        <v>464</v>
      </c>
      <c r="O485" s="5" t="s">
        <v>544</v>
      </c>
      <c r="P485" s="5" t="s">
        <v>454</v>
      </c>
      <c r="Q485" s="5" t="s">
        <v>545</v>
      </c>
      <c r="R485" s="5" t="s">
        <v>550</v>
      </c>
      <c r="S485" s="5" t="s">
        <v>547</v>
      </c>
      <c r="T485" s="5" t="s">
        <v>445</v>
      </c>
      <c r="U485" s="5"/>
      <c r="V485" s="5"/>
      <c r="W485" s="5"/>
      <c r="X485" s="5"/>
      <c r="Y485" s="5"/>
      <c r="Z485" s="5"/>
      <c r="AA485" s="5"/>
    </row>
    <row r="486" spans="5:27" customFormat="1">
      <c r="E486" s="88"/>
      <c r="F486" s="36" t="s">
        <v>291</v>
      </c>
      <c r="G486" s="5" t="s">
        <v>292</v>
      </c>
      <c r="H486" s="5"/>
      <c r="I486" s="62">
        <v>-2278440</v>
      </c>
      <c r="J486" s="62">
        <v>-1627.4571428571401</v>
      </c>
      <c r="K486" s="62">
        <v>1400</v>
      </c>
      <c r="L486" s="100" t="s">
        <v>813</v>
      </c>
      <c r="M486" s="5" t="s">
        <v>452</v>
      </c>
      <c r="N486" s="34" t="s">
        <v>464</v>
      </c>
      <c r="O486" s="5" t="s">
        <v>817</v>
      </c>
      <c r="P486" s="5" t="s">
        <v>597</v>
      </c>
      <c r="Q486" s="5" t="s">
        <v>818</v>
      </c>
      <c r="R486" s="5" t="s">
        <v>821</v>
      </c>
      <c r="S486" s="5" t="s">
        <v>820</v>
      </c>
      <c r="T486" s="5" t="s">
        <v>445</v>
      </c>
      <c r="U486" s="5"/>
      <c r="V486" s="5"/>
      <c r="W486" s="5"/>
      <c r="X486" s="5"/>
      <c r="Y486" s="5"/>
      <c r="Z486" s="5"/>
      <c r="AA486" s="5"/>
    </row>
    <row r="487" spans="5:27" customFormat="1">
      <c r="E487" s="88"/>
      <c r="F487" s="36" t="s">
        <v>291</v>
      </c>
      <c r="G487" s="5" t="s">
        <v>292</v>
      </c>
      <c r="H487" s="5"/>
      <c r="I487" s="62">
        <v>-45000</v>
      </c>
      <c r="J487" s="62">
        <v>-34.615384615384599</v>
      </c>
      <c r="K487" s="62">
        <v>1300</v>
      </c>
      <c r="L487" s="100" t="s">
        <v>459</v>
      </c>
      <c r="M487" s="5" t="s">
        <v>452</v>
      </c>
      <c r="N487" s="34" t="s">
        <v>464</v>
      </c>
      <c r="O487" s="5" t="s">
        <v>492</v>
      </c>
      <c r="P487" s="5" t="s">
        <v>454</v>
      </c>
      <c r="Q487" s="5" t="s">
        <v>493</v>
      </c>
      <c r="R487" s="5" t="s">
        <v>500</v>
      </c>
      <c r="S487" s="5" t="s">
        <v>495</v>
      </c>
      <c r="T487" s="5" t="s">
        <v>445</v>
      </c>
      <c r="U487" s="5"/>
      <c r="V487" s="5"/>
      <c r="W487" s="5"/>
      <c r="X487" s="5"/>
      <c r="Y487" s="5"/>
      <c r="Z487" s="5"/>
      <c r="AA487" s="5"/>
    </row>
    <row r="488" spans="5:27" customFormat="1">
      <c r="E488" s="88"/>
      <c r="F488" s="36" t="s">
        <v>291</v>
      </c>
      <c r="G488" s="5" t="s">
        <v>292</v>
      </c>
      <c r="H488" s="5"/>
      <c r="I488" s="62">
        <v>-3000000</v>
      </c>
      <c r="J488" s="62">
        <v>-2142.8571428571399</v>
      </c>
      <c r="K488" s="62">
        <v>1400</v>
      </c>
      <c r="L488" s="100" t="s">
        <v>854</v>
      </c>
      <c r="M488" s="5" t="s">
        <v>452</v>
      </c>
      <c r="N488" s="34" t="s">
        <v>464</v>
      </c>
      <c r="O488" s="5" t="s">
        <v>870</v>
      </c>
      <c r="P488" s="5" t="s">
        <v>597</v>
      </c>
      <c r="Q488" s="5" t="s">
        <v>871</v>
      </c>
      <c r="R488" s="5" t="s">
        <v>878</v>
      </c>
      <c r="S488" s="5" t="s">
        <v>873</v>
      </c>
      <c r="T488" s="5" t="s">
        <v>445</v>
      </c>
      <c r="U488" s="5"/>
      <c r="V488" s="5"/>
      <c r="W488" s="5"/>
      <c r="X488" s="5"/>
      <c r="Y488" s="5"/>
      <c r="Z488" s="5"/>
      <c r="AA488" s="5"/>
    </row>
    <row r="489" spans="5:27" customFormat="1">
      <c r="E489" s="88"/>
      <c r="F489" s="36" t="s">
        <v>291</v>
      </c>
      <c r="G489" s="5" t="s">
        <v>292</v>
      </c>
      <c r="H489" s="5"/>
      <c r="I489" s="62">
        <v>-61012.95</v>
      </c>
      <c r="J489" s="62">
        <v>-43.580678571428599</v>
      </c>
      <c r="K489" s="62">
        <v>1400</v>
      </c>
      <c r="L489" s="100" t="s">
        <v>813</v>
      </c>
      <c r="M489" s="5" t="s">
        <v>452</v>
      </c>
      <c r="N489" s="34" t="s">
        <v>464</v>
      </c>
      <c r="O489" s="5" t="s">
        <v>817</v>
      </c>
      <c r="P489" s="5" t="s">
        <v>597</v>
      </c>
      <c r="Q489" s="5" t="s">
        <v>818</v>
      </c>
      <c r="R489" s="5" t="s">
        <v>827</v>
      </c>
      <c r="S489" s="5" t="s">
        <v>820</v>
      </c>
      <c r="T489" s="5" t="s">
        <v>445</v>
      </c>
      <c r="U489" s="5"/>
      <c r="V489" s="5"/>
      <c r="W489" s="5"/>
      <c r="X489" s="5"/>
      <c r="Y489" s="5"/>
      <c r="Z489" s="5"/>
      <c r="AA489" s="5"/>
    </row>
    <row r="490" spans="5:27" customFormat="1">
      <c r="E490" s="88"/>
      <c r="F490" s="36" t="s">
        <v>291</v>
      </c>
      <c r="G490" s="5" t="s">
        <v>292</v>
      </c>
      <c r="H490" s="5"/>
      <c r="I490" s="62">
        <v>-160700</v>
      </c>
      <c r="J490" s="62">
        <v>-114.78571428571399</v>
      </c>
      <c r="K490" s="62">
        <v>1400</v>
      </c>
      <c r="L490" s="100" t="s">
        <v>854</v>
      </c>
      <c r="M490" s="5" t="s">
        <v>452</v>
      </c>
      <c r="N490" s="34" t="s">
        <v>464</v>
      </c>
      <c r="O490" s="5" t="s">
        <v>870</v>
      </c>
      <c r="P490" s="5" t="s">
        <v>597</v>
      </c>
      <c r="Q490" s="5" t="s">
        <v>871</v>
      </c>
      <c r="R490" s="5" t="s">
        <v>879</v>
      </c>
      <c r="S490" s="5" t="s">
        <v>873</v>
      </c>
      <c r="T490" s="5" t="s">
        <v>445</v>
      </c>
      <c r="U490" s="5"/>
      <c r="V490" s="5"/>
      <c r="W490" s="5"/>
      <c r="X490" s="5"/>
      <c r="Y490" s="5"/>
      <c r="Z490" s="5"/>
      <c r="AA490" s="5"/>
    </row>
    <row r="491" spans="5:27" customFormat="1">
      <c r="E491" s="88"/>
      <c r="F491" s="36" t="s">
        <v>291</v>
      </c>
      <c r="G491" s="5" t="s">
        <v>292</v>
      </c>
      <c r="H491" s="5"/>
      <c r="I491" s="62">
        <v>-92780</v>
      </c>
      <c r="J491" s="62">
        <v>-65.338028169014095</v>
      </c>
      <c r="K491" s="62">
        <v>1420</v>
      </c>
      <c r="L491" s="100" t="s">
        <v>989</v>
      </c>
      <c r="M491" s="5" t="s">
        <v>452</v>
      </c>
      <c r="N491" s="34" t="s">
        <v>464</v>
      </c>
      <c r="O491" s="5" t="s">
        <v>1075</v>
      </c>
      <c r="P491" s="5" t="s">
        <v>597</v>
      </c>
      <c r="Q491" s="5" t="s">
        <v>1076</v>
      </c>
      <c r="R491" s="5" t="s">
        <v>1080</v>
      </c>
      <c r="S491" s="5" t="s">
        <v>1078</v>
      </c>
      <c r="T491" s="5" t="s">
        <v>445</v>
      </c>
      <c r="U491" s="5"/>
      <c r="V491" s="5"/>
      <c r="W491" s="5"/>
      <c r="X491" s="5"/>
      <c r="Y491" s="5"/>
      <c r="Z491" s="5"/>
      <c r="AA491" s="5"/>
    </row>
    <row r="492" spans="5:27" customFormat="1">
      <c r="E492" s="88"/>
      <c r="F492" s="36" t="s">
        <v>291</v>
      </c>
      <c r="G492" s="5" t="s">
        <v>292</v>
      </c>
      <c r="H492" s="5"/>
      <c r="I492" s="62">
        <v>-326750</v>
      </c>
      <c r="J492" s="62">
        <v>-217.833333333333</v>
      </c>
      <c r="K492" s="62">
        <v>1500</v>
      </c>
      <c r="L492" s="100" t="s">
        <v>854</v>
      </c>
      <c r="M492" s="5" t="s">
        <v>452</v>
      </c>
      <c r="N492" s="34" t="s">
        <v>464</v>
      </c>
      <c r="O492" s="5" t="s">
        <v>870</v>
      </c>
      <c r="P492" s="5" t="s">
        <v>597</v>
      </c>
      <c r="Q492" s="5" t="s">
        <v>871</v>
      </c>
      <c r="R492" s="5" t="s">
        <v>874</v>
      </c>
      <c r="S492" s="5" t="s">
        <v>873</v>
      </c>
      <c r="T492" s="5" t="s">
        <v>445</v>
      </c>
      <c r="U492" s="5"/>
      <c r="V492" s="5"/>
      <c r="W492" s="5"/>
      <c r="X492" s="5"/>
      <c r="Y492" s="5"/>
      <c r="Z492" s="5"/>
      <c r="AA492" s="5"/>
    </row>
    <row r="493" spans="5:27" customFormat="1">
      <c r="E493" s="88"/>
      <c r="F493" s="36" t="s">
        <v>293</v>
      </c>
      <c r="G493" s="5" t="s">
        <v>294</v>
      </c>
      <c r="H493" s="5"/>
      <c r="I493" s="62">
        <v>-6500006.0999999996</v>
      </c>
      <c r="J493" s="62">
        <v>-4744.53</v>
      </c>
      <c r="K493" s="62">
        <v>1370</v>
      </c>
      <c r="L493" s="100" t="s">
        <v>451</v>
      </c>
      <c r="M493" s="5" t="s">
        <v>452</v>
      </c>
      <c r="N493" s="34" t="s">
        <v>442</v>
      </c>
      <c r="O493" s="5" t="s">
        <v>453</v>
      </c>
      <c r="P493" s="5" t="s">
        <v>454</v>
      </c>
      <c r="Q493" s="5" t="s">
        <v>455</v>
      </c>
      <c r="R493" s="5"/>
      <c r="S493" s="5" t="s">
        <v>456</v>
      </c>
      <c r="T493" s="5" t="s">
        <v>445</v>
      </c>
      <c r="U493" s="5"/>
      <c r="V493" s="5"/>
      <c r="W493" s="5"/>
      <c r="X493" s="5"/>
      <c r="Y493" s="5"/>
      <c r="Z493" s="5"/>
      <c r="AA493" s="5"/>
    </row>
    <row r="494" spans="5:27" customFormat="1">
      <c r="E494" s="88"/>
      <c r="F494" s="36" t="s">
        <v>293</v>
      </c>
      <c r="G494" s="5" t="s">
        <v>294</v>
      </c>
      <c r="H494" s="5"/>
      <c r="I494" s="62">
        <v>-3100006</v>
      </c>
      <c r="J494" s="62">
        <v>-2384.62</v>
      </c>
      <c r="K494" s="62">
        <v>1300</v>
      </c>
      <c r="L494" s="100" t="s">
        <v>459</v>
      </c>
      <c r="M494" s="5" t="s">
        <v>452</v>
      </c>
      <c r="N494" s="34" t="s">
        <v>442</v>
      </c>
      <c r="O494" s="5" t="s">
        <v>460</v>
      </c>
      <c r="P494" s="5" t="s">
        <v>454</v>
      </c>
      <c r="Q494" s="5" t="s">
        <v>461</v>
      </c>
      <c r="R494" s="5"/>
      <c r="S494" s="5" t="s">
        <v>462</v>
      </c>
      <c r="T494" s="5" t="s">
        <v>445</v>
      </c>
      <c r="U494" s="5"/>
      <c r="V494" s="5"/>
      <c r="W494" s="5"/>
      <c r="X494" s="5"/>
      <c r="Y494" s="5"/>
      <c r="Z494" s="5"/>
      <c r="AA494" s="5"/>
    </row>
    <row r="495" spans="5:27" customFormat="1">
      <c r="E495" s="88"/>
      <c r="F495" s="36" t="s">
        <v>293</v>
      </c>
      <c r="G495" s="5" t="s">
        <v>294</v>
      </c>
      <c r="H495" s="5"/>
      <c r="I495" s="62">
        <v>-2799998.6</v>
      </c>
      <c r="J495" s="62">
        <v>-1971.83</v>
      </c>
      <c r="K495" s="62">
        <v>1420</v>
      </c>
      <c r="L495" s="100" t="s">
        <v>472</v>
      </c>
      <c r="M495" s="5" t="s">
        <v>452</v>
      </c>
      <c r="N495" s="34" t="s">
        <v>442</v>
      </c>
      <c r="O495" s="5" t="s">
        <v>473</v>
      </c>
      <c r="P495" s="5" t="s">
        <v>454</v>
      </c>
      <c r="Q495" s="5" t="s">
        <v>474</v>
      </c>
      <c r="R495" s="5"/>
      <c r="S495" s="5" t="s">
        <v>475</v>
      </c>
      <c r="T495" s="5" t="s">
        <v>445</v>
      </c>
      <c r="U495" s="5"/>
      <c r="V495" s="5"/>
      <c r="W495" s="5"/>
      <c r="X495" s="5"/>
      <c r="Y495" s="5"/>
      <c r="Z495" s="5"/>
      <c r="AA495" s="5"/>
    </row>
    <row r="496" spans="5:27" customFormat="1">
      <c r="E496" s="88"/>
      <c r="F496" s="36" t="s">
        <v>293</v>
      </c>
      <c r="G496" s="5" t="s">
        <v>294</v>
      </c>
      <c r="H496" s="5"/>
      <c r="I496" s="62">
        <v>-355000</v>
      </c>
      <c r="J496" s="62">
        <v>-250</v>
      </c>
      <c r="K496" s="62">
        <v>1420</v>
      </c>
      <c r="L496" s="100" t="s">
        <v>472</v>
      </c>
      <c r="M496" s="5" t="s">
        <v>452</v>
      </c>
      <c r="N496" s="34" t="s">
        <v>442</v>
      </c>
      <c r="O496" s="5" t="s">
        <v>551</v>
      </c>
      <c r="P496" s="5" t="s">
        <v>454</v>
      </c>
      <c r="Q496" s="5" t="s">
        <v>552</v>
      </c>
      <c r="R496" s="5" t="s">
        <v>553</v>
      </c>
      <c r="S496" s="5" t="s">
        <v>554</v>
      </c>
      <c r="T496" s="5" t="s">
        <v>445</v>
      </c>
      <c r="U496" s="5"/>
      <c r="V496" s="5"/>
      <c r="W496" s="5"/>
      <c r="X496" s="5"/>
      <c r="Y496" s="5"/>
      <c r="Z496" s="5"/>
      <c r="AA496" s="5"/>
    </row>
    <row r="497" spans="5:27" customFormat="1">
      <c r="E497" s="88"/>
      <c r="F497" s="36" t="s">
        <v>293</v>
      </c>
      <c r="G497" s="5" t="s">
        <v>294</v>
      </c>
      <c r="H497" s="5"/>
      <c r="I497" s="62">
        <v>-36150400</v>
      </c>
      <c r="J497" s="62">
        <v>-27808</v>
      </c>
      <c r="K497" s="62">
        <v>1300</v>
      </c>
      <c r="L497" s="100" t="s">
        <v>472</v>
      </c>
      <c r="M497" s="5" t="s">
        <v>452</v>
      </c>
      <c r="N497" s="34" t="s">
        <v>442</v>
      </c>
      <c r="O497" s="5" t="s">
        <v>551</v>
      </c>
      <c r="P497" s="5" t="s">
        <v>454</v>
      </c>
      <c r="Q497" s="5" t="s">
        <v>552</v>
      </c>
      <c r="R497" s="5" t="s">
        <v>555</v>
      </c>
      <c r="S497" s="5" t="s">
        <v>554</v>
      </c>
      <c r="T497" s="5" t="s">
        <v>445</v>
      </c>
      <c r="U497" s="5"/>
      <c r="V497" s="5"/>
      <c r="W497" s="5"/>
      <c r="X497" s="5"/>
      <c r="Y497" s="5"/>
      <c r="Z497" s="5"/>
      <c r="AA497" s="5"/>
    </row>
    <row r="498" spans="5:27" customFormat="1">
      <c r="E498" s="88"/>
      <c r="F498" s="36" t="s">
        <v>293</v>
      </c>
      <c r="G498" s="5" t="s">
        <v>294</v>
      </c>
      <c r="H498" s="5"/>
      <c r="I498" s="62">
        <v>-200000.00049999999</v>
      </c>
      <c r="J498" s="62">
        <v>-141.84397198581601</v>
      </c>
      <c r="K498" s="62">
        <v>1410</v>
      </c>
      <c r="L498" s="100" t="s">
        <v>604</v>
      </c>
      <c r="M498" s="5" t="s">
        <v>452</v>
      </c>
      <c r="N498" s="34" t="s">
        <v>442</v>
      </c>
      <c r="O498" s="5" t="s">
        <v>605</v>
      </c>
      <c r="P498" s="5" t="s">
        <v>597</v>
      </c>
      <c r="Q498" s="5" t="s">
        <v>606</v>
      </c>
      <c r="R498" s="5"/>
      <c r="S498" s="5" t="s">
        <v>607</v>
      </c>
      <c r="T498" s="5" t="s">
        <v>445</v>
      </c>
      <c r="U498" s="5"/>
      <c r="V498" s="5"/>
      <c r="W498" s="5"/>
      <c r="X498" s="5"/>
      <c r="Y498" s="5"/>
      <c r="Z498" s="5"/>
      <c r="AA498" s="5"/>
    </row>
    <row r="499" spans="5:27" customFormat="1">
      <c r="E499" s="88"/>
      <c r="F499" s="36" t="s">
        <v>293</v>
      </c>
      <c r="G499" s="5" t="s">
        <v>294</v>
      </c>
      <c r="H499" s="5"/>
      <c r="I499" s="62">
        <v>-3699996.3</v>
      </c>
      <c r="J499" s="62">
        <v>-2587.41</v>
      </c>
      <c r="K499" s="62">
        <v>1430</v>
      </c>
      <c r="L499" s="100" t="s">
        <v>608</v>
      </c>
      <c r="M499" s="5" t="s">
        <v>452</v>
      </c>
      <c r="N499" s="34" t="s">
        <v>442</v>
      </c>
      <c r="O499" s="5" t="s">
        <v>609</v>
      </c>
      <c r="P499" s="5" t="s">
        <v>597</v>
      </c>
      <c r="Q499" s="5" t="s">
        <v>610</v>
      </c>
      <c r="R499" s="5"/>
      <c r="S499" s="5" t="s">
        <v>611</v>
      </c>
      <c r="T499" s="5" t="s">
        <v>445</v>
      </c>
      <c r="U499" s="5"/>
      <c r="V499" s="5"/>
      <c r="W499" s="5"/>
      <c r="X499" s="5"/>
      <c r="Y499" s="5"/>
      <c r="Z499" s="5"/>
      <c r="AA499" s="5"/>
    </row>
    <row r="500" spans="5:27" customFormat="1">
      <c r="E500" s="88"/>
      <c r="F500" s="36" t="s">
        <v>293</v>
      </c>
      <c r="G500" s="5" t="s">
        <v>294</v>
      </c>
      <c r="H500" s="5"/>
      <c r="I500" s="62">
        <v>-4935000</v>
      </c>
      <c r="J500" s="62">
        <v>-3500</v>
      </c>
      <c r="K500" s="62">
        <v>1410</v>
      </c>
      <c r="L500" s="100" t="s">
        <v>604</v>
      </c>
      <c r="M500" s="5" t="s">
        <v>452</v>
      </c>
      <c r="N500" s="34" t="s">
        <v>442</v>
      </c>
      <c r="O500" s="5" t="s">
        <v>714</v>
      </c>
      <c r="P500" s="5" t="s">
        <v>597</v>
      </c>
      <c r="Q500" s="5" t="s">
        <v>715</v>
      </c>
      <c r="R500" s="5" t="s">
        <v>724</v>
      </c>
      <c r="S500" s="5" t="s">
        <v>717</v>
      </c>
      <c r="T500" s="5" t="s">
        <v>445</v>
      </c>
      <c r="U500" s="5"/>
      <c r="V500" s="5"/>
      <c r="W500" s="5"/>
      <c r="X500" s="5"/>
      <c r="Y500" s="5"/>
      <c r="Z500" s="5"/>
      <c r="AA500" s="5"/>
    </row>
    <row r="501" spans="5:27" customFormat="1">
      <c r="E501" s="88"/>
      <c r="F501" s="36" t="s">
        <v>293</v>
      </c>
      <c r="G501" s="5" t="s">
        <v>294</v>
      </c>
      <c r="H501" s="5"/>
      <c r="I501" s="62">
        <v>-6899998</v>
      </c>
      <c r="J501" s="62">
        <v>-4928.57</v>
      </c>
      <c r="K501" s="62">
        <v>1400</v>
      </c>
      <c r="L501" s="100" t="s">
        <v>813</v>
      </c>
      <c r="M501" s="5" t="s">
        <v>452</v>
      </c>
      <c r="N501" s="34" t="s">
        <v>442</v>
      </c>
      <c r="O501" s="5" t="s">
        <v>814</v>
      </c>
      <c r="P501" s="5" t="s">
        <v>597</v>
      </c>
      <c r="Q501" s="5" t="s">
        <v>815</v>
      </c>
      <c r="R501" s="5"/>
      <c r="S501" s="5" t="s">
        <v>816</v>
      </c>
      <c r="T501" s="5" t="s">
        <v>445</v>
      </c>
      <c r="U501" s="5"/>
      <c r="V501" s="5"/>
      <c r="W501" s="5"/>
      <c r="X501" s="5"/>
      <c r="Y501" s="5"/>
      <c r="Z501" s="5"/>
      <c r="AA501" s="5"/>
    </row>
    <row r="502" spans="5:27" customFormat="1">
      <c r="E502" s="88"/>
      <c r="F502" s="36" t="s">
        <v>293</v>
      </c>
      <c r="G502" s="5" t="s">
        <v>294</v>
      </c>
      <c r="H502" s="5"/>
      <c r="I502" s="62">
        <v>-140000</v>
      </c>
      <c r="J502" s="62">
        <v>-100</v>
      </c>
      <c r="K502" s="62">
        <v>1400</v>
      </c>
      <c r="L502" s="100" t="s">
        <v>813</v>
      </c>
      <c r="M502" s="5" t="s">
        <v>452</v>
      </c>
      <c r="N502" s="34" t="s">
        <v>442</v>
      </c>
      <c r="O502" s="5" t="s">
        <v>830</v>
      </c>
      <c r="P502" s="5" t="s">
        <v>597</v>
      </c>
      <c r="Q502" s="5" t="s">
        <v>831</v>
      </c>
      <c r="R502" s="5" t="s">
        <v>832</v>
      </c>
      <c r="S502" s="5" t="s">
        <v>833</v>
      </c>
      <c r="T502" s="5" t="s">
        <v>445</v>
      </c>
      <c r="U502" s="5"/>
      <c r="V502" s="5"/>
      <c r="W502" s="5"/>
      <c r="X502" s="5"/>
      <c r="Y502" s="5"/>
      <c r="Z502" s="5"/>
      <c r="AA502" s="5"/>
    </row>
    <row r="503" spans="5:27" customFormat="1">
      <c r="E503" s="88"/>
      <c r="F503" s="36" t="s">
        <v>293</v>
      </c>
      <c r="G503" s="5" t="s">
        <v>294</v>
      </c>
      <c r="H503" s="5"/>
      <c r="I503" s="62">
        <v>-5200005</v>
      </c>
      <c r="J503" s="62">
        <v>-3466.67</v>
      </c>
      <c r="K503" s="62">
        <v>1500</v>
      </c>
      <c r="L503" s="100" t="s">
        <v>854</v>
      </c>
      <c r="M503" s="5" t="s">
        <v>452</v>
      </c>
      <c r="N503" s="34" t="s">
        <v>442</v>
      </c>
      <c r="O503" s="5" t="s">
        <v>855</v>
      </c>
      <c r="P503" s="5" t="s">
        <v>597</v>
      </c>
      <c r="Q503" s="5" t="s">
        <v>856</v>
      </c>
      <c r="R503" s="5"/>
      <c r="S503" s="5" t="s">
        <v>857</v>
      </c>
      <c r="T503" s="5" t="s">
        <v>445</v>
      </c>
      <c r="U503" s="5"/>
      <c r="V503" s="5"/>
      <c r="W503" s="5"/>
      <c r="X503" s="5"/>
      <c r="Y503" s="5"/>
      <c r="Z503" s="5"/>
      <c r="AA503" s="5"/>
    </row>
    <row r="504" spans="5:27" customFormat="1">
      <c r="E504" s="88"/>
      <c r="F504" s="36" t="s">
        <v>293</v>
      </c>
      <c r="G504" s="5" t="s">
        <v>294</v>
      </c>
      <c r="H504" s="5"/>
      <c r="I504" s="62">
        <v>-1599999.4</v>
      </c>
      <c r="J504" s="62">
        <v>-1095.8900000000001</v>
      </c>
      <c r="K504" s="62">
        <v>1460</v>
      </c>
      <c r="L504" s="100" t="s">
        <v>914</v>
      </c>
      <c r="M504" s="5" t="s">
        <v>452</v>
      </c>
      <c r="N504" s="34" t="s">
        <v>442</v>
      </c>
      <c r="O504" s="5" t="s">
        <v>915</v>
      </c>
      <c r="P504" s="5" t="s">
        <v>597</v>
      </c>
      <c r="Q504" s="5" t="s">
        <v>916</v>
      </c>
      <c r="R504" s="5"/>
      <c r="S504" s="5" t="s">
        <v>917</v>
      </c>
      <c r="T504" s="5" t="s">
        <v>445</v>
      </c>
      <c r="U504" s="5"/>
      <c r="V504" s="5"/>
      <c r="W504" s="5"/>
      <c r="X504" s="5"/>
      <c r="Y504" s="5"/>
      <c r="Z504" s="5"/>
      <c r="AA504" s="5"/>
    </row>
    <row r="505" spans="5:27" customFormat="1">
      <c r="E505" s="88"/>
      <c r="F505" s="36" t="s">
        <v>293</v>
      </c>
      <c r="G505" s="5" t="s">
        <v>294</v>
      </c>
      <c r="H505" s="5"/>
      <c r="I505" s="62">
        <v>-999997.8</v>
      </c>
      <c r="J505" s="62">
        <v>-684.93</v>
      </c>
      <c r="K505" s="62">
        <v>1460</v>
      </c>
      <c r="L505" s="100" t="s">
        <v>918</v>
      </c>
      <c r="M505" s="5" t="s">
        <v>452</v>
      </c>
      <c r="N505" s="34" t="s">
        <v>442</v>
      </c>
      <c r="O505" s="5" t="s">
        <v>919</v>
      </c>
      <c r="P505" s="5" t="s">
        <v>597</v>
      </c>
      <c r="Q505" s="5" t="s">
        <v>920</v>
      </c>
      <c r="R505" s="5"/>
      <c r="S505" s="5" t="s">
        <v>921</v>
      </c>
      <c r="T505" s="5" t="s">
        <v>445</v>
      </c>
      <c r="U505" s="5"/>
      <c r="V505" s="5"/>
      <c r="W505" s="5"/>
      <c r="X505" s="5"/>
      <c r="Y505" s="5"/>
      <c r="Z505" s="5"/>
      <c r="AA505" s="5"/>
    </row>
    <row r="506" spans="5:27" customFormat="1">
      <c r="E506" s="88"/>
      <c r="F506" s="36" t="s">
        <v>293</v>
      </c>
      <c r="G506" s="5" t="s">
        <v>294</v>
      </c>
      <c r="H506" s="5"/>
      <c r="I506" s="62">
        <v>-1199999.3999999999</v>
      </c>
      <c r="J506" s="62">
        <v>-845.07</v>
      </c>
      <c r="K506" s="62">
        <v>1420</v>
      </c>
      <c r="L506" s="100" t="s">
        <v>985</v>
      </c>
      <c r="M506" s="5" t="s">
        <v>452</v>
      </c>
      <c r="N506" s="34" t="s">
        <v>442</v>
      </c>
      <c r="O506" s="5" t="s">
        <v>986</v>
      </c>
      <c r="P506" s="5" t="s">
        <v>597</v>
      </c>
      <c r="Q506" s="5" t="s">
        <v>987</v>
      </c>
      <c r="R506" s="5"/>
      <c r="S506" s="5" t="s">
        <v>988</v>
      </c>
      <c r="T506" s="5" t="s">
        <v>445</v>
      </c>
      <c r="U506" s="5"/>
      <c r="V506" s="5"/>
      <c r="W506" s="5"/>
      <c r="X506" s="5"/>
      <c r="Y506" s="5"/>
      <c r="Z506" s="5"/>
      <c r="AA506" s="5"/>
    </row>
    <row r="507" spans="5:27" customFormat="1">
      <c r="E507" s="88"/>
      <c r="F507" s="36" t="s">
        <v>293</v>
      </c>
      <c r="G507" s="5" t="s">
        <v>294</v>
      </c>
      <c r="H507" s="5"/>
      <c r="I507" s="62">
        <v>-5000004.5999999996</v>
      </c>
      <c r="J507" s="62">
        <v>-3521.13</v>
      </c>
      <c r="K507" s="62">
        <v>1420</v>
      </c>
      <c r="L507" s="100" t="s">
        <v>989</v>
      </c>
      <c r="M507" s="5" t="s">
        <v>452</v>
      </c>
      <c r="N507" s="34" t="s">
        <v>442</v>
      </c>
      <c r="O507" s="5" t="s">
        <v>990</v>
      </c>
      <c r="P507" s="5" t="s">
        <v>597</v>
      </c>
      <c r="Q507" s="5" t="s">
        <v>991</v>
      </c>
      <c r="R507" s="5"/>
      <c r="S507" s="5" t="s">
        <v>992</v>
      </c>
      <c r="T507" s="5" t="s">
        <v>445</v>
      </c>
      <c r="U507" s="5"/>
      <c r="V507" s="5"/>
      <c r="W507" s="5"/>
      <c r="X507" s="5"/>
      <c r="Y507" s="5"/>
      <c r="Z507" s="5"/>
      <c r="AA507" s="5"/>
    </row>
    <row r="508" spans="5:27" customFormat="1">
      <c r="E508" s="88"/>
      <c r="F508" s="36" t="s">
        <v>293</v>
      </c>
      <c r="G508" s="5" t="s">
        <v>294</v>
      </c>
      <c r="H508" s="5"/>
      <c r="I508" s="62">
        <v>1425000</v>
      </c>
      <c r="J508" s="62">
        <v>950</v>
      </c>
      <c r="K508" s="62">
        <v>1500</v>
      </c>
      <c r="L508" s="100" t="s">
        <v>914</v>
      </c>
      <c r="M508" s="5" t="s">
        <v>452</v>
      </c>
      <c r="N508" s="34" t="s">
        <v>464</v>
      </c>
      <c r="O508" s="5" t="s">
        <v>963</v>
      </c>
      <c r="P508" s="5" t="s">
        <v>597</v>
      </c>
      <c r="Q508" s="5" t="s">
        <v>964</v>
      </c>
      <c r="R508" s="5" t="s">
        <v>971</v>
      </c>
      <c r="S508" s="5" t="s">
        <v>966</v>
      </c>
      <c r="T508" s="5" t="s">
        <v>445</v>
      </c>
      <c r="U508" s="5"/>
      <c r="V508" s="5"/>
      <c r="W508" s="5"/>
      <c r="X508" s="5"/>
      <c r="Y508" s="5"/>
      <c r="Z508" s="5"/>
      <c r="AA508" s="5"/>
    </row>
    <row r="509" spans="5:27" customFormat="1">
      <c r="E509" s="88"/>
      <c r="F509" s="36" t="s">
        <v>293</v>
      </c>
      <c r="G509" s="5" t="s">
        <v>294</v>
      </c>
      <c r="H509" s="5"/>
      <c r="I509" s="62">
        <v>2792250</v>
      </c>
      <c r="J509" s="62">
        <v>1912.5</v>
      </c>
      <c r="K509" s="62">
        <v>1460</v>
      </c>
      <c r="L509" s="100" t="s">
        <v>985</v>
      </c>
      <c r="M509" s="5" t="s">
        <v>452</v>
      </c>
      <c r="N509" s="34" t="s">
        <v>464</v>
      </c>
      <c r="O509" s="5" t="s">
        <v>1111</v>
      </c>
      <c r="P509" s="5" t="s">
        <v>597</v>
      </c>
      <c r="Q509" s="5" t="s">
        <v>1112</v>
      </c>
      <c r="R509" s="5" t="s">
        <v>1117</v>
      </c>
      <c r="S509" s="5" t="s">
        <v>1114</v>
      </c>
      <c r="T509" s="5" t="s">
        <v>445</v>
      </c>
      <c r="U509" s="5"/>
      <c r="V509" s="5"/>
      <c r="W509" s="5"/>
      <c r="X509" s="5"/>
      <c r="Y509" s="5"/>
      <c r="Z509" s="5"/>
      <c r="AA509" s="5"/>
    </row>
    <row r="510" spans="5:27" customFormat="1">
      <c r="E510" s="88"/>
      <c r="F510" s="36" t="s">
        <v>293</v>
      </c>
      <c r="G510" s="5" t="s">
        <v>294</v>
      </c>
      <c r="H510" s="5"/>
      <c r="I510" s="62">
        <v>1750000</v>
      </c>
      <c r="J510" s="62">
        <v>1250</v>
      </c>
      <c r="K510" s="62">
        <v>1400</v>
      </c>
      <c r="L510" s="100" t="s">
        <v>854</v>
      </c>
      <c r="M510" s="5" t="s">
        <v>452</v>
      </c>
      <c r="N510" s="34" t="s">
        <v>464</v>
      </c>
      <c r="O510" s="5" t="s">
        <v>905</v>
      </c>
      <c r="P510" s="5" t="s">
        <v>597</v>
      </c>
      <c r="Q510" s="5" t="s">
        <v>906</v>
      </c>
      <c r="R510" s="5" t="s">
        <v>913</v>
      </c>
      <c r="S510" s="5" t="s">
        <v>908</v>
      </c>
      <c r="T510" s="5" t="s">
        <v>445</v>
      </c>
      <c r="U510" s="5"/>
      <c r="V510" s="5"/>
      <c r="W510" s="5"/>
      <c r="X510" s="5"/>
      <c r="Y510" s="5"/>
      <c r="Z510" s="5"/>
      <c r="AA510" s="5"/>
    </row>
    <row r="511" spans="5:27" customFormat="1">
      <c r="E511" s="88"/>
      <c r="F511" s="36" t="s">
        <v>293</v>
      </c>
      <c r="G511" s="5" t="s">
        <v>294</v>
      </c>
      <c r="H511" s="5"/>
      <c r="I511" s="62">
        <v>-639000</v>
      </c>
      <c r="J511" s="62">
        <v>-450</v>
      </c>
      <c r="K511" s="62">
        <v>1420</v>
      </c>
      <c r="L511" s="100" t="s">
        <v>1013</v>
      </c>
      <c r="M511" s="5" t="s">
        <v>452</v>
      </c>
      <c r="N511" s="34" t="s">
        <v>464</v>
      </c>
      <c r="O511" s="5" t="s">
        <v>1014</v>
      </c>
      <c r="P511" s="5" t="s">
        <v>597</v>
      </c>
      <c r="Q511" s="5" t="s">
        <v>1015</v>
      </c>
      <c r="R511" s="5" t="s">
        <v>1016</v>
      </c>
      <c r="S511" s="5" t="s">
        <v>1017</v>
      </c>
      <c r="T511" s="5" t="s">
        <v>445</v>
      </c>
      <c r="U511" s="5"/>
      <c r="V511" s="5"/>
      <c r="W511" s="5"/>
      <c r="X511" s="5"/>
      <c r="Y511" s="5"/>
      <c r="Z511" s="5"/>
      <c r="AA511" s="5"/>
    </row>
    <row r="512" spans="5:27" customFormat="1">
      <c r="E512" s="88"/>
      <c r="F512" s="36" t="s">
        <v>293</v>
      </c>
      <c r="G512" s="5" t="s">
        <v>294</v>
      </c>
      <c r="H512" s="5"/>
      <c r="I512" s="62">
        <v>5680000</v>
      </c>
      <c r="J512" s="62">
        <v>4000</v>
      </c>
      <c r="K512" s="62">
        <v>1420</v>
      </c>
      <c r="L512" s="100" t="s">
        <v>989</v>
      </c>
      <c r="M512" s="5" t="s">
        <v>452</v>
      </c>
      <c r="N512" s="34" t="s">
        <v>464</v>
      </c>
      <c r="O512" s="5" t="s">
        <v>1136</v>
      </c>
      <c r="P512" s="5" t="s">
        <v>597</v>
      </c>
      <c r="Q512" s="5" t="s">
        <v>1137</v>
      </c>
      <c r="R512" s="5" t="s">
        <v>1138</v>
      </c>
      <c r="S512" s="5" t="s">
        <v>1139</v>
      </c>
      <c r="T512" s="5" t="s">
        <v>445</v>
      </c>
      <c r="U512" s="5"/>
      <c r="V512" s="5"/>
      <c r="W512" s="5"/>
      <c r="X512" s="5"/>
      <c r="Y512" s="5"/>
      <c r="Z512" s="5"/>
      <c r="AA512" s="5"/>
    </row>
    <row r="513" spans="5:27" customFormat="1">
      <c r="E513" s="88"/>
      <c r="F513" s="36" t="s">
        <v>293</v>
      </c>
      <c r="G513" s="5" t="s">
        <v>294</v>
      </c>
      <c r="H513" s="5"/>
      <c r="I513" s="62">
        <v>-15340000</v>
      </c>
      <c r="J513" s="62">
        <v>-11800</v>
      </c>
      <c r="K513" s="62">
        <v>1300</v>
      </c>
      <c r="L513" s="100" t="s">
        <v>451</v>
      </c>
      <c r="M513" s="5" t="s">
        <v>452</v>
      </c>
      <c r="N513" s="34" t="s">
        <v>464</v>
      </c>
      <c r="O513" s="5" t="s">
        <v>518</v>
      </c>
      <c r="P513" s="5" t="s">
        <v>454</v>
      </c>
      <c r="Q513" s="5" t="s">
        <v>519</v>
      </c>
      <c r="R513" s="5" t="s">
        <v>523</v>
      </c>
      <c r="S513" s="5" t="s">
        <v>521</v>
      </c>
      <c r="T513" s="5" t="s">
        <v>445</v>
      </c>
      <c r="U513" s="5"/>
      <c r="V513" s="5"/>
      <c r="W513" s="5"/>
      <c r="X513" s="5"/>
      <c r="Y513" s="5"/>
      <c r="Z513" s="5"/>
      <c r="AA513" s="5"/>
    </row>
    <row r="514" spans="5:27" customFormat="1">
      <c r="E514" s="88"/>
      <c r="F514" s="36" t="s">
        <v>293</v>
      </c>
      <c r="G514" s="5" t="s">
        <v>294</v>
      </c>
      <c r="H514" s="5"/>
      <c r="I514" s="62">
        <v>15340000</v>
      </c>
      <c r="J514" s="62">
        <v>11800</v>
      </c>
      <c r="K514" s="62">
        <v>1300</v>
      </c>
      <c r="L514" s="100" t="s">
        <v>451</v>
      </c>
      <c r="M514" s="5" t="s">
        <v>452</v>
      </c>
      <c r="N514" s="34" t="s">
        <v>464</v>
      </c>
      <c r="O514" s="5" t="s">
        <v>568</v>
      </c>
      <c r="P514" s="5" t="s">
        <v>454</v>
      </c>
      <c r="Q514" s="5" t="s">
        <v>569</v>
      </c>
      <c r="R514" s="5" t="s">
        <v>573</v>
      </c>
      <c r="S514" s="5" t="s">
        <v>571</v>
      </c>
      <c r="T514" s="5" t="s">
        <v>445</v>
      </c>
      <c r="U514" s="5"/>
      <c r="V514" s="5"/>
      <c r="W514" s="5"/>
      <c r="X514" s="5"/>
      <c r="Y514" s="5"/>
      <c r="Z514" s="5"/>
      <c r="AA514" s="5"/>
    </row>
    <row r="515" spans="5:27" customFormat="1">
      <c r="E515" s="88"/>
      <c r="F515" s="36" t="s">
        <v>293</v>
      </c>
      <c r="G515" s="5" t="s">
        <v>294</v>
      </c>
      <c r="H515" s="5"/>
      <c r="I515" s="62">
        <v>-276642</v>
      </c>
      <c r="J515" s="62">
        <v>-196.2</v>
      </c>
      <c r="K515" s="62">
        <v>1410</v>
      </c>
      <c r="L515" s="100" t="s">
        <v>608</v>
      </c>
      <c r="M515" s="5" t="s">
        <v>452</v>
      </c>
      <c r="N515" s="34" t="s">
        <v>464</v>
      </c>
      <c r="O515" s="5" t="s">
        <v>738</v>
      </c>
      <c r="P515" s="5" t="s">
        <v>597</v>
      </c>
      <c r="Q515" s="5" t="s">
        <v>739</v>
      </c>
      <c r="R515" s="5" t="s">
        <v>746</v>
      </c>
      <c r="S515" s="5" t="s">
        <v>741</v>
      </c>
      <c r="T515" s="5" t="s">
        <v>445</v>
      </c>
      <c r="U515" s="5"/>
      <c r="V515" s="5"/>
      <c r="W515" s="5"/>
      <c r="X515" s="5"/>
      <c r="Y515" s="5"/>
      <c r="Z515" s="5"/>
      <c r="AA515" s="5"/>
    </row>
    <row r="516" spans="5:27" customFormat="1">
      <c r="E516" s="88"/>
      <c r="F516" s="36" t="s">
        <v>293</v>
      </c>
      <c r="G516" s="5" t="s">
        <v>294</v>
      </c>
      <c r="H516" s="5"/>
      <c r="I516" s="62">
        <v>-184428</v>
      </c>
      <c r="J516" s="62">
        <v>-130.80000000000001</v>
      </c>
      <c r="K516" s="62">
        <v>1410</v>
      </c>
      <c r="L516" s="100" t="s">
        <v>608</v>
      </c>
      <c r="M516" s="5" t="s">
        <v>452</v>
      </c>
      <c r="N516" s="34" t="s">
        <v>464</v>
      </c>
      <c r="O516" s="5" t="s">
        <v>738</v>
      </c>
      <c r="P516" s="5" t="s">
        <v>597</v>
      </c>
      <c r="Q516" s="5" t="s">
        <v>739</v>
      </c>
      <c r="R516" s="5" t="s">
        <v>747</v>
      </c>
      <c r="S516" s="5" t="s">
        <v>741</v>
      </c>
      <c r="T516" s="5" t="s">
        <v>445</v>
      </c>
      <c r="U516" s="5"/>
      <c r="V516" s="5"/>
      <c r="W516" s="5"/>
      <c r="X516" s="5"/>
      <c r="Y516" s="5"/>
      <c r="Z516" s="5"/>
      <c r="AA516" s="5"/>
    </row>
    <row r="517" spans="5:27" customFormat="1">
      <c r="E517" s="88"/>
      <c r="F517" s="36" t="s">
        <v>293</v>
      </c>
      <c r="G517" s="5" t="s">
        <v>294</v>
      </c>
      <c r="H517" s="5"/>
      <c r="I517" s="62">
        <v>-286452</v>
      </c>
      <c r="J517" s="62">
        <v>-196.2</v>
      </c>
      <c r="K517" s="62">
        <v>1460</v>
      </c>
      <c r="L517" s="100" t="s">
        <v>914</v>
      </c>
      <c r="M517" s="5" t="s">
        <v>452</v>
      </c>
      <c r="N517" s="34" t="s">
        <v>464</v>
      </c>
      <c r="O517" s="5" t="s">
        <v>922</v>
      </c>
      <c r="P517" s="5" t="s">
        <v>597</v>
      </c>
      <c r="Q517" s="5" t="s">
        <v>923</v>
      </c>
      <c r="R517" s="5" t="s">
        <v>927</v>
      </c>
      <c r="S517" s="5" t="s">
        <v>925</v>
      </c>
      <c r="T517" s="5" t="s">
        <v>445</v>
      </c>
      <c r="U517" s="5"/>
      <c r="V517" s="5"/>
      <c r="W517" s="5"/>
      <c r="X517" s="5"/>
      <c r="Y517" s="5"/>
      <c r="Z517" s="5"/>
      <c r="AA517" s="5"/>
    </row>
    <row r="518" spans="5:27" customFormat="1">
      <c r="E518" s="88"/>
      <c r="F518" s="36" t="s">
        <v>293</v>
      </c>
      <c r="G518" s="5" t="s">
        <v>294</v>
      </c>
      <c r="H518" s="5"/>
      <c r="I518" s="62">
        <v>-190968</v>
      </c>
      <c r="J518" s="62">
        <v>-130.80000000000001</v>
      </c>
      <c r="K518" s="62">
        <v>1460</v>
      </c>
      <c r="L518" s="100" t="s">
        <v>914</v>
      </c>
      <c r="M518" s="5" t="s">
        <v>452</v>
      </c>
      <c r="N518" s="34" t="s">
        <v>464</v>
      </c>
      <c r="O518" s="5" t="s">
        <v>922</v>
      </c>
      <c r="P518" s="5" t="s">
        <v>597</v>
      </c>
      <c r="Q518" s="5" t="s">
        <v>923</v>
      </c>
      <c r="R518" s="5" t="s">
        <v>928</v>
      </c>
      <c r="S518" s="5" t="s">
        <v>925</v>
      </c>
      <c r="T518" s="5" t="s">
        <v>445</v>
      </c>
      <c r="U518" s="5"/>
      <c r="V518" s="5"/>
      <c r="W518" s="5"/>
      <c r="X518" s="5"/>
      <c r="Y518" s="5"/>
      <c r="Z518" s="5"/>
      <c r="AA518" s="5"/>
    </row>
    <row r="519" spans="5:27" customFormat="1">
      <c r="E519" s="88"/>
      <c r="F519" s="36" t="s">
        <v>293</v>
      </c>
      <c r="G519" s="5" t="s">
        <v>294</v>
      </c>
      <c r="H519" s="5"/>
      <c r="I519" s="62">
        <v>-269800</v>
      </c>
      <c r="J519" s="62">
        <v>-190</v>
      </c>
      <c r="K519" s="62">
        <v>1420</v>
      </c>
      <c r="L519" s="100" t="s">
        <v>989</v>
      </c>
      <c r="M519" s="5" t="s">
        <v>452</v>
      </c>
      <c r="N519" s="34" t="s">
        <v>464</v>
      </c>
      <c r="O519" s="5" t="s">
        <v>1082</v>
      </c>
      <c r="P519" s="5" t="s">
        <v>597</v>
      </c>
      <c r="Q519" s="5" t="s">
        <v>1083</v>
      </c>
      <c r="R519" s="5" t="s">
        <v>1088</v>
      </c>
      <c r="S519" s="5" t="s">
        <v>1085</v>
      </c>
      <c r="T519" s="5" t="s">
        <v>445</v>
      </c>
      <c r="U519" s="5"/>
      <c r="V519" s="5"/>
      <c r="W519" s="5"/>
      <c r="X519" s="5"/>
      <c r="Y519" s="5"/>
      <c r="Z519" s="5"/>
      <c r="AA519" s="5"/>
    </row>
    <row r="520" spans="5:27" customFormat="1">
      <c r="E520" s="88"/>
      <c r="F520" s="36" t="s">
        <v>293</v>
      </c>
      <c r="G520" s="5" t="s">
        <v>294</v>
      </c>
      <c r="H520" s="5"/>
      <c r="I520" s="62">
        <v>-651780</v>
      </c>
      <c r="J520" s="62">
        <v>-459</v>
      </c>
      <c r="K520" s="62">
        <v>1420</v>
      </c>
      <c r="L520" s="100" t="s">
        <v>989</v>
      </c>
      <c r="M520" s="5" t="s">
        <v>452</v>
      </c>
      <c r="N520" s="34" t="s">
        <v>464</v>
      </c>
      <c r="O520" s="5" t="s">
        <v>1082</v>
      </c>
      <c r="P520" s="5" t="s">
        <v>597</v>
      </c>
      <c r="Q520" s="5" t="s">
        <v>1083</v>
      </c>
      <c r="R520" s="5" t="s">
        <v>1090</v>
      </c>
      <c r="S520" s="5" t="s">
        <v>1085</v>
      </c>
      <c r="T520" s="5" t="s">
        <v>445</v>
      </c>
      <c r="U520" s="5"/>
      <c r="V520" s="5"/>
      <c r="W520" s="5"/>
      <c r="X520" s="5"/>
      <c r="Y520" s="5"/>
      <c r="Z520" s="5"/>
      <c r="AA520" s="5"/>
    </row>
    <row r="521" spans="5:27" customFormat="1">
      <c r="E521" s="88"/>
      <c r="F521" s="36" t="s">
        <v>293</v>
      </c>
      <c r="G521" s="5" t="s">
        <v>294</v>
      </c>
      <c r="H521" s="5"/>
      <c r="I521" s="62">
        <v>-1625000</v>
      </c>
      <c r="J521" s="62">
        <v>-1250</v>
      </c>
      <c r="K521" s="62">
        <v>1300</v>
      </c>
      <c r="L521" s="100" t="s">
        <v>472</v>
      </c>
      <c r="M521" s="5" t="s">
        <v>452</v>
      </c>
      <c r="N521" s="34" t="s">
        <v>464</v>
      </c>
      <c r="O521" s="5" t="s">
        <v>551</v>
      </c>
      <c r="P521" s="5" t="s">
        <v>454</v>
      </c>
      <c r="Q521" s="5" t="s">
        <v>552</v>
      </c>
      <c r="R521" s="5" t="s">
        <v>556</v>
      </c>
      <c r="S521" s="5" t="s">
        <v>554</v>
      </c>
      <c r="T521" s="5" t="s">
        <v>445</v>
      </c>
      <c r="U521" s="5"/>
      <c r="V521" s="5"/>
      <c r="W521" s="5"/>
      <c r="X521" s="5"/>
      <c r="Y521" s="5"/>
      <c r="Z521" s="5"/>
      <c r="AA521" s="5"/>
    </row>
    <row r="522" spans="5:27" customFormat="1">
      <c r="E522" s="88"/>
      <c r="F522" s="36" t="s">
        <v>293</v>
      </c>
      <c r="G522" s="5" t="s">
        <v>294</v>
      </c>
      <c r="H522" s="5"/>
      <c r="I522" s="62">
        <v>-680184</v>
      </c>
      <c r="J522" s="62">
        <v>-482.4</v>
      </c>
      <c r="K522" s="62">
        <v>1410</v>
      </c>
      <c r="L522" s="100" t="s">
        <v>608</v>
      </c>
      <c r="M522" s="5" t="s">
        <v>452</v>
      </c>
      <c r="N522" s="34" t="s">
        <v>464</v>
      </c>
      <c r="O522" s="5" t="s">
        <v>738</v>
      </c>
      <c r="P522" s="5" t="s">
        <v>597</v>
      </c>
      <c r="Q522" s="5" t="s">
        <v>739</v>
      </c>
      <c r="R522" s="5" t="s">
        <v>748</v>
      </c>
      <c r="S522" s="5" t="s">
        <v>741</v>
      </c>
      <c r="T522" s="5" t="s">
        <v>445</v>
      </c>
      <c r="U522" s="5"/>
      <c r="V522" s="5"/>
      <c r="W522" s="5"/>
      <c r="X522" s="5"/>
      <c r="Y522" s="5"/>
      <c r="Z522" s="5"/>
      <c r="AA522" s="5"/>
    </row>
    <row r="523" spans="5:27" customFormat="1">
      <c r="E523" s="88"/>
      <c r="F523" s="36" t="s">
        <v>293</v>
      </c>
      <c r="G523" s="5" t="s">
        <v>294</v>
      </c>
      <c r="H523" s="5"/>
      <c r="I523" s="62">
        <v>-453456</v>
      </c>
      <c r="J523" s="62">
        <v>-321.60000000000002</v>
      </c>
      <c r="K523" s="62">
        <v>1410</v>
      </c>
      <c r="L523" s="100" t="s">
        <v>608</v>
      </c>
      <c r="M523" s="5" t="s">
        <v>452</v>
      </c>
      <c r="N523" s="34" t="s">
        <v>464</v>
      </c>
      <c r="O523" s="5" t="s">
        <v>738</v>
      </c>
      <c r="P523" s="5" t="s">
        <v>597</v>
      </c>
      <c r="Q523" s="5" t="s">
        <v>739</v>
      </c>
      <c r="R523" s="5" t="s">
        <v>745</v>
      </c>
      <c r="S523" s="5" t="s">
        <v>741</v>
      </c>
      <c r="T523" s="5" t="s">
        <v>445</v>
      </c>
      <c r="U523" s="5"/>
      <c r="V523" s="5"/>
      <c r="W523" s="5"/>
      <c r="X523" s="5"/>
      <c r="Y523" s="5"/>
      <c r="Z523" s="5"/>
      <c r="AA523" s="5"/>
    </row>
    <row r="524" spans="5:27" customFormat="1">
      <c r="E524" s="88"/>
      <c r="F524" s="36" t="s">
        <v>293</v>
      </c>
      <c r="G524" s="5" t="s">
        <v>294</v>
      </c>
      <c r="H524" s="5"/>
      <c r="I524" s="62">
        <v>-704304</v>
      </c>
      <c r="J524" s="62">
        <v>-482.4</v>
      </c>
      <c r="K524" s="62">
        <v>1460</v>
      </c>
      <c r="L524" s="100" t="s">
        <v>914</v>
      </c>
      <c r="M524" s="5" t="s">
        <v>452</v>
      </c>
      <c r="N524" s="34" t="s">
        <v>464</v>
      </c>
      <c r="O524" s="5" t="s">
        <v>922</v>
      </c>
      <c r="P524" s="5" t="s">
        <v>597</v>
      </c>
      <c r="Q524" s="5" t="s">
        <v>923</v>
      </c>
      <c r="R524" s="5" t="s">
        <v>926</v>
      </c>
      <c r="S524" s="5" t="s">
        <v>925</v>
      </c>
      <c r="T524" s="5" t="s">
        <v>445</v>
      </c>
      <c r="U524" s="5"/>
      <c r="V524" s="5"/>
      <c r="W524" s="5"/>
      <c r="X524" s="5"/>
      <c r="Y524" s="5"/>
      <c r="Z524" s="5"/>
      <c r="AA524" s="5"/>
    </row>
    <row r="525" spans="5:27" customFormat="1">
      <c r="E525" s="88"/>
      <c r="F525" s="36" t="s">
        <v>293</v>
      </c>
      <c r="G525" s="5" t="s">
        <v>294</v>
      </c>
      <c r="H525" s="5"/>
      <c r="I525" s="62">
        <v>-469536</v>
      </c>
      <c r="J525" s="62">
        <v>-321.60000000000002</v>
      </c>
      <c r="K525" s="62">
        <v>1460</v>
      </c>
      <c r="L525" s="100" t="s">
        <v>914</v>
      </c>
      <c r="M525" s="5" t="s">
        <v>452</v>
      </c>
      <c r="N525" s="34" t="s">
        <v>464</v>
      </c>
      <c r="O525" s="5" t="s">
        <v>922</v>
      </c>
      <c r="P525" s="5" t="s">
        <v>597</v>
      </c>
      <c r="Q525" s="5" t="s">
        <v>923</v>
      </c>
      <c r="R525" s="5" t="s">
        <v>934</v>
      </c>
      <c r="S525" s="5" t="s">
        <v>925</v>
      </c>
      <c r="T525" s="5" t="s">
        <v>445</v>
      </c>
      <c r="U525" s="5"/>
      <c r="V525" s="5"/>
      <c r="W525" s="5"/>
      <c r="X525" s="5"/>
      <c r="Y525" s="5"/>
      <c r="Z525" s="5"/>
      <c r="AA525" s="5"/>
    </row>
    <row r="526" spans="5:27" customFormat="1">
      <c r="E526" s="88"/>
      <c r="F526" s="36" t="s">
        <v>293</v>
      </c>
      <c r="G526" s="5" t="s">
        <v>294</v>
      </c>
      <c r="H526" s="5"/>
      <c r="I526" s="62">
        <v>-664560</v>
      </c>
      <c r="J526" s="62">
        <v>-468</v>
      </c>
      <c r="K526" s="62">
        <v>1420</v>
      </c>
      <c r="L526" s="100" t="s">
        <v>989</v>
      </c>
      <c r="M526" s="5" t="s">
        <v>452</v>
      </c>
      <c r="N526" s="34" t="s">
        <v>464</v>
      </c>
      <c r="O526" s="5" t="s">
        <v>1082</v>
      </c>
      <c r="P526" s="5" t="s">
        <v>597</v>
      </c>
      <c r="Q526" s="5" t="s">
        <v>1083</v>
      </c>
      <c r="R526" s="5" t="s">
        <v>1086</v>
      </c>
      <c r="S526" s="5" t="s">
        <v>1085</v>
      </c>
      <c r="T526" s="5" t="s">
        <v>445</v>
      </c>
      <c r="U526" s="5"/>
      <c r="V526" s="5"/>
      <c r="W526" s="5"/>
      <c r="X526" s="5"/>
      <c r="Y526" s="5"/>
      <c r="Z526" s="5"/>
      <c r="AA526" s="5"/>
    </row>
    <row r="527" spans="5:27" customFormat="1">
      <c r="E527" s="88"/>
      <c r="F527" s="36" t="s">
        <v>293</v>
      </c>
      <c r="G527" s="5" t="s">
        <v>294</v>
      </c>
      <c r="H527" s="5"/>
      <c r="I527" s="62">
        <v>-1604600</v>
      </c>
      <c r="J527" s="62">
        <v>-1130</v>
      </c>
      <c r="K527" s="62">
        <v>1420</v>
      </c>
      <c r="L527" s="100" t="s">
        <v>989</v>
      </c>
      <c r="M527" s="5" t="s">
        <v>452</v>
      </c>
      <c r="N527" s="34" t="s">
        <v>464</v>
      </c>
      <c r="O527" s="5" t="s">
        <v>1082</v>
      </c>
      <c r="P527" s="5" t="s">
        <v>597</v>
      </c>
      <c r="Q527" s="5" t="s">
        <v>1083</v>
      </c>
      <c r="R527" s="5" t="s">
        <v>1095</v>
      </c>
      <c r="S527" s="5" t="s">
        <v>1085</v>
      </c>
      <c r="T527" s="5" t="s">
        <v>445</v>
      </c>
      <c r="U527" s="5"/>
      <c r="V527" s="5"/>
      <c r="W527" s="5"/>
      <c r="X527" s="5"/>
      <c r="Y527" s="5"/>
      <c r="Z527" s="5"/>
      <c r="AA527" s="5"/>
    </row>
    <row r="528" spans="5:27" customFormat="1">
      <c r="E528" s="88"/>
      <c r="F528" s="36" t="s">
        <v>293</v>
      </c>
      <c r="G528" s="5" t="s">
        <v>294</v>
      </c>
      <c r="H528" s="5"/>
      <c r="I528" s="62">
        <v>-3748970.4</v>
      </c>
      <c r="J528" s="62">
        <v>-2640.12</v>
      </c>
      <c r="K528" s="62">
        <v>1420</v>
      </c>
      <c r="L528" s="100" t="s">
        <v>985</v>
      </c>
      <c r="M528" s="5" t="s">
        <v>452</v>
      </c>
      <c r="N528" s="34" t="s">
        <v>464</v>
      </c>
      <c r="O528" s="5" t="s">
        <v>997</v>
      </c>
      <c r="P528" s="5" t="s">
        <v>597</v>
      </c>
      <c r="Q528" s="5" t="s">
        <v>998</v>
      </c>
      <c r="R528" s="5" t="s">
        <v>1001</v>
      </c>
      <c r="S528" s="5" t="s">
        <v>1000</v>
      </c>
      <c r="T528" s="5" t="s">
        <v>445</v>
      </c>
      <c r="U528" s="5"/>
      <c r="V528" s="5"/>
      <c r="W528" s="5"/>
      <c r="X528" s="5"/>
      <c r="Y528" s="5"/>
      <c r="Z528" s="5"/>
      <c r="AA528" s="5"/>
    </row>
    <row r="529" spans="5:27" customFormat="1">
      <c r="E529" s="88"/>
      <c r="F529" s="36" t="s">
        <v>293</v>
      </c>
      <c r="G529" s="5" t="s">
        <v>294</v>
      </c>
      <c r="H529" s="5"/>
      <c r="I529" s="62">
        <v>1218240</v>
      </c>
      <c r="J529" s="62">
        <v>864</v>
      </c>
      <c r="K529" s="62">
        <v>1410</v>
      </c>
      <c r="L529" s="100" t="s">
        <v>604</v>
      </c>
      <c r="M529" s="5" t="s">
        <v>452</v>
      </c>
      <c r="N529" s="34" t="s">
        <v>464</v>
      </c>
      <c r="O529" s="5" t="s">
        <v>797</v>
      </c>
      <c r="P529" s="5" t="s">
        <v>597</v>
      </c>
      <c r="Q529" s="5" t="s">
        <v>798</v>
      </c>
      <c r="R529" s="5" t="s">
        <v>801</v>
      </c>
      <c r="S529" s="5" t="s">
        <v>800</v>
      </c>
      <c r="T529" s="5" t="s">
        <v>445</v>
      </c>
      <c r="U529" s="5"/>
      <c r="V529" s="5"/>
      <c r="W529" s="5"/>
      <c r="X529" s="5"/>
      <c r="Y529" s="5"/>
      <c r="Z529" s="5"/>
      <c r="AA529" s="5"/>
    </row>
    <row r="530" spans="5:27" customFormat="1">
      <c r="E530" s="88"/>
      <c r="F530" s="36" t="s">
        <v>293</v>
      </c>
      <c r="G530" s="5" t="s">
        <v>294</v>
      </c>
      <c r="H530" s="5"/>
      <c r="I530" s="62">
        <v>-40283.699999999997</v>
      </c>
      <c r="J530" s="62">
        <v>-28.57</v>
      </c>
      <c r="K530" s="62">
        <v>1410</v>
      </c>
      <c r="L530" s="100" t="s">
        <v>604</v>
      </c>
      <c r="M530" s="5" t="s">
        <v>452</v>
      </c>
      <c r="N530" s="34" t="s">
        <v>464</v>
      </c>
      <c r="O530" s="5" t="s">
        <v>714</v>
      </c>
      <c r="P530" s="5" t="s">
        <v>597</v>
      </c>
      <c r="Q530" s="5" t="s">
        <v>715</v>
      </c>
      <c r="R530" s="5" t="s">
        <v>720</v>
      </c>
      <c r="S530" s="5" t="s">
        <v>717</v>
      </c>
      <c r="T530" s="5" t="s">
        <v>445</v>
      </c>
      <c r="U530" s="5"/>
      <c r="V530" s="5"/>
      <c r="W530" s="5"/>
      <c r="X530" s="5"/>
      <c r="Y530" s="5"/>
      <c r="Z530" s="5"/>
      <c r="AA530" s="5"/>
    </row>
    <row r="531" spans="5:27" customFormat="1">
      <c r="E531" s="88"/>
      <c r="F531" s="36" t="s">
        <v>293</v>
      </c>
      <c r="G531" s="5" t="s">
        <v>294</v>
      </c>
      <c r="H531" s="5"/>
      <c r="I531" s="62">
        <v>3000000</v>
      </c>
      <c r="J531" s="62">
        <v>2000</v>
      </c>
      <c r="K531" s="62">
        <v>1500</v>
      </c>
      <c r="L531" s="100" t="s">
        <v>914</v>
      </c>
      <c r="M531" s="5" t="s">
        <v>452</v>
      </c>
      <c r="N531" s="34" t="s">
        <v>464</v>
      </c>
      <c r="O531" s="5" t="s">
        <v>963</v>
      </c>
      <c r="P531" s="5" t="s">
        <v>597</v>
      </c>
      <c r="Q531" s="5" t="s">
        <v>964</v>
      </c>
      <c r="R531" s="5" t="s">
        <v>969</v>
      </c>
      <c r="S531" s="5" t="s">
        <v>966</v>
      </c>
      <c r="T531" s="5" t="s">
        <v>445</v>
      </c>
      <c r="U531" s="5"/>
      <c r="V531" s="5"/>
      <c r="W531" s="5"/>
      <c r="X531" s="5"/>
      <c r="Y531" s="5"/>
      <c r="Z531" s="5"/>
      <c r="AA531" s="5"/>
    </row>
    <row r="532" spans="5:27" customFormat="1">
      <c r="E532" s="88"/>
      <c r="F532" s="36" t="s">
        <v>293</v>
      </c>
      <c r="G532" s="5" t="s">
        <v>294</v>
      </c>
      <c r="H532" s="5"/>
      <c r="I532" s="62">
        <v>2396800</v>
      </c>
      <c r="J532" s="62">
        <v>1712</v>
      </c>
      <c r="K532" s="62">
        <v>1400</v>
      </c>
      <c r="L532" s="100" t="s">
        <v>854</v>
      </c>
      <c r="M532" s="5" t="s">
        <v>452</v>
      </c>
      <c r="N532" s="34" t="s">
        <v>464</v>
      </c>
      <c r="O532" s="5" t="s">
        <v>905</v>
      </c>
      <c r="P532" s="5" t="s">
        <v>597</v>
      </c>
      <c r="Q532" s="5" t="s">
        <v>906</v>
      </c>
      <c r="R532" s="5" t="s">
        <v>910</v>
      </c>
      <c r="S532" s="5" t="s">
        <v>908</v>
      </c>
      <c r="T532" s="5" t="s">
        <v>445</v>
      </c>
      <c r="U532" s="5"/>
      <c r="V532" s="5"/>
      <c r="W532" s="5"/>
      <c r="X532" s="5"/>
      <c r="Y532" s="5"/>
      <c r="Z532" s="5"/>
      <c r="AA532" s="5"/>
    </row>
    <row r="533" spans="5:27" customFormat="1">
      <c r="E533" s="88"/>
      <c r="F533" s="36" t="s">
        <v>293</v>
      </c>
      <c r="G533" s="5" t="s">
        <v>294</v>
      </c>
      <c r="H533" s="5"/>
      <c r="I533" s="62">
        <v>1358500</v>
      </c>
      <c r="J533" s="62">
        <v>950</v>
      </c>
      <c r="K533" s="62">
        <v>1430</v>
      </c>
      <c r="L533" s="100" t="s">
        <v>854</v>
      </c>
      <c r="M533" s="5" t="s">
        <v>452</v>
      </c>
      <c r="N533" s="34" t="s">
        <v>464</v>
      </c>
      <c r="O533" s="5" t="s">
        <v>905</v>
      </c>
      <c r="P533" s="5" t="s">
        <v>597</v>
      </c>
      <c r="Q533" s="5" t="s">
        <v>906</v>
      </c>
      <c r="R533" s="5" t="s">
        <v>912</v>
      </c>
      <c r="S533" s="5" t="s">
        <v>908</v>
      </c>
      <c r="T533" s="5" t="s">
        <v>445</v>
      </c>
      <c r="U533" s="5"/>
      <c r="V533" s="5"/>
      <c r="W533" s="5"/>
      <c r="X533" s="5"/>
      <c r="Y533" s="5"/>
      <c r="Z533" s="5"/>
      <c r="AA533" s="5"/>
    </row>
    <row r="534" spans="5:27" customFormat="1">
      <c r="E534" s="88"/>
      <c r="F534" s="36" t="s">
        <v>293</v>
      </c>
      <c r="G534" s="5" t="s">
        <v>294</v>
      </c>
      <c r="H534" s="5"/>
      <c r="I534" s="62">
        <v>2717000</v>
      </c>
      <c r="J534" s="62">
        <v>1900</v>
      </c>
      <c r="K534" s="62">
        <v>1430</v>
      </c>
      <c r="L534" s="100" t="s">
        <v>854</v>
      </c>
      <c r="M534" s="5" t="s">
        <v>452</v>
      </c>
      <c r="N534" s="34" t="s">
        <v>464</v>
      </c>
      <c r="O534" s="5" t="s">
        <v>905</v>
      </c>
      <c r="P534" s="5" t="s">
        <v>597</v>
      </c>
      <c r="Q534" s="5" t="s">
        <v>906</v>
      </c>
      <c r="R534" s="5" t="s">
        <v>907</v>
      </c>
      <c r="S534" s="5" t="s">
        <v>908</v>
      </c>
      <c r="T534" s="5" t="s">
        <v>445</v>
      </c>
      <c r="U534" s="5"/>
      <c r="V534" s="5"/>
      <c r="W534" s="5"/>
      <c r="X534" s="5"/>
      <c r="Y534" s="5"/>
      <c r="Z534" s="5"/>
      <c r="AA534" s="5"/>
    </row>
    <row r="535" spans="5:27" customFormat="1">
      <c r="E535" s="88"/>
      <c r="F535" s="36" t="s">
        <v>293</v>
      </c>
      <c r="G535" s="5" t="s">
        <v>294</v>
      </c>
      <c r="H535" s="5"/>
      <c r="I535" s="62">
        <v>1014700</v>
      </c>
      <c r="J535" s="62">
        <v>730</v>
      </c>
      <c r="K535" s="62">
        <v>1390</v>
      </c>
      <c r="L535" s="100" t="s">
        <v>604</v>
      </c>
      <c r="M535" s="5" t="s">
        <v>452</v>
      </c>
      <c r="N535" s="34" t="s">
        <v>464</v>
      </c>
      <c r="O535" s="5" t="s">
        <v>797</v>
      </c>
      <c r="P535" s="5" t="s">
        <v>597</v>
      </c>
      <c r="Q535" s="5" t="s">
        <v>798</v>
      </c>
      <c r="R535" s="5" t="s">
        <v>807</v>
      </c>
      <c r="S535" s="5" t="s">
        <v>800</v>
      </c>
      <c r="T535" s="5" t="s">
        <v>445</v>
      </c>
      <c r="U535" s="5"/>
      <c r="V535" s="5"/>
      <c r="W535" s="5"/>
      <c r="X535" s="5"/>
      <c r="Y535" s="5"/>
      <c r="Z535" s="5"/>
      <c r="AA535" s="5"/>
    </row>
    <row r="536" spans="5:27" customFormat="1">
      <c r="E536" s="88"/>
      <c r="F536" s="36" t="s">
        <v>293</v>
      </c>
      <c r="G536" s="5" t="s">
        <v>294</v>
      </c>
      <c r="H536" s="5"/>
      <c r="I536" s="62">
        <v>3109800</v>
      </c>
      <c r="J536" s="62">
        <v>2190</v>
      </c>
      <c r="K536" s="62">
        <v>1420</v>
      </c>
      <c r="L536" s="100" t="s">
        <v>1030</v>
      </c>
      <c r="M536" s="5" t="s">
        <v>452</v>
      </c>
      <c r="N536" s="34" t="s">
        <v>464</v>
      </c>
      <c r="O536" s="5" t="s">
        <v>1144</v>
      </c>
      <c r="P536" s="5" t="s">
        <v>597</v>
      </c>
      <c r="Q536" s="5" t="s">
        <v>1145</v>
      </c>
      <c r="R536" s="5" t="s">
        <v>1149</v>
      </c>
      <c r="S536" s="5" t="s">
        <v>1147</v>
      </c>
      <c r="T536" s="5" t="s">
        <v>445</v>
      </c>
      <c r="U536" s="5"/>
      <c r="V536" s="5"/>
      <c r="W536" s="5"/>
      <c r="X536" s="5"/>
      <c r="Y536" s="5"/>
      <c r="Z536" s="5"/>
      <c r="AA536" s="5"/>
    </row>
    <row r="537" spans="5:27" customFormat="1">
      <c r="E537" s="88"/>
      <c r="F537" s="36" t="s">
        <v>293</v>
      </c>
      <c r="G537" s="5" t="s">
        <v>294</v>
      </c>
      <c r="H537" s="5"/>
      <c r="I537" s="62">
        <v>3109800</v>
      </c>
      <c r="J537" s="62">
        <v>2190</v>
      </c>
      <c r="K537" s="62">
        <v>1420</v>
      </c>
      <c r="L537" s="100" t="s">
        <v>623</v>
      </c>
      <c r="M537" s="5" t="s">
        <v>452</v>
      </c>
      <c r="N537" s="34" t="s">
        <v>464</v>
      </c>
      <c r="O537" s="5" t="s">
        <v>779</v>
      </c>
      <c r="P537" s="5" t="s">
        <v>597</v>
      </c>
      <c r="Q537" s="5" t="s">
        <v>780</v>
      </c>
      <c r="R537" s="5" t="s">
        <v>781</v>
      </c>
      <c r="S537" s="5" t="s">
        <v>782</v>
      </c>
      <c r="T537" s="5" t="s">
        <v>445</v>
      </c>
      <c r="U537" s="5"/>
      <c r="V537" s="5"/>
      <c r="W537" s="5"/>
      <c r="X537" s="5"/>
      <c r="Y537" s="5"/>
      <c r="Z537" s="5"/>
      <c r="AA537" s="5"/>
    </row>
    <row r="538" spans="5:27" customFormat="1">
      <c r="E538" s="88"/>
      <c r="F538" s="36" t="s">
        <v>293</v>
      </c>
      <c r="G538" s="5" t="s">
        <v>294</v>
      </c>
      <c r="H538" s="5"/>
      <c r="I538" s="62">
        <v>2668535</v>
      </c>
      <c r="J538" s="62">
        <v>1879.25</v>
      </c>
      <c r="K538" s="62">
        <v>1420</v>
      </c>
      <c r="L538" s="100" t="s">
        <v>1013</v>
      </c>
      <c r="M538" s="5" t="s">
        <v>452</v>
      </c>
      <c r="N538" s="34" t="s">
        <v>464</v>
      </c>
      <c r="O538" s="5" t="s">
        <v>1124</v>
      </c>
      <c r="P538" s="5" t="s">
        <v>597</v>
      </c>
      <c r="Q538" s="5" t="s">
        <v>1125</v>
      </c>
      <c r="R538" s="5" t="s">
        <v>1126</v>
      </c>
      <c r="S538" s="5" t="s">
        <v>1127</v>
      </c>
      <c r="T538" s="5" t="s">
        <v>445</v>
      </c>
      <c r="U538" s="5"/>
      <c r="V538" s="5"/>
      <c r="W538" s="5"/>
      <c r="X538" s="5"/>
      <c r="Y538" s="5"/>
      <c r="Z538" s="5"/>
      <c r="AA538" s="5"/>
    </row>
    <row r="539" spans="5:27" customFormat="1">
      <c r="E539" s="88"/>
      <c r="F539" s="36" t="s">
        <v>293</v>
      </c>
      <c r="G539" s="5" t="s">
        <v>294</v>
      </c>
      <c r="H539" s="5"/>
      <c r="I539" s="62">
        <v>2792250</v>
      </c>
      <c r="J539" s="62">
        <v>1912.5</v>
      </c>
      <c r="K539" s="62">
        <v>1460</v>
      </c>
      <c r="L539" s="100" t="s">
        <v>914</v>
      </c>
      <c r="M539" s="5" t="s">
        <v>452</v>
      </c>
      <c r="N539" s="34" t="s">
        <v>464</v>
      </c>
      <c r="O539" s="5" t="s">
        <v>972</v>
      </c>
      <c r="P539" s="5" t="s">
        <v>597</v>
      </c>
      <c r="Q539" s="5" t="s">
        <v>973</v>
      </c>
      <c r="R539" s="5" t="s">
        <v>983</v>
      </c>
      <c r="S539" s="5" t="s">
        <v>975</v>
      </c>
      <c r="T539" s="5" t="s">
        <v>445</v>
      </c>
      <c r="U539" s="5"/>
      <c r="V539" s="5"/>
      <c r="W539" s="5"/>
      <c r="X539" s="5"/>
      <c r="Y539" s="5"/>
      <c r="Z539" s="5"/>
      <c r="AA539" s="5"/>
    </row>
    <row r="540" spans="5:27" customFormat="1">
      <c r="E540" s="88"/>
      <c r="F540" s="36" t="s">
        <v>293</v>
      </c>
      <c r="G540" s="5" t="s">
        <v>294</v>
      </c>
      <c r="H540" s="5"/>
      <c r="I540" s="62">
        <v>2643750</v>
      </c>
      <c r="J540" s="62">
        <v>1875</v>
      </c>
      <c r="K540" s="62">
        <v>1410</v>
      </c>
      <c r="L540" s="100" t="s">
        <v>813</v>
      </c>
      <c r="M540" s="5" t="s">
        <v>452</v>
      </c>
      <c r="N540" s="34" t="s">
        <v>464</v>
      </c>
      <c r="O540" s="5" t="s">
        <v>843</v>
      </c>
      <c r="P540" s="5" t="s">
        <v>597</v>
      </c>
      <c r="Q540" s="5" t="s">
        <v>844</v>
      </c>
      <c r="R540" s="5" t="s">
        <v>845</v>
      </c>
      <c r="S540" s="5" t="s">
        <v>846</v>
      </c>
      <c r="T540" s="5" t="s">
        <v>445</v>
      </c>
      <c r="U540" s="5"/>
      <c r="V540" s="5"/>
      <c r="W540" s="5"/>
      <c r="X540" s="5"/>
      <c r="Y540" s="5"/>
      <c r="Z540" s="5"/>
      <c r="AA540" s="5"/>
    </row>
    <row r="541" spans="5:27" customFormat="1">
      <c r="E541" s="88"/>
      <c r="F541" s="36" t="s">
        <v>293</v>
      </c>
      <c r="G541" s="5" t="s">
        <v>294</v>
      </c>
      <c r="H541" s="5"/>
      <c r="I541" s="62">
        <v>1331250</v>
      </c>
      <c r="J541" s="62">
        <v>937.5</v>
      </c>
      <c r="K541" s="62">
        <v>1420</v>
      </c>
      <c r="L541" s="100" t="s">
        <v>472</v>
      </c>
      <c r="M541" s="5" t="s">
        <v>452</v>
      </c>
      <c r="N541" s="34" t="s">
        <v>464</v>
      </c>
      <c r="O541" s="5" t="s">
        <v>578</v>
      </c>
      <c r="P541" s="5" t="s">
        <v>454</v>
      </c>
      <c r="Q541" s="5" t="s">
        <v>579</v>
      </c>
      <c r="R541" s="5" t="s">
        <v>583</v>
      </c>
      <c r="S541" s="5" t="s">
        <v>581</v>
      </c>
      <c r="T541" s="5" t="s">
        <v>445</v>
      </c>
      <c r="U541" s="5"/>
      <c r="V541" s="5"/>
      <c r="W541" s="5"/>
      <c r="X541" s="5"/>
      <c r="Y541" s="5"/>
      <c r="Z541" s="5"/>
      <c r="AA541" s="5"/>
    </row>
    <row r="542" spans="5:27" customFormat="1">
      <c r="E542" s="88"/>
      <c r="F542" s="36" t="s">
        <v>293</v>
      </c>
      <c r="G542" s="5" t="s">
        <v>294</v>
      </c>
      <c r="H542" s="5"/>
      <c r="I542" s="62">
        <v>909694.6</v>
      </c>
      <c r="J542" s="62">
        <v>640.63</v>
      </c>
      <c r="K542" s="62">
        <v>1420</v>
      </c>
      <c r="L542" s="100" t="s">
        <v>989</v>
      </c>
      <c r="M542" s="5" t="s">
        <v>452</v>
      </c>
      <c r="N542" s="34" t="s">
        <v>464</v>
      </c>
      <c r="O542" s="5" t="s">
        <v>1136</v>
      </c>
      <c r="P542" s="5" t="s">
        <v>597</v>
      </c>
      <c r="Q542" s="5" t="s">
        <v>1137</v>
      </c>
      <c r="R542" s="5" t="s">
        <v>1142</v>
      </c>
      <c r="S542" s="5" t="s">
        <v>1139</v>
      </c>
      <c r="T542" s="5" t="s">
        <v>445</v>
      </c>
      <c r="U542" s="5"/>
      <c r="V542" s="5"/>
      <c r="W542" s="5"/>
      <c r="X542" s="5"/>
      <c r="Y542" s="5"/>
      <c r="Z542" s="5"/>
      <c r="AA542" s="5"/>
    </row>
    <row r="543" spans="5:27" customFormat="1">
      <c r="E543" s="88"/>
      <c r="F543" s="36" t="s">
        <v>293</v>
      </c>
      <c r="G543" s="5" t="s">
        <v>294</v>
      </c>
      <c r="H543" s="5"/>
      <c r="I543" s="62">
        <v>3976000</v>
      </c>
      <c r="J543" s="62">
        <v>2800</v>
      </c>
      <c r="K543" s="62">
        <v>1420</v>
      </c>
      <c r="L543" s="100" t="s">
        <v>623</v>
      </c>
      <c r="M543" s="5" t="s">
        <v>452</v>
      </c>
      <c r="N543" s="34" t="s">
        <v>464</v>
      </c>
      <c r="O543" s="5" t="s">
        <v>779</v>
      </c>
      <c r="P543" s="5" t="s">
        <v>597</v>
      </c>
      <c r="Q543" s="5" t="s">
        <v>780</v>
      </c>
      <c r="R543" s="5" t="s">
        <v>783</v>
      </c>
      <c r="S543" s="5" t="s">
        <v>782</v>
      </c>
      <c r="T543" s="5" t="s">
        <v>445</v>
      </c>
      <c r="U543" s="5"/>
      <c r="V543" s="5"/>
      <c r="W543" s="5"/>
      <c r="X543" s="5"/>
      <c r="Y543" s="5"/>
      <c r="Z543" s="5"/>
      <c r="AA543" s="5"/>
    </row>
    <row r="544" spans="5:27" customFormat="1">
      <c r="E544" s="88"/>
      <c r="F544" s="36" t="s">
        <v>293</v>
      </c>
      <c r="G544" s="5" t="s">
        <v>294</v>
      </c>
      <c r="H544" s="5"/>
      <c r="I544" s="62">
        <v>-509522</v>
      </c>
      <c r="J544" s="62">
        <v>-391.94</v>
      </c>
      <c r="K544" s="62">
        <v>1300</v>
      </c>
      <c r="L544" s="100" t="s">
        <v>459</v>
      </c>
      <c r="M544" s="5" t="s">
        <v>452</v>
      </c>
      <c r="N544" s="34" t="s">
        <v>464</v>
      </c>
      <c r="O544" s="5" t="s">
        <v>505</v>
      </c>
      <c r="P544" s="5" t="s">
        <v>454</v>
      </c>
      <c r="Q544" s="5" t="s">
        <v>506</v>
      </c>
      <c r="R544" s="5" t="s">
        <v>509</v>
      </c>
      <c r="S544" s="5" t="s">
        <v>508</v>
      </c>
      <c r="T544" s="5" t="s">
        <v>445</v>
      </c>
      <c r="U544" s="5"/>
      <c r="V544" s="5"/>
      <c r="W544" s="5"/>
      <c r="X544" s="5"/>
      <c r="Y544" s="5"/>
      <c r="Z544" s="5"/>
      <c r="AA544" s="5"/>
    </row>
    <row r="545" spans="5:27" customFormat="1">
      <c r="E545" s="88"/>
      <c r="F545" s="36" t="s">
        <v>293</v>
      </c>
      <c r="G545" s="5" t="s">
        <v>294</v>
      </c>
      <c r="H545" s="5"/>
      <c r="I545" s="62">
        <v>1304250</v>
      </c>
      <c r="J545" s="62">
        <v>925</v>
      </c>
      <c r="K545" s="62">
        <v>1410</v>
      </c>
      <c r="L545" s="100" t="s">
        <v>604</v>
      </c>
      <c r="M545" s="5" t="s">
        <v>452</v>
      </c>
      <c r="N545" s="34" t="s">
        <v>464</v>
      </c>
      <c r="O545" s="5" t="s">
        <v>797</v>
      </c>
      <c r="P545" s="5" t="s">
        <v>597</v>
      </c>
      <c r="Q545" s="5" t="s">
        <v>798</v>
      </c>
      <c r="R545" s="5" t="s">
        <v>799</v>
      </c>
      <c r="S545" s="5" t="s">
        <v>800</v>
      </c>
      <c r="T545" s="5" t="s">
        <v>445</v>
      </c>
      <c r="U545" s="5"/>
      <c r="V545" s="5"/>
      <c r="W545" s="5"/>
      <c r="X545" s="5"/>
      <c r="Y545" s="5"/>
      <c r="Z545" s="5"/>
      <c r="AA545" s="5"/>
    </row>
    <row r="546" spans="5:27" customFormat="1">
      <c r="E546" s="88"/>
      <c r="F546" s="36" t="s">
        <v>293</v>
      </c>
      <c r="G546" s="5" t="s">
        <v>294</v>
      </c>
      <c r="H546" s="5"/>
      <c r="I546" s="62">
        <v>-44189.4</v>
      </c>
      <c r="J546" s="62">
        <v>-31.34</v>
      </c>
      <c r="K546" s="62">
        <v>1410</v>
      </c>
      <c r="L546" s="100" t="s">
        <v>604</v>
      </c>
      <c r="M546" s="5" t="s">
        <v>452</v>
      </c>
      <c r="N546" s="34" t="s">
        <v>464</v>
      </c>
      <c r="O546" s="5" t="s">
        <v>714</v>
      </c>
      <c r="P546" s="5" t="s">
        <v>597</v>
      </c>
      <c r="Q546" s="5" t="s">
        <v>715</v>
      </c>
      <c r="R546" s="5" t="s">
        <v>725</v>
      </c>
      <c r="S546" s="5" t="s">
        <v>717</v>
      </c>
      <c r="T546" s="5" t="s">
        <v>445</v>
      </c>
      <c r="U546" s="5"/>
      <c r="V546" s="5"/>
      <c r="W546" s="5"/>
      <c r="X546" s="5"/>
      <c r="Y546" s="5"/>
      <c r="Z546" s="5"/>
      <c r="AA546" s="5"/>
    </row>
    <row r="547" spans="5:27" customFormat="1">
      <c r="E547" s="88"/>
      <c r="F547" s="36" t="s">
        <v>293</v>
      </c>
      <c r="G547" s="5" t="s">
        <v>294</v>
      </c>
      <c r="H547" s="5"/>
      <c r="I547" s="62">
        <v>5381800</v>
      </c>
      <c r="J547" s="62">
        <v>3790</v>
      </c>
      <c r="K547" s="62">
        <v>1420</v>
      </c>
      <c r="L547" s="100" t="s">
        <v>1013</v>
      </c>
      <c r="M547" s="5" t="s">
        <v>452</v>
      </c>
      <c r="N547" s="34" t="s">
        <v>464</v>
      </c>
      <c r="O547" s="5" t="s">
        <v>1124</v>
      </c>
      <c r="P547" s="5" t="s">
        <v>597</v>
      </c>
      <c r="Q547" s="5" t="s">
        <v>1125</v>
      </c>
      <c r="R547" s="5" t="s">
        <v>1129</v>
      </c>
      <c r="S547" s="5" t="s">
        <v>1127</v>
      </c>
      <c r="T547" s="5" t="s">
        <v>445</v>
      </c>
      <c r="U547" s="5"/>
      <c r="V547" s="5"/>
      <c r="W547" s="5"/>
      <c r="X547" s="5"/>
      <c r="Y547" s="5"/>
      <c r="Z547" s="5"/>
      <c r="AA547" s="5"/>
    </row>
    <row r="548" spans="5:27" customFormat="1">
      <c r="E548" s="88"/>
      <c r="F548" s="36" t="s">
        <v>293</v>
      </c>
      <c r="G548" s="5" t="s">
        <v>294</v>
      </c>
      <c r="H548" s="5"/>
      <c r="I548" s="62">
        <v>1277500</v>
      </c>
      <c r="J548" s="62">
        <v>875</v>
      </c>
      <c r="K548" s="62">
        <v>1460</v>
      </c>
      <c r="L548" s="100" t="s">
        <v>985</v>
      </c>
      <c r="M548" s="5" t="s">
        <v>452</v>
      </c>
      <c r="N548" s="34" t="s">
        <v>464</v>
      </c>
      <c r="O548" s="5" t="s">
        <v>1111</v>
      </c>
      <c r="P548" s="5" t="s">
        <v>597</v>
      </c>
      <c r="Q548" s="5" t="s">
        <v>1112</v>
      </c>
      <c r="R548" s="5" t="s">
        <v>1119</v>
      </c>
      <c r="S548" s="5" t="s">
        <v>1114</v>
      </c>
      <c r="T548" s="5" t="s">
        <v>445</v>
      </c>
      <c r="U548" s="5"/>
      <c r="V548" s="5"/>
      <c r="W548" s="5"/>
      <c r="X548" s="5"/>
      <c r="Y548" s="5"/>
      <c r="Z548" s="5"/>
      <c r="AA548" s="5"/>
    </row>
    <row r="549" spans="5:27" customFormat="1">
      <c r="E549" s="88"/>
      <c r="F549" s="36" t="s">
        <v>293</v>
      </c>
      <c r="G549" s="5" t="s">
        <v>294</v>
      </c>
      <c r="H549" s="5"/>
      <c r="I549" s="62">
        <v>1242500</v>
      </c>
      <c r="J549" s="62">
        <v>875</v>
      </c>
      <c r="K549" s="62">
        <v>1420</v>
      </c>
      <c r="L549" s="100" t="s">
        <v>1013</v>
      </c>
      <c r="M549" s="5" t="s">
        <v>452</v>
      </c>
      <c r="N549" s="34" t="s">
        <v>464</v>
      </c>
      <c r="O549" s="5" t="s">
        <v>1124</v>
      </c>
      <c r="P549" s="5" t="s">
        <v>597</v>
      </c>
      <c r="Q549" s="5" t="s">
        <v>1125</v>
      </c>
      <c r="R549" s="5" t="s">
        <v>1131</v>
      </c>
      <c r="S549" s="5" t="s">
        <v>1127</v>
      </c>
      <c r="T549" s="5" t="s">
        <v>445</v>
      </c>
      <c r="U549" s="5"/>
      <c r="V549" s="5"/>
      <c r="W549" s="5"/>
      <c r="X549" s="5"/>
      <c r="Y549" s="5"/>
      <c r="Z549" s="5"/>
      <c r="AA549" s="5"/>
    </row>
    <row r="550" spans="5:27" customFormat="1">
      <c r="E550" s="88"/>
      <c r="F550" s="36" t="s">
        <v>293</v>
      </c>
      <c r="G550" s="5" t="s">
        <v>294</v>
      </c>
      <c r="H550" s="5"/>
      <c r="I550" s="62">
        <v>1242500</v>
      </c>
      <c r="J550" s="62">
        <v>875</v>
      </c>
      <c r="K550" s="62">
        <v>1420</v>
      </c>
      <c r="L550" s="100" t="s">
        <v>1013</v>
      </c>
      <c r="M550" s="5" t="s">
        <v>452</v>
      </c>
      <c r="N550" s="34" t="s">
        <v>464</v>
      </c>
      <c r="O550" s="5" t="s">
        <v>1124</v>
      </c>
      <c r="P550" s="5" t="s">
        <v>597</v>
      </c>
      <c r="Q550" s="5" t="s">
        <v>1125</v>
      </c>
      <c r="R550" s="5" t="s">
        <v>1130</v>
      </c>
      <c r="S550" s="5" t="s">
        <v>1127</v>
      </c>
      <c r="T550" s="5" t="s">
        <v>445</v>
      </c>
      <c r="U550" s="5"/>
      <c r="V550" s="5"/>
      <c r="W550" s="5"/>
      <c r="X550" s="5"/>
      <c r="Y550" s="5"/>
      <c r="Z550" s="5"/>
      <c r="AA550" s="5"/>
    </row>
    <row r="551" spans="5:27" customFormat="1">
      <c r="E551" s="88"/>
      <c r="F551" s="36" t="s">
        <v>293</v>
      </c>
      <c r="G551" s="5" t="s">
        <v>294</v>
      </c>
      <c r="H551" s="5"/>
      <c r="I551" s="62">
        <v>1277500</v>
      </c>
      <c r="J551" s="62">
        <v>875</v>
      </c>
      <c r="K551" s="62">
        <v>1460</v>
      </c>
      <c r="L551" s="100" t="s">
        <v>985</v>
      </c>
      <c r="M551" s="5" t="s">
        <v>452</v>
      </c>
      <c r="N551" s="34" t="s">
        <v>464</v>
      </c>
      <c r="O551" s="5" t="s">
        <v>1111</v>
      </c>
      <c r="P551" s="5" t="s">
        <v>597</v>
      </c>
      <c r="Q551" s="5" t="s">
        <v>1112</v>
      </c>
      <c r="R551" s="5" t="s">
        <v>1116</v>
      </c>
      <c r="S551" s="5" t="s">
        <v>1114</v>
      </c>
      <c r="T551" s="5" t="s">
        <v>445</v>
      </c>
      <c r="U551" s="5"/>
      <c r="V551" s="5"/>
      <c r="W551" s="5"/>
      <c r="X551" s="5"/>
      <c r="Y551" s="5"/>
      <c r="Z551" s="5"/>
      <c r="AA551" s="5"/>
    </row>
    <row r="552" spans="5:27" customFormat="1">
      <c r="E552" s="88"/>
      <c r="F552" s="36" t="s">
        <v>293</v>
      </c>
      <c r="G552" s="5" t="s">
        <v>294</v>
      </c>
      <c r="H552" s="5"/>
      <c r="I552" s="62">
        <v>1335975</v>
      </c>
      <c r="J552" s="62">
        <v>947.5</v>
      </c>
      <c r="K552" s="62">
        <v>1410</v>
      </c>
      <c r="L552" s="100" t="s">
        <v>604</v>
      </c>
      <c r="M552" s="5" t="s">
        <v>452</v>
      </c>
      <c r="N552" s="34" t="s">
        <v>464</v>
      </c>
      <c r="O552" s="5" t="s">
        <v>797</v>
      </c>
      <c r="P552" s="5" t="s">
        <v>597</v>
      </c>
      <c r="Q552" s="5" t="s">
        <v>798</v>
      </c>
      <c r="R552" s="5" t="s">
        <v>803</v>
      </c>
      <c r="S552" s="5" t="s">
        <v>800</v>
      </c>
      <c r="T552" s="5" t="s">
        <v>445</v>
      </c>
      <c r="U552" s="5"/>
      <c r="V552" s="5"/>
      <c r="W552" s="5"/>
      <c r="X552" s="5"/>
      <c r="Y552" s="5"/>
      <c r="Z552" s="5"/>
      <c r="AA552" s="5"/>
    </row>
    <row r="553" spans="5:27" customFormat="1">
      <c r="E553" s="88"/>
      <c r="F553" s="36" t="s">
        <v>293</v>
      </c>
      <c r="G553" s="5" t="s">
        <v>294</v>
      </c>
      <c r="H553" s="5"/>
      <c r="I553" s="62">
        <v>-72276.600000000006</v>
      </c>
      <c r="J553" s="62">
        <v>-51.26</v>
      </c>
      <c r="K553" s="62">
        <v>1410</v>
      </c>
      <c r="L553" s="100" t="s">
        <v>604</v>
      </c>
      <c r="M553" s="5" t="s">
        <v>452</v>
      </c>
      <c r="N553" s="34" t="s">
        <v>464</v>
      </c>
      <c r="O553" s="5" t="s">
        <v>714</v>
      </c>
      <c r="P553" s="5" t="s">
        <v>597</v>
      </c>
      <c r="Q553" s="5" t="s">
        <v>715</v>
      </c>
      <c r="R553" s="5" t="s">
        <v>722</v>
      </c>
      <c r="S553" s="5" t="s">
        <v>717</v>
      </c>
      <c r="T553" s="5" t="s">
        <v>445</v>
      </c>
      <c r="U553" s="5"/>
      <c r="V553" s="5"/>
      <c r="W553" s="5"/>
      <c r="X553" s="5"/>
      <c r="Y553" s="5"/>
      <c r="Z553" s="5"/>
      <c r="AA553" s="5"/>
    </row>
    <row r="554" spans="5:27" customFormat="1">
      <c r="E554" s="88"/>
      <c r="F554" s="36" t="s">
        <v>293</v>
      </c>
      <c r="G554" s="5" t="s">
        <v>294</v>
      </c>
      <c r="H554" s="5"/>
      <c r="I554" s="62">
        <v>3478450</v>
      </c>
      <c r="J554" s="62">
        <v>2382.5</v>
      </c>
      <c r="K554" s="62">
        <v>1460</v>
      </c>
      <c r="L554" s="100" t="s">
        <v>914</v>
      </c>
      <c r="M554" s="5" t="s">
        <v>452</v>
      </c>
      <c r="N554" s="34" t="s">
        <v>464</v>
      </c>
      <c r="O554" s="5" t="s">
        <v>972</v>
      </c>
      <c r="P554" s="5" t="s">
        <v>597</v>
      </c>
      <c r="Q554" s="5" t="s">
        <v>973</v>
      </c>
      <c r="R554" s="5" t="s">
        <v>980</v>
      </c>
      <c r="S554" s="5" t="s">
        <v>975</v>
      </c>
      <c r="T554" s="5" t="s">
        <v>445</v>
      </c>
      <c r="U554" s="5"/>
      <c r="V554" s="5"/>
      <c r="W554" s="5"/>
      <c r="X554" s="5"/>
      <c r="Y554" s="5"/>
      <c r="Z554" s="5"/>
      <c r="AA554" s="5"/>
    </row>
    <row r="555" spans="5:27" customFormat="1">
      <c r="E555" s="88"/>
      <c r="F555" s="36" t="s">
        <v>293</v>
      </c>
      <c r="G555" s="5" t="s">
        <v>294</v>
      </c>
      <c r="H555" s="5"/>
      <c r="I555" s="62">
        <v>-121749.4</v>
      </c>
      <c r="J555" s="62">
        <v>-83.39</v>
      </c>
      <c r="K555" s="62">
        <v>1460</v>
      </c>
      <c r="L555" s="100" t="s">
        <v>914</v>
      </c>
      <c r="M555" s="5" t="s">
        <v>452</v>
      </c>
      <c r="N555" s="34" t="s">
        <v>464</v>
      </c>
      <c r="O555" s="5" t="s">
        <v>953</v>
      </c>
      <c r="P555" s="5" t="s">
        <v>597</v>
      </c>
      <c r="Q555" s="5" t="s">
        <v>954</v>
      </c>
      <c r="R555" s="5" t="s">
        <v>955</v>
      </c>
      <c r="S555" s="5" t="s">
        <v>956</v>
      </c>
      <c r="T555" s="5" t="s">
        <v>445</v>
      </c>
      <c r="U555" s="5"/>
      <c r="V555" s="5"/>
      <c r="W555" s="5"/>
      <c r="X555" s="5"/>
      <c r="Y555" s="5"/>
      <c r="Z555" s="5"/>
      <c r="AA555" s="5"/>
    </row>
    <row r="556" spans="5:27" customFormat="1">
      <c r="E556" s="88"/>
      <c r="F556" s="36" t="s">
        <v>293</v>
      </c>
      <c r="G556" s="5" t="s">
        <v>294</v>
      </c>
      <c r="H556" s="5"/>
      <c r="I556" s="62">
        <v>1335975</v>
      </c>
      <c r="J556" s="62">
        <v>947.5</v>
      </c>
      <c r="K556" s="62">
        <v>1410</v>
      </c>
      <c r="L556" s="100" t="s">
        <v>604</v>
      </c>
      <c r="M556" s="5" t="s">
        <v>452</v>
      </c>
      <c r="N556" s="34" t="s">
        <v>464</v>
      </c>
      <c r="O556" s="5" t="s">
        <v>797</v>
      </c>
      <c r="P556" s="5" t="s">
        <v>597</v>
      </c>
      <c r="Q556" s="5" t="s">
        <v>798</v>
      </c>
      <c r="R556" s="5" t="s">
        <v>802</v>
      </c>
      <c r="S556" s="5" t="s">
        <v>800</v>
      </c>
      <c r="T556" s="5" t="s">
        <v>445</v>
      </c>
      <c r="U556" s="5"/>
      <c r="V556" s="5"/>
      <c r="W556" s="5"/>
      <c r="X556" s="5"/>
      <c r="Y556" s="5"/>
      <c r="Z556" s="5"/>
      <c r="AA556" s="5"/>
    </row>
    <row r="557" spans="5:27" customFormat="1">
      <c r="E557" s="88"/>
      <c r="F557" s="36" t="s">
        <v>293</v>
      </c>
      <c r="G557" s="5" t="s">
        <v>294</v>
      </c>
      <c r="H557" s="5"/>
      <c r="I557" s="62">
        <v>-44189.4</v>
      </c>
      <c r="J557" s="62">
        <v>-31.34</v>
      </c>
      <c r="K557" s="62">
        <v>1410</v>
      </c>
      <c r="L557" s="100" t="s">
        <v>604</v>
      </c>
      <c r="M557" s="5" t="s">
        <v>452</v>
      </c>
      <c r="N557" s="34" t="s">
        <v>464</v>
      </c>
      <c r="O557" s="5" t="s">
        <v>714</v>
      </c>
      <c r="P557" s="5" t="s">
        <v>597</v>
      </c>
      <c r="Q557" s="5" t="s">
        <v>715</v>
      </c>
      <c r="R557" s="5" t="s">
        <v>719</v>
      </c>
      <c r="S557" s="5" t="s">
        <v>717</v>
      </c>
      <c r="T557" s="5" t="s">
        <v>445</v>
      </c>
      <c r="U557" s="5"/>
      <c r="V557" s="5"/>
      <c r="W557" s="5"/>
      <c r="X557" s="5"/>
      <c r="Y557" s="5"/>
      <c r="Z557" s="5"/>
      <c r="AA557" s="5"/>
    </row>
    <row r="558" spans="5:27" customFormat="1">
      <c r="E558" s="88"/>
      <c r="F558" s="36" t="s">
        <v>293</v>
      </c>
      <c r="G558" s="5" t="s">
        <v>294</v>
      </c>
      <c r="H558" s="5"/>
      <c r="I558" s="62">
        <v>2190350</v>
      </c>
      <c r="J558" s="62">
        <v>1542.5</v>
      </c>
      <c r="K558" s="62">
        <v>1420</v>
      </c>
      <c r="L558" s="100" t="s">
        <v>1030</v>
      </c>
      <c r="M558" s="5" t="s">
        <v>452</v>
      </c>
      <c r="N558" s="34" t="s">
        <v>464</v>
      </c>
      <c r="O558" s="5" t="s">
        <v>1144</v>
      </c>
      <c r="P558" s="5" t="s">
        <v>597</v>
      </c>
      <c r="Q558" s="5" t="s">
        <v>1145</v>
      </c>
      <c r="R558" s="5" t="s">
        <v>1148</v>
      </c>
      <c r="S558" s="5" t="s">
        <v>1147</v>
      </c>
      <c r="T558" s="5" t="s">
        <v>445</v>
      </c>
      <c r="U558" s="5"/>
      <c r="V558" s="5"/>
      <c r="W558" s="5"/>
      <c r="X558" s="5"/>
      <c r="Y558" s="5"/>
      <c r="Z558" s="5"/>
      <c r="AA558" s="5"/>
    </row>
    <row r="559" spans="5:27" customFormat="1">
      <c r="E559" s="88"/>
      <c r="F559" s="36" t="s">
        <v>293</v>
      </c>
      <c r="G559" s="5" t="s">
        <v>294</v>
      </c>
      <c r="H559" s="5"/>
      <c r="I559" s="62">
        <v>2137100</v>
      </c>
      <c r="J559" s="62">
        <v>1505</v>
      </c>
      <c r="K559" s="62">
        <v>1420</v>
      </c>
      <c r="L559" s="100" t="s">
        <v>1030</v>
      </c>
      <c r="M559" s="5" t="s">
        <v>452</v>
      </c>
      <c r="N559" s="34" t="s">
        <v>464</v>
      </c>
      <c r="O559" s="5" t="s">
        <v>1144</v>
      </c>
      <c r="P559" s="5" t="s">
        <v>597</v>
      </c>
      <c r="Q559" s="5" t="s">
        <v>1145</v>
      </c>
      <c r="R559" s="5" t="s">
        <v>1150</v>
      </c>
      <c r="S559" s="5" t="s">
        <v>1147</v>
      </c>
      <c r="T559" s="5" t="s">
        <v>445</v>
      </c>
      <c r="U559" s="5"/>
      <c r="V559" s="5"/>
      <c r="W559" s="5"/>
      <c r="X559" s="5"/>
      <c r="Y559" s="5"/>
      <c r="Z559" s="5"/>
      <c r="AA559" s="5"/>
    </row>
    <row r="560" spans="5:27" customFormat="1">
      <c r="E560" s="88"/>
      <c r="F560" s="36" t="s">
        <v>293</v>
      </c>
      <c r="G560" s="5" t="s">
        <v>294</v>
      </c>
      <c r="H560" s="5"/>
      <c r="I560" s="62">
        <v>3212000</v>
      </c>
      <c r="J560" s="62">
        <v>2200</v>
      </c>
      <c r="K560" s="62">
        <v>1460</v>
      </c>
      <c r="L560" s="100" t="s">
        <v>985</v>
      </c>
      <c r="M560" s="5" t="s">
        <v>452</v>
      </c>
      <c r="N560" s="34" t="s">
        <v>464</v>
      </c>
      <c r="O560" s="5" t="s">
        <v>1111</v>
      </c>
      <c r="P560" s="5" t="s">
        <v>597</v>
      </c>
      <c r="Q560" s="5" t="s">
        <v>1112</v>
      </c>
      <c r="R560" s="5" t="s">
        <v>1113</v>
      </c>
      <c r="S560" s="5" t="s">
        <v>1114</v>
      </c>
      <c r="T560" s="5" t="s">
        <v>445</v>
      </c>
      <c r="U560" s="5"/>
      <c r="V560" s="5"/>
      <c r="W560" s="5"/>
      <c r="X560" s="5"/>
      <c r="Y560" s="5"/>
      <c r="Z560" s="5"/>
      <c r="AA560" s="5"/>
    </row>
    <row r="561" spans="5:27" customFormat="1">
      <c r="E561" s="88"/>
      <c r="F561" s="36" t="s">
        <v>293</v>
      </c>
      <c r="G561" s="5" t="s">
        <v>294</v>
      </c>
      <c r="H561" s="5"/>
      <c r="I561" s="62">
        <v>3115000</v>
      </c>
      <c r="J561" s="62">
        <v>2225</v>
      </c>
      <c r="K561" s="62">
        <v>1400</v>
      </c>
      <c r="L561" s="100" t="s">
        <v>854</v>
      </c>
      <c r="M561" s="5" t="s">
        <v>452</v>
      </c>
      <c r="N561" s="34" t="s">
        <v>464</v>
      </c>
      <c r="O561" s="5" t="s">
        <v>905</v>
      </c>
      <c r="P561" s="5" t="s">
        <v>597</v>
      </c>
      <c r="Q561" s="5" t="s">
        <v>906</v>
      </c>
      <c r="R561" s="5" t="s">
        <v>909</v>
      </c>
      <c r="S561" s="5" t="s">
        <v>908</v>
      </c>
      <c r="T561" s="5" t="s">
        <v>445</v>
      </c>
      <c r="U561" s="5"/>
      <c r="V561" s="5"/>
      <c r="W561" s="5"/>
      <c r="X561" s="5"/>
      <c r="Y561" s="5"/>
      <c r="Z561" s="5"/>
      <c r="AA561" s="5"/>
    </row>
    <row r="562" spans="5:27" customFormat="1">
      <c r="E562" s="88"/>
      <c r="F562" s="36" t="s">
        <v>293</v>
      </c>
      <c r="G562" s="5" t="s">
        <v>294</v>
      </c>
      <c r="H562" s="5"/>
      <c r="I562" s="62">
        <v>2185500</v>
      </c>
      <c r="J562" s="62">
        <v>1550</v>
      </c>
      <c r="K562" s="62">
        <v>1410</v>
      </c>
      <c r="L562" s="100" t="s">
        <v>604</v>
      </c>
      <c r="M562" s="5" t="s">
        <v>452</v>
      </c>
      <c r="N562" s="34" t="s">
        <v>464</v>
      </c>
      <c r="O562" s="5" t="s">
        <v>797</v>
      </c>
      <c r="P562" s="5" t="s">
        <v>597</v>
      </c>
      <c r="Q562" s="5" t="s">
        <v>798</v>
      </c>
      <c r="R562" s="5" t="s">
        <v>804</v>
      </c>
      <c r="S562" s="5" t="s">
        <v>800</v>
      </c>
      <c r="T562" s="5" t="s">
        <v>445</v>
      </c>
      <c r="U562" s="5"/>
      <c r="V562" s="5"/>
      <c r="W562" s="5"/>
      <c r="X562" s="5"/>
      <c r="Y562" s="5"/>
      <c r="Z562" s="5"/>
      <c r="AA562" s="5"/>
    </row>
    <row r="563" spans="5:27" customFormat="1">
      <c r="E563" s="88"/>
      <c r="F563" s="36" t="s">
        <v>293</v>
      </c>
      <c r="G563" s="5" t="s">
        <v>294</v>
      </c>
      <c r="H563" s="5"/>
      <c r="I563" s="62">
        <v>-76943.7</v>
      </c>
      <c r="J563" s="62">
        <v>-54.57</v>
      </c>
      <c r="K563" s="62">
        <v>1410</v>
      </c>
      <c r="L563" s="100" t="s">
        <v>604</v>
      </c>
      <c r="M563" s="5" t="s">
        <v>452</v>
      </c>
      <c r="N563" s="34" t="s">
        <v>464</v>
      </c>
      <c r="O563" s="5" t="s">
        <v>714</v>
      </c>
      <c r="P563" s="5" t="s">
        <v>597</v>
      </c>
      <c r="Q563" s="5" t="s">
        <v>715</v>
      </c>
      <c r="R563" s="5" t="s">
        <v>721</v>
      </c>
      <c r="S563" s="5" t="s">
        <v>717</v>
      </c>
      <c r="T563" s="5" t="s">
        <v>445</v>
      </c>
      <c r="U563" s="5"/>
      <c r="V563" s="5"/>
      <c r="W563" s="5"/>
      <c r="X563" s="5"/>
      <c r="Y563" s="5"/>
      <c r="Z563" s="5"/>
      <c r="AA563" s="5"/>
    </row>
    <row r="564" spans="5:27" customFormat="1">
      <c r="E564" s="88"/>
      <c r="F564" s="36" t="s">
        <v>293</v>
      </c>
      <c r="G564" s="5" t="s">
        <v>294</v>
      </c>
      <c r="H564" s="5"/>
      <c r="I564" s="62">
        <v>2556000</v>
      </c>
      <c r="J564" s="62">
        <v>1800</v>
      </c>
      <c r="K564" s="62">
        <v>1420</v>
      </c>
      <c r="L564" s="100" t="s">
        <v>989</v>
      </c>
      <c r="M564" s="5" t="s">
        <v>452</v>
      </c>
      <c r="N564" s="34" t="s">
        <v>464</v>
      </c>
      <c r="O564" s="5" t="s">
        <v>1136</v>
      </c>
      <c r="P564" s="5" t="s">
        <v>597</v>
      </c>
      <c r="Q564" s="5" t="s">
        <v>1137</v>
      </c>
      <c r="R564" s="5" t="s">
        <v>1140</v>
      </c>
      <c r="S564" s="5" t="s">
        <v>1139</v>
      </c>
      <c r="T564" s="5" t="s">
        <v>445</v>
      </c>
      <c r="U564" s="5"/>
      <c r="V564" s="5"/>
      <c r="W564" s="5"/>
      <c r="X564" s="5"/>
      <c r="Y564" s="5"/>
      <c r="Z564" s="5"/>
      <c r="AA564" s="5"/>
    </row>
    <row r="565" spans="5:27" customFormat="1">
      <c r="E565" s="88"/>
      <c r="F565" s="36" t="s">
        <v>293</v>
      </c>
      <c r="G565" s="5" t="s">
        <v>294</v>
      </c>
      <c r="H565" s="5"/>
      <c r="I565" s="62">
        <v>767819</v>
      </c>
      <c r="J565" s="62">
        <v>590.63</v>
      </c>
      <c r="K565" s="62">
        <v>1300</v>
      </c>
      <c r="L565" s="100" t="s">
        <v>451</v>
      </c>
      <c r="M565" s="5" t="s">
        <v>452</v>
      </c>
      <c r="N565" s="34" t="s">
        <v>464</v>
      </c>
      <c r="O565" s="5" t="s">
        <v>568</v>
      </c>
      <c r="P565" s="5" t="s">
        <v>454</v>
      </c>
      <c r="Q565" s="5" t="s">
        <v>569</v>
      </c>
      <c r="R565" s="5" t="s">
        <v>572</v>
      </c>
      <c r="S565" s="5" t="s">
        <v>571</v>
      </c>
      <c r="T565" s="5" t="s">
        <v>445</v>
      </c>
      <c r="U565" s="5"/>
      <c r="V565" s="5"/>
      <c r="W565" s="5"/>
      <c r="X565" s="5"/>
      <c r="Y565" s="5"/>
      <c r="Z565" s="5"/>
      <c r="AA565" s="5"/>
    </row>
    <row r="566" spans="5:27" customFormat="1">
      <c r="E566" s="88"/>
      <c r="F566" s="36" t="s">
        <v>293</v>
      </c>
      <c r="G566" s="5" t="s">
        <v>294</v>
      </c>
      <c r="H566" s="5"/>
      <c r="I566" s="62">
        <v>3070750</v>
      </c>
      <c r="J566" s="62">
        <v>2162.5</v>
      </c>
      <c r="K566" s="62">
        <v>1420</v>
      </c>
      <c r="L566" s="100" t="s">
        <v>1013</v>
      </c>
      <c r="M566" s="5" t="s">
        <v>452</v>
      </c>
      <c r="N566" s="34" t="s">
        <v>464</v>
      </c>
      <c r="O566" s="5" t="s">
        <v>1124</v>
      </c>
      <c r="P566" s="5" t="s">
        <v>597</v>
      </c>
      <c r="Q566" s="5" t="s">
        <v>1125</v>
      </c>
      <c r="R566" s="5" t="s">
        <v>1128</v>
      </c>
      <c r="S566" s="5" t="s">
        <v>1127</v>
      </c>
      <c r="T566" s="5" t="s">
        <v>445</v>
      </c>
      <c r="U566" s="5"/>
      <c r="V566" s="5"/>
      <c r="W566" s="5"/>
      <c r="X566" s="5"/>
      <c r="Y566" s="5"/>
      <c r="Z566" s="5"/>
      <c r="AA566" s="5"/>
    </row>
    <row r="567" spans="5:27" customFormat="1">
      <c r="E567" s="88"/>
      <c r="F567" s="36" t="s">
        <v>293</v>
      </c>
      <c r="G567" s="5" t="s">
        <v>294</v>
      </c>
      <c r="H567" s="5"/>
      <c r="I567" s="62">
        <v>1491000</v>
      </c>
      <c r="J567" s="62">
        <v>1050</v>
      </c>
      <c r="K567" s="62">
        <v>1420</v>
      </c>
      <c r="L567" s="100" t="s">
        <v>623</v>
      </c>
      <c r="M567" s="5" t="s">
        <v>452</v>
      </c>
      <c r="N567" s="34" t="s">
        <v>464</v>
      </c>
      <c r="O567" s="5" t="s">
        <v>779</v>
      </c>
      <c r="P567" s="5" t="s">
        <v>597</v>
      </c>
      <c r="Q567" s="5" t="s">
        <v>780</v>
      </c>
      <c r="R567" s="5" t="s">
        <v>785</v>
      </c>
      <c r="S567" s="5" t="s">
        <v>782</v>
      </c>
      <c r="T567" s="5" t="s">
        <v>445</v>
      </c>
      <c r="U567" s="5"/>
      <c r="V567" s="5"/>
      <c r="W567" s="5"/>
      <c r="X567" s="5"/>
      <c r="Y567" s="5"/>
      <c r="Z567" s="5"/>
      <c r="AA567" s="5"/>
    </row>
    <row r="568" spans="5:27" customFormat="1">
      <c r="E568" s="88"/>
      <c r="F568" s="36" t="s">
        <v>293</v>
      </c>
      <c r="G568" s="5" t="s">
        <v>294</v>
      </c>
      <c r="H568" s="5"/>
      <c r="I568" s="62">
        <v>573870</v>
      </c>
      <c r="J568" s="62">
        <v>407</v>
      </c>
      <c r="K568" s="62">
        <v>1410</v>
      </c>
      <c r="L568" s="100" t="s">
        <v>608</v>
      </c>
      <c r="M568" s="5" t="s">
        <v>452</v>
      </c>
      <c r="N568" s="34" t="s">
        <v>464</v>
      </c>
      <c r="O568" s="5" t="s">
        <v>809</v>
      </c>
      <c r="P568" s="5" t="s">
        <v>597</v>
      </c>
      <c r="Q568" s="5" t="s">
        <v>810</v>
      </c>
      <c r="R568" s="5" t="s">
        <v>811</v>
      </c>
      <c r="S568" s="5" t="s">
        <v>812</v>
      </c>
      <c r="T568" s="5" t="s">
        <v>445</v>
      </c>
      <c r="U568" s="5"/>
      <c r="V568" s="5"/>
      <c r="W568" s="5"/>
      <c r="X568" s="5"/>
      <c r="Y568" s="5"/>
      <c r="Z568" s="5"/>
      <c r="AA568" s="5"/>
    </row>
    <row r="569" spans="5:27" customFormat="1">
      <c r="E569" s="88"/>
      <c r="F569" s="36" t="s">
        <v>293</v>
      </c>
      <c r="G569" s="5" t="s">
        <v>294</v>
      </c>
      <c r="H569" s="5"/>
      <c r="I569" s="62">
        <v>835900</v>
      </c>
      <c r="J569" s="62">
        <v>643</v>
      </c>
      <c r="K569" s="62">
        <v>1300</v>
      </c>
      <c r="L569" s="100" t="s">
        <v>451</v>
      </c>
      <c r="M569" s="5" t="s">
        <v>452</v>
      </c>
      <c r="N569" s="34" t="s">
        <v>464</v>
      </c>
      <c r="O569" s="5" t="s">
        <v>568</v>
      </c>
      <c r="P569" s="5" t="s">
        <v>454</v>
      </c>
      <c r="Q569" s="5" t="s">
        <v>569</v>
      </c>
      <c r="R569" s="5" t="s">
        <v>570</v>
      </c>
      <c r="S569" s="5" t="s">
        <v>571</v>
      </c>
      <c r="T569" s="5" t="s">
        <v>445</v>
      </c>
      <c r="U569" s="5"/>
      <c r="V569" s="5"/>
      <c r="W569" s="5"/>
      <c r="X569" s="5"/>
      <c r="Y569" s="5"/>
      <c r="Z569" s="5"/>
      <c r="AA569" s="5"/>
    </row>
    <row r="570" spans="5:27" customFormat="1">
      <c r="E570" s="88"/>
      <c r="F570" s="36" t="s">
        <v>293</v>
      </c>
      <c r="G570" s="5" t="s">
        <v>294</v>
      </c>
      <c r="H570" s="5"/>
      <c r="I570" s="62">
        <v>816500</v>
      </c>
      <c r="J570" s="62">
        <v>575</v>
      </c>
      <c r="K570" s="62">
        <v>1420</v>
      </c>
      <c r="L570" s="100" t="s">
        <v>623</v>
      </c>
      <c r="M570" s="5" t="s">
        <v>452</v>
      </c>
      <c r="N570" s="34" t="s">
        <v>464</v>
      </c>
      <c r="O570" s="5" t="s">
        <v>779</v>
      </c>
      <c r="P570" s="5" t="s">
        <v>597</v>
      </c>
      <c r="Q570" s="5" t="s">
        <v>780</v>
      </c>
      <c r="R570" s="5" t="s">
        <v>786</v>
      </c>
      <c r="S570" s="5" t="s">
        <v>782</v>
      </c>
      <c r="T570" s="5" t="s">
        <v>445</v>
      </c>
      <c r="U570" s="5"/>
      <c r="V570" s="5"/>
      <c r="W570" s="5"/>
      <c r="X570" s="5"/>
      <c r="Y570" s="5"/>
      <c r="Z570" s="5"/>
      <c r="AA570" s="5"/>
    </row>
    <row r="571" spans="5:27" customFormat="1">
      <c r="E571" s="88"/>
      <c r="F571" s="36" t="s">
        <v>293</v>
      </c>
      <c r="G571" s="5" t="s">
        <v>294</v>
      </c>
      <c r="H571" s="5"/>
      <c r="I571" s="62">
        <v>617500</v>
      </c>
      <c r="J571" s="62">
        <v>475</v>
      </c>
      <c r="K571" s="62">
        <v>1300</v>
      </c>
      <c r="L571" s="100" t="s">
        <v>459</v>
      </c>
      <c r="M571" s="5" t="s">
        <v>452</v>
      </c>
      <c r="N571" s="34" t="s">
        <v>464</v>
      </c>
      <c r="O571" s="5" t="s">
        <v>557</v>
      </c>
      <c r="P571" s="5" t="s">
        <v>454</v>
      </c>
      <c r="Q571" s="5" t="s">
        <v>558</v>
      </c>
      <c r="R571" s="5" t="s">
        <v>559</v>
      </c>
      <c r="S571" s="5" t="s">
        <v>560</v>
      </c>
      <c r="T571" s="5" t="s">
        <v>445</v>
      </c>
      <c r="U571" s="5"/>
      <c r="V571" s="5"/>
      <c r="W571" s="5"/>
      <c r="X571" s="5"/>
      <c r="Y571" s="5"/>
      <c r="Z571" s="5"/>
      <c r="AA571" s="5"/>
    </row>
    <row r="572" spans="5:27" customFormat="1">
      <c r="E572" s="88"/>
      <c r="F572" s="36" t="s">
        <v>293</v>
      </c>
      <c r="G572" s="5" t="s">
        <v>294</v>
      </c>
      <c r="H572" s="5"/>
      <c r="I572" s="62">
        <v>6645600</v>
      </c>
      <c r="J572" s="62">
        <v>4680</v>
      </c>
      <c r="K572" s="62">
        <v>1420</v>
      </c>
      <c r="L572" s="100" t="s">
        <v>472</v>
      </c>
      <c r="M572" s="5" t="s">
        <v>452</v>
      </c>
      <c r="N572" s="34" t="s">
        <v>464</v>
      </c>
      <c r="O572" s="5" t="s">
        <v>578</v>
      </c>
      <c r="P572" s="5" t="s">
        <v>454</v>
      </c>
      <c r="Q572" s="5" t="s">
        <v>579</v>
      </c>
      <c r="R572" s="5" t="s">
        <v>585</v>
      </c>
      <c r="S572" s="5" t="s">
        <v>581</v>
      </c>
      <c r="T572" s="5" t="s">
        <v>445</v>
      </c>
      <c r="U572" s="5"/>
      <c r="V572" s="5"/>
      <c r="W572" s="5"/>
      <c r="X572" s="5"/>
      <c r="Y572" s="5"/>
      <c r="Z572" s="5"/>
      <c r="AA572" s="5"/>
    </row>
    <row r="573" spans="5:27" customFormat="1">
      <c r="E573" s="88"/>
      <c r="F573" s="36" t="s">
        <v>293</v>
      </c>
      <c r="G573" s="5" t="s">
        <v>294</v>
      </c>
      <c r="H573" s="5"/>
      <c r="I573" s="62">
        <v>2326500</v>
      </c>
      <c r="J573" s="62">
        <v>1650</v>
      </c>
      <c r="K573" s="62">
        <v>1410</v>
      </c>
      <c r="L573" s="100" t="s">
        <v>604</v>
      </c>
      <c r="M573" s="5" t="s">
        <v>452</v>
      </c>
      <c r="N573" s="34" t="s">
        <v>464</v>
      </c>
      <c r="O573" s="5" t="s">
        <v>797</v>
      </c>
      <c r="P573" s="5" t="s">
        <v>597</v>
      </c>
      <c r="Q573" s="5" t="s">
        <v>798</v>
      </c>
      <c r="R573" s="5" t="s">
        <v>805</v>
      </c>
      <c r="S573" s="5" t="s">
        <v>800</v>
      </c>
      <c r="T573" s="5" t="s">
        <v>445</v>
      </c>
      <c r="U573" s="5"/>
      <c r="V573" s="5"/>
      <c r="W573" s="5"/>
      <c r="X573" s="5"/>
      <c r="Y573" s="5"/>
      <c r="Z573" s="5"/>
      <c r="AA573" s="5"/>
    </row>
    <row r="574" spans="5:27" customFormat="1">
      <c r="E574" s="88"/>
      <c r="F574" s="36" t="s">
        <v>293</v>
      </c>
      <c r="G574" s="5" t="s">
        <v>294</v>
      </c>
      <c r="H574" s="5"/>
      <c r="I574" s="62">
        <v>-26663.1</v>
      </c>
      <c r="J574" s="62">
        <v>-18.91</v>
      </c>
      <c r="K574" s="62">
        <v>1410</v>
      </c>
      <c r="L574" s="100" t="s">
        <v>604</v>
      </c>
      <c r="M574" s="5" t="s">
        <v>452</v>
      </c>
      <c r="N574" s="34" t="s">
        <v>464</v>
      </c>
      <c r="O574" s="5" t="s">
        <v>714</v>
      </c>
      <c r="P574" s="5" t="s">
        <v>597</v>
      </c>
      <c r="Q574" s="5" t="s">
        <v>715</v>
      </c>
      <c r="R574" s="5" t="s">
        <v>727</v>
      </c>
      <c r="S574" s="5" t="s">
        <v>717</v>
      </c>
      <c r="T574" s="5" t="s">
        <v>445</v>
      </c>
      <c r="U574" s="5"/>
      <c r="V574" s="5"/>
      <c r="W574" s="5"/>
      <c r="X574" s="5"/>
      <c r="Y574" s="5"/>
      <c r="Z574" s="5"/>
      <c r="AA574" s="5"/>
    </row>
    <row r="575" spans="5:27" customFormat="1">
      <c r="E575" s="88"/>
      <c r="F575" s="36" t="s">
        <v>293</v>
      </c>
      <c r="G575" s="5" t="s">
        <v>294</v>
      </c>
      <c r="H575" s="5"/>
      <c r="I575" s="62">
        <v>2769000</v>
      </c>
      <c r="J575" s="62">
        <v>1950</v>
      </c>
      <c r="K575" s="62">
        <v>1420</v>
      </c>
      <c r="L575" s="100" t="s">
        <v>472</v>
      </c>
      <c r="M575" s="5" t="s">
        <v>452</v>
      </c>
      <c r="N575" s="34" t="s">
        <v>464</v>
      </c>
      <c r="O575" s="5" t="s">
        <v>578</v>
      </c>
      <c r="P575" s="5" t="s">
        <v>454</v>
      </c>
      <c r="Q575" s="5" t="s">
        <v>579</v>
      </c>
      <c r="R575" s="5" t="s">
        <v>584</v>
      </c>
      <c r="S575" s="5" t="s">
        <v>581</v>
      </c>
      <c r="T575" s="5" t="s">
        <v>445</v>
      </c>
      <c r="U575" s="5"/>
      <c r="V575" s="5"/>
      <c r="W575" s="5"/>
      <c r="X575" s="5"/>
      <c r="Y575" s="5"/>
      <c r="Z575" s="5"/>
      <c r="AA575" s="5"/>
    </row>
    <row r="576" spans="5:27" customFormat="1">
      <c r="E576" s="88"/>
      <c r="F576" s="36" t="s">
        <v>293</v>
      </c>
      <c r="G576" s="5" t="s">
        <v>294</v>
      </c>
      <c r="H576" s="5"/>
      <c r="I576" s="62">
        <v>4047000</v>
      </c>
      <c r="J576" s="62">
        <v>2850</v>
      </c>
      <c r="K576" s="62">
        <v>1420</v>
      </c>
      <c r="L576" s="100" t="s">
        <v>623</v>
      </c>
      <c r="M576" s="5" t="s">
        <v>452</v>
      </c>
      <c r="N576" s="34" t="s">
        <v>464</v>
      </c>
      <c r="O576" s="5" t="s">
        <v>779</v>
      </c>
      <c r="P576" s="5" t="s">
        <v>597</v>
      </c>
      <c r="Q576" s="5" t="s">
        <v>780</v>
      </c>
      <c r="R576" s="5" t="s">
        <v>784</v>
      </c>
      <c r="S576" s="5" t="s">
        <v>782</v>
      </c>
      <c r="T576" s="5" t="s">
        <v>445</v>
      </c>
      <c r="U576" s="5"/>
      <c r="V576" s="5"/>
      <c r="W576" s="5"/>
      <c r="X576" s="5"/>
      <c r="Y576" s="5"/>
      <c r="Z576" s="5"/>
      <c r="AA576" s="5"/>
    </row>
    <row r="577" spans="5:27" customFormat="1">
      <c r="E577" s="88"/>
      <c r="F577" s="36" t="s">
        <v>293</v>
      </c>
      <c r="G577" s="5" t="s">
        <v>294</v>
      </c>
      <c r="H577" s="5"/>
      <c r="I577" s="62">
        <v>1136000</v>
      </c>
      <c r="J577" s="62">
        <v>800</v>
      </c>
      <c r="K577" s="62">
        <v>1420</v>
      </c>
      <c r="L577" s="100" t="s">
        <v>472</v>
      </c>
      <c r="M577" s="5" t="s">
        <v>452</v>
      </c>
      <c r="N577" s="34" t="s">
        <v>464</v>
      </c>
      <c r="O577" s="5" t="s">
        <v>578</v>
      </c>
      <c r="P577" s="5" t="s">
        <v>454</v>
      </c>
      <c r="Q577" s="5" t="s">
        <v>579</v>
      </c>
      <c r="R577" s="5" t="s">
        <v>582</v>
      </c>
      <c r="S577" s="5" t="s">
        <v>581</v>
      </c>
      <c r="T577" s="5" t="s">
        <v>445</v>
      </c>
      <c r="U577" s="5"/>
      <c r="V577" s="5"/>
      <c r="W577" s="5"/>
      <c r="X577" s="5"/>
      <c r="Y577" s="5"/>
      <c r="Z577" s="5"/>
      <c r="AA577" s="5"/>
    </row>
    <row r="578" spans="5:27" customFormat="1">
      <c r="E578" s="88"/>
      <c r="F578" s="36" t="s">
        <v>293</v>
      </c>
      <c r="G578" s="5" t="s">
        <v>294</v>
      </c>
      <c r="H578" s="5"/>
      <c r="I578" s="62">
        <v>806181.6</v>
      </c>
      <c r="J578" s="62">
        <v>571.76</v>
      </c>
      <c r="K578" s="62">
        <v>1410</v>
      </c>
      <c r="L578" s="100" t="s">
        <v>604</v>
      </c>
      <c r="M578" s="5" t="s">
        <v>452</v>
      </c>
      <c r="N578" s="34" t="s">
        <v>464</v>
      </c>
      <c r="O578" s="5" t="s">
        <v>797</v>
      </c>
      <c r="P578" s="5" t="s">
        <v>597</v>
      </c>
      <c r="Q578" s="5" t="s">
        <v>798</v>
      </c>
      <c r="R578" s="5" t="s">
        <v>806</v>
      </c>
      <c r="S578" s="5" t="s">
        <v>800</v>
      </c>
      <c r="T578" s="5" t="s">
        <v>445</v>
      </c>
      <c r="U578" s="5"/>
      <c r="V578" s="5"/>
      <c r="W578" s="5"/>
      <c r="X578" s="5"/>
      <c r="Y578" s="5"/>
      <c r="Z578" s="5"/>
      <c r="AA578" s="5"/>
    </row>
    <row r="579" spans="5:27" customFormat="1">
      <c r="E579" s="88"/>
      <c r="F579" s="36" t="s">
        <v>293</v>
      </c>
      <c r="G579" s="5" t="s">
        <v>294</v>
      </c>
      <c r="H579" s="5"/>
      <c r="I579" s="62">
        <v>-212176.8</v>
      </c>
      <c r="J579" s="62">
        <v>-150.47999999999999</v>
      </c>
      <c r="K579" s="62">
        <v>1410</v>
      </c>
      <c r="L579" s="100" t="s">
        <v>604</v>
      </c>
      <c r="M579" s="5" t="s">
        <v>452</v>
      </c>
      <c r="N579" s="34" t="s">
        <v>464</v>
      </c>
      <c r="O579" s="5" t="s">
        <v>714</v>
      </c>
      <c r="P579" s="5" t="s">
        <v>597</v>
      </c>
      <c r="Q579" s="5" t="s">
        <v>715</v>
      </c>
      <c r="R579" s="5" t="s">
        <v>728</v>
      </c>
      <c r="S579" s="5" t="s">
        <v>717</v>
      </c>
      <c r="T579" s="5" t="s">
        <v>445</v>
      </c>
      <c r="U579" s="5"/>
      <c r="V579" s="5"/>
      <c r="W579" s="5"/>
      <c r="X579" s="5"/>
      <c r="Y579" s="5"/>
      <c r="Z579" s="5"/>
      <c r="AA579" s="5"/>
    </row>
    <row r="580" spans="5:27" customFormat="1">
      <c r="E580" s="88"/>
      <c r="F580" s="36" t="s">
        <v>293</v>
      </c>
      <c r="G580" s="5" t="s">
        <v>294</v>
      </c>
      <c r="H580" s="5"/>
      <c r="I580" s="62">
        <v>2938250</v>
      </c>
      <c r="J580" s="62">
        <v>2012.5</v>
      </c>
      <c r="K580" s="62">
        <v>1460</v>
      </c>
      <c r="L580" s="100" t="s">
        <v>989</v>
      </c>
      <c r="M580" s="5" t="s">
        <v>452</v>
      </c>
      <c r="N580" s="34" t="s">
        <v>464</v>
      </c>
      <c r="O580" s="5" t="s">
        <v>1136</v>
      </c>
      <c r="P580" s="5" t="s">
        <v>597</v>
      </c>
      <c r="Q580" s="5" t="s">
        <v>1137</v>
      </c>
      <c r="R580" s="5" t="s">
        <v>1141</v>
      </c>
      <c r="S580" s="5" t="s">
        <v>1139</v>
      </c>
      <c r="T580" s="5" t="s">
        <v>445</v>
      </c>
      <c r="U580" s="5"/>
      <c r="V580" s="5"/>
      <c r="W580" s="5"/>
      <c r="X580" s="5"/>
      <c r="Y580" s="5"/>
      <c r="Z580" s="5"/>
      <c r="AA580" s="5"/>
    </row>
    <row r="581" spans="5:27" customFormat="1">
      <c r="E581" s="88"/>
      <c r="F581" s="36" t="s">
        <v>293</v>
      </c>
      <c r="G581" s="5" t="s">
        <v>294</v>
      </c>
      <c r="H581" s="5"/>
      <c r="I581" s="62">
        <v>4793069.4000000004</v>
      </c>
      <c r="J581" s="62">
        <v>3399.34</v>
      </c>
      <c r="K581" s="62">
        <v>1410</v>
      </c>
      <c r="L581" s="100" t="s">
        <v>813</v>
      </c>
      <c r="M581" s="5" t="s">
        <v>452</v>
      </c>
      <c r="N581" s="34" t="s">
        <v>464</v>
      </c>
      <c r="O581" s="5" t="s">
        <v>843</v>
      </c>
      <c r="P581" s="5" t="s">
        <v>597</v>
      </c>
      <c r="Q581" s="5" t="s">
        <v>844</v>
      </c>
      <c r="R581" s="5" t="s">
        <v>847</v>
      </c>
      <c r="S581" s="5" t="s">
        <v>846</v>
      </c>
      <c r="T581" s="5" t="s">
        <v>445</v>
      </c>
      <c r="U581" s="5"/>
      <c r="V581" s="5"/>
      <c r="W581" s="5"/>
      <c r="X581" s="5"/>
      <c r="Y581" s="5"/>
      <c r="Z581" s="5"/>
      <c r="AA581" s="5"/>
    </row>
    <row r="582" spans="5:27" customFormat="1">
      <c r="E582" s="88"/>
      <c r="F582" s="36" t="s">
        <v>293</v>
      </c>
      <c r="G582" s="5" t="s">
        <v>294</v>
      </c>
      <c r="H582" s="5"/>
      <c r="I582" s="62">
        <v>6415500</v>
      </c>
      <c r="J582" s="62">
        <v>4550</v>
      </c>
      <c r="K582" s="62">
        <v>1410</v>
      </c>
      <c r="L582" s="100" t="s">
        <v>604</v>
      </c>
      <c r="M582" s="5" t="s">
        <v>452</v>
      </c>
      <c r="N582" s="34" t="s">
        <v>464</v>
      </c>
      <c r="O582" s="5" t="s">
        <v>797</v>
      </c>
      <c r="P582" s="5" t="s">
        <v>597</v>
      </c>
      <c r="Q582" s="5" t="s">
        <v>798</v>
      </c>
      <c r="R582" s="5" t="s">
        <v>808</v>
      </c>
      <c r="S582" s="5" t="s">
        <v>800</v>
      </c>
      <c r="T582" s="5" t="s">
        <v>445</v>
      </c>
      <c r="U582" s="5"/>
      <c r="V582" s="5"/>
      <c r="W582" s="5"/>
      <c r="X582" s="5"/>
      <c r="Y582" s="5"/>
      <c r="Z582" s="5"/>
      <c r="AA582" s="5"/>
    </row>
    <row r="583" spans="5:27" customFormat="1">
      <c r="E583" s="88"/>
      <c r="F583" s="36" t="s">
        <v>293</v>
      </c>
      <c r="G583" s="5" t="s">
        <v>294</v>
      </c>
      <c r="H583" s="5"/>
      <c r="I583" s="62">
        <v>-89351.7</v>
      </c>
      <c r="J583" s="62">
        <v>-63.37</v>
      </c>
      <c r="K583" s="62">
        <v>1410</v>
      </c>
      <c r="L583" s="100" t="s">
        <v>604</v>
      </c>
      <c r="M583" s="5" t="s">
        <v>452</v>
      </c>
      <c r="N583" s="34" t="s">
        <v>464</v>
      </c>
      <c r="O583" s="5" t="s">
        <v>714</v>
      </c>
      <c r="P583" s="5" t="s">
        <v>597</v>
      </c>
      <c r="Q583" s="5" t="s">
        <v>715</v>
      </c>
      <c r="R583" s="5" t="s">
        <v>718</v>
      </c>
      <c r="S583" s="5" t="s">
        <v>717</v>
      </c>
      <c r="T583" s="5" t="s">
        <v>445</v>
      </c>
      <c r="U583" s="5"/>
      <c r="V583" s="5"/>
      <c r="W583" s="5"/>
      <c r="X583" s="5"/>
      <c r="Y583" s="5"/>
      <c r="Z583" s="5"/>
      <c r="AA583" s="5"/>
    </row>
    <row r="584" spans="5:27" customFormat="1">
      <c r="E584" s="88"/>
      <c r="F584" s="36" t="s">
        <v>293</v>
      </c>
      <c r="G584" s="5" t="s">
        <v>294</v>
      </c>
      <c r="H584" s="5"/>
      <c r="I584" s="62">
        <v>2775000</v>
      </c>
      <c r="J584" s="62">
        <v>1850</v>
      </c>
      <c r="K584" s="62">
        <v>1500</v>
      </c>
      <c r="L584" s="100" t="s">
        <v>914</v>
      </c>
      <c r="M584" s="5" t="s">
        <v>452</v>
      </c>
      <c r="N584" s="34" t="s">
        <v>464</v>
      </c>
      <c r="O584" s="5" t="s">
        <v>963</v>
      </c>
      <c r="P584" s="5" t="s">
        <v>597</v>
      </c>
      <c r="Q584" s="5" t="s">
        <v>964</v>
      </c>
      <c r="R584" s="5" t="s">
        <v>970</v>
      </c>
      <c r="S584" s="5" t="s">
        <v>966</v>
      </c>
      <c r="T584" s="5" t="s">
        <v>445</v>
      </c>
      <c r="U584" s="5"/>
      <c r="V584" s="5"/>
      <c r="W584" s="5"/>
      <c r="X584" s="5"/>
      <c r="Y584" s="5"/>
      <c r="Z584" s="5"/>
      <c r="AA584" s="5"/>
    </row>
    <row r="585" spans="5:27" customFormat="1">
      <c r="E585" s="88"/>
      <c r="F585" s="36" t="s">
        <v>293</v>
      </c>
      <c r="G585" s="5" t="s">
        <v>294</v>
      </c>
      <c r="H585" s="5"/>
      <c r="I585" s="62">
        <v>2771810</v>
      </c>
      <c r="J585" s="62">
        <v>1898.5</v>
      </c>
      <c r="K585" s="62">
        <v>1460</v>
      </c>
      <c r="L585" s="100" t="s">
        <v>914</v>
      </c>
      <c r="M585" s="5" t="s">
        <v>452</v>
      </c>
      <c r="N585" s="34" t="s">
        <v>464</v>
      </c>
      <c r="O585" s="5" t="s">
        <v>972</v>
      </c>
      <c r="P585" s="5" t="s">
        <v>597</v>
      </c>
      <c r="Q585" s="5" t="s">
        <v>973</v>
      </c>
      <c r="R585" s="5" t="s">
        <v>979</v>
      </c>
      <c r="S585" s="5" t="s">
        <v>975</v>
      </c>
      <c r="T585" s="5" t="s">
        <v>445</v>
      </c>
      <c r="U585" s="5"/>
      <c r="V585" s="5"/>
      <c r="W585" s="5"/>
      <c r="X585" s="5"/>
      <c r="Y585" s="5"/>
      <c r="Z585" s="5"/>
      <c r="AA585" s="5"/>
    </row>
    <row r="586" spans="5:27" customFormat="1">
      <c r="E586" s="88"/>
      <c r="F586" s="36" t="s">
        <v>293</v>
      </c>
      <c r="G586" s="5" t="s">
        <v>294</v>
      </c>
      <c r="H586" s="5"/>
      <c r="I586" s="62">
        <v>-97017</v>
      </c>
      <c r="J586" s="62">
        <v>-66.45</v>
      </c>
      <c r="K586" s="62">
        <v>1460</v>
      </c>
      <c r="L586" s="100" t="s">
        <v>914</v>
      </c>
      <c r="M586" s="5" t="s">
        <v>452</v>
      </c>
      <c r="N586" s="34" t="s">
        <v>464</v>
      </c>
      <c r="O586" s="5" t="s">
        <v>953</v>
      </c>
      <c r="P586" s="5" t="s">
        <v>597</v>
      </c>
      <c r="Q586" s="5" t="s">
        <v>954</v>
      </c>
      <c r="R586" s="5" t="s">
        <v>958</v>
      </c>
      <c r="S586" s="5" t="s">
        <v>956</v>
      </c>
      <c r="T586" s="5" t="s">
        <v>445</v>
      </c>
      <c r="U586" s="5"/>
      <c r="V586" s="5"/>
      <c r="W586" s="5"/>
      <c r="X586" s="5"/>
      <c r="Y586" s="5"/>
      <c r="Z586" s="5"/>
      <c r="AA586" s="5"/>
    </row>
    <row r="587" spans="5:27" customFormat="1">
      <c r="E587" s="88"/>
      <c r="F587" s="36" t="s">
        <v>293</v>
      </c>
      <c r="G587" s="5" t="s">
        <v>294</v>
      </c>
      <c r="H587" s="5"/>
      <c r="I587" s="62">
        <v>2771810</v>
      </c>
      <c r="J587" s="62">
        <v>1898.5</v>
      </c>
      <c r="K587" s="62">
        <v>1460</v>
      </c>
      <c r="L587" s="100" t="s">
        <v>914</v>
      </c>
      <c r="M587" s="5" t="s">
        <v>452</v>
      </c>
      <c r="N587" s="34" t="s">
        <v>464</v>
      </c>
      <c r="O587" s="5" t="s">
        <v>972</v>
      </c>
      <c r="P587" s="5" t="s">
        <v>597</v>
      </c>
      <c r="Q587" s="5" t="s">
        <v>973</v>
      </c>
      <c r="R587" s="5" t="s">
        <v>978</v>
      </c>
      <c r="S587" s="5" t="s">
        <v>975</v>
      </c>
      <c r="T587" s="5" t="s">
        <v>445</v>
      </c>
      <c r="U587" s="5"/>
      <c r="V587" s="5"/>
      <c r="W587" s="5"/>
      <c r="X587" s="5"/>
      <c r="Y587" s="5"/>
      <c r="Z587" s="5"/>
      <c r="AA587" s="5"/>
    </row>
    <row r="588" spans="5:27" customFormat="1">
      <c r="E588" s="88"/>
      <c r="F588" s="36" t="s">
        <v>293</v>
      </c>
      <c r="G588" s="5" t="s">
        <v>294</v>
      </c>
      <c r="H588" s="5"/>
      <c r="I588" s="62">
        <v>-97017</v>
      </c>
      <c r="J588" s="62">
        <v>-66.45</v>
      </c>
      <c r="K588" s="62">
        <v>1460</v>
      </c>
      <c r="L588" s="100" t="s">
        <v>914</v>
      </c>
      <c r="M588" s="5" t="s">
        <v>452</v>
      </c>
      <c r="N588" s="34" t="s">
        <v>464</v>
      </c>
      <c r="O588" s="5" t="s">
        <v>953</v>
      </c>
      <c r="P588" s="5" t="s">
        <v>597</v>
      </c>
      <c r="Q588" s="5" t="s">
        <v>954</v>
      </c>
      <c r="R588" s="5" t="s">
        <v>962</v>
      </c>
      <c r="S588" s="5" t="s">
        <v>956</v>
      </c>
      <c r="T588" s="5" t="s">
        <v>445</v>
      </c>
      <c r="U588" s="5"/>
      <c r="V588" s="5"/>
      <c r="W588" s="5"/>
      <c r="X588" s="5"/>
      <c r="Y588" s="5"/>
      <c r="Z588" s="5"/>
      <c r="AA588" s="5"/>
    </row>
    <row r="589" spans="5:27" customFormat="1">
      <c r="E589" s="88"/>
      <c r="F589" s="36" t="s">
        <v>293</v>
      </c>
      <c r="G589" s="5" t="s">
        <v>294</v>
      </c>
      <c r="H589" s="5"/>
      <c r="I589" s="62">
        <v>2771810</v>
      </c>
      <c r="J589" s="62">
        <v>1898.5</v>
      </c>
      <c r="K589" s="62">
        <v>1460</v>
      </c>
      <c r="L589" s="100" t="s">
        <v>914</v>
      </c>
      <c r="M589" s="5" t="s">
        <v>452</v>
      </c>
      <c r="N589" s="34" t="s">
        <v>464</v>
      </c>
      <c r="O589" s="5" t="s">
        <v>972</v>
      </c>
      <c r="P589" s="5" t="s">
        <v>597</v>
      </c>
      <c r="Q589" s="5" t="s">
        <v>973</v>
      </c>
      <c r="R589" s="5" t="s">
        <v>984</v>
      </c>
      <c r="S589" s="5" t="s">
        <v>975</v>
      </c>
      <c r="T589" s="5" t="s">
        <v>445</v>
      </c>
      <c r="U589" s="5"/>
      <c r="V589" s="5"/>
      <c r="W589" s="5"/>
      <c r="X589" s="5"/>
      <c r="Y589" s="5"/>
      <c r="Z589" s="5"/>
      <c r="AA589" s="5"/>
    </row>
    <row r="590" spans="5:27" customFormat="1">
      <c r="E590" s="88"/>
      <c r="F590" s="36" t="s">
        <v>293</v>
      </c>
      <c r="G590" s="5" t="s">
        <v>294</v>
      </c>
      <c r="H590" s="5"/>
      <c r="I590" s="62">
        <v>-97017</v>
      </c>
      <c r="J590" s="62">
        <v>-66.45</v>
      </c>
      <c r="K590" s="62">
        <v>1460</v>
      </c>
      <c r="L590" s="100" t="s">
        <v>914</v>
      </c>
      <c r="M590" s="5" t="s">
        <v>452</v>
      </c>
      <c r="N590" s="34" t="s">
        <v>464</v>
      </c>
      <c r="O590" s="5" t="s">
        <v>953</v>
      </c>
      <c r="P590" s="5" t="s">
        <v>597</v>
      </c>
      <c r="Q590" s="5" t="s">
        <v>954</v>
      </c>
      <c r="R590" s="5" t="s">
        <v>957</v>
      </c>
      <c r="S590" s="5" t="s">
        <v>956</v>
      </c>
      <c r="T590" s="5" t="s">
        <v>445</v>
      </c>
      <c r="U590" s="5"/>
      <c r="V590" s="5"/>
      <c r="W590" s="5"/>
      <c r="X590" s="5"/>
      <c r="Y590" s="5"/>
      <c r="Z590" s="5"/>
      <c r="AA590" s="5"/>
    </row>
    <row r="591" spans="5:27" customFormat="1">
      <c r="E591" s="88"/>
      <c r="F591" s="36" t="s">
        <v>293</v>
      </c>
      <c r="G591" s="5" t="s">
        <v>294</v>
      </c>
      <c r="H591" s="5"/>
      <c r="I591" s="62">
        <v>6686800</v>
      </c>
      <c r="J591" s="62">
        <v>4580</v>
      </c>
      <c r="K591" s="62">
        <v>1460</v>
      </c>
      <c r="L591" s="100" t="s">
        <v>914</v>
      </c>
      <c r="M591" s="5" t="s">
        <v>452</v>
      </c>
      <c r="N591" s="34" t="s">
        <v>464</v>
      </c>
      <c r="O591" s="5" t="s">
        <v>972</v>
      </c>
      <c r="P591" s="5" t="s">
        <v>597</v>
      </c>
      <c r="Q591" s="5" t="s">
        <v>973</v>
      </c>
      <c r="R591" s="5" t="s">
        <v>974</v>
      </c>
      <c r="S591" s="5" t="s">
        <v>975</v>
      </c>
      <c r="T591" s="5" t="s">
        <v>445</v>
      </c>
      <c r="U591" s="5"/>
      <c r="V591" s="5"/>
      <c r="W591" s="5"/>
      <c r="X591" s="5"/>
      <c r="Y591" s="5"/>
      <c r="Z591" s="5"/>
      <c r="AA591" s="5"/>
    </row>
    <row r="592" spans="5:27" customFormat="1">
      <c r="E592" s="88"/>
      <c r="F592" s="36" t="s">
        <v>293</v>
      </c>
      <c r="G592" s="5" t="s">
        <v>294</v>
      </c>
      <c r="H592" s="5"/>
      <c r="I592" s="62">
        <v>-234038</v>
      </c>
      <c r="J592" s="62">
        <v>-160.30000000000001</v>
      </c>
      <c r="K592" s="62">
        <v>1460</v>
      </c>
      <c r="L592" s="100" t="s">
        <v>914</v>
      </c>
      <c r="M592" s="5" t="s">
        <v>452</v>
      </c>
      <c r="N592" s="34" t="s">
        <v>464</v>
      </c>
      <c r="O592" s="5" t="s">
        <v>953</v>
      </c>
      <c r="P592" s="5" t="s">
        <v>597</v>
      </c>
      <c r="Q592" s="5" t="s">
        <v>954</v>
      </c>
      <c r="R592" s="5" t="s">
        <v>961</v>
      </c>
      <c r="S592" s="5" t="s">
        <v>956</v>
      </c>
      <c r="T592" s="5" t="s">
        <v>445</v>
      </c>
      <c r="U592" s="5"/>
      <c r="V592" s="5"/>
      <c r="W592" s="5"/>
      <c r="X592" s="5"/>
      <c r="Y592" s="5"/>
      <c r="Z592" s="5"/>
      <c r="AA592" s="5"/>
    </row>
    <row r="593" spans="5:27" customFormat="1">
      <c r="E593" s="88"/>
      <c r="F593" s="36" t="s">
        <v>293</v>
      </c>
      <c r="G593" s="5" t="s">
        <v>294</v>
      </c>
      <c r="H593" s="5"/>
      <c r="I593" s="62">
        <v>-168980</v>
      </c>
      <c r="J593" s="62">
        <v>-119</v>
      </c>
      <c r="K593" s="62">
        <v>1420</v>
      </c>
      <c r="L593" s="100" t="s">
        <v>1013</v>
      </c>
      <c r="M593" s="5" t="s">
        <v>452</v>
      </c>
      <c r="N593" s="34" t="s">
        <v>464</v>
      </c>
      <c r="O593" s="5" t="s">
        <v>1014</v>
      </c>
      <c r="P593" s="5" t="s">
        <v>597</v>
      </c>
      <c r="Q593" s="5" t="s">
        <v>1015</v>
      </c>
      <c r="R593" s="5" t="s">
        <v>1018</v>
      </c>
      <c r="S593" s="5" t="s">
        <v>1017</v>
      </c>
      <c r="T593" s="5" t="s">
        <v>445</v>
      </c>
      <c r="U593" s="5"/>
      <c r="V593" s="5"/>
      <c r="W593" s="5"/>
      <c r="X593" s="5"/>
      <c r="Y593" s="5"/>
      <c r="Z593" s="5"/>
      <c r="AA593" s="5"/>
    </row>
    <row r="594" spans="5:27" customFormat="1">
      <c r="E594" s="88"/>
      <c r="F594" s="36" t="s">
        <v>293</v>
      </c>
      <c r="G594" s="5" t="s">
        <v>294</v>
      </c>
      <c r="H594" s="5"/>
      <c r="I594" s="62">
        <v>7020000</v>
      </c>
      <c r="J594" s="62">
        <v>4680</v>
      </c>
      <c r="K594" s="62">
        <v>1500</v>
      </c>
      <c r="L594" s="100" t="s">
        <v>914</v>
      </c>
      <c r="M594" s="5" t="s">
        <v>452</v>
      </c>
      <c r="N594" s="34" t="s">
        <v>464</v>
      </c>
      <c r="O594" s="5" t="s">
        <v>963</v>
      </c>
      <c r="P594" s="5" t="s">
        <v>597</v>
      </c>
      <c r="Q594" s="5" t="s">
        <v>964</v>
      </c>
      <c r="R594" s="5" t="s">
        <v>968</v>
      </c>
      <c r="S594" s="5" t="s">
        <v>966</v>
      </c>
      <c r="T594" s="5" t="s">
        <v>445</v>
      </c>
      <c r="U594" s="5"/>
      <c r="V594" s="5"/>
      <c r="W594" s="5"/>
      <c r="X594" s="5"/>
      <c r="Y594" s="5"/>
      <c r="Z594" s="5"/>
      <c r="AA594" s="5"/>
    </row>
    <row r="595" spans="5:27" customFormat="1">
      <c r="E595" s="88"/>
      <c r="F595" s="36" t="s">
        <v>293</v>
      </c>
      <c r="G595" s="5" t="s">
        <v>294</v>
      </c>
      <c r="H595" s="5"/>
      <c r="I595" s="62">
        <v>981850</v>
      </c>
      <c r="J595" s="62">
        <v>672.5</v>
      </c>
      <c r="K595" s="62">
        <v>1460</v>
      </c>
      <c r="L595" s="100" t="s">
        <v>914</v>
      </c>
      <c r="M595" s="5" t="s">
        <v>452</v>
      </c>
      <c r="N595" s="34" t="s">
        <v>464</v>
      </c>
      <c r="O595" s="5" t="s">
        <v>972</v>
      </c>
      <c r="P595" s="5" t="s">
        <v>597</v>
      </c>
      <c r="Q595" s="5" t="s">
        <v>973</v>
      </c>
      <c r="R595" s="5" t="s">
        <v>977</v>
      </c>
      <c r="S595" s="5" t="s">
        <v>975</v>
      </c>
      <c r="T595" s="5" t="s">
        <v>445</v>
      </c>
      <c r="U595" s="5"/>
      <c r="V595" s="5"/>
      <c r="W595" s="5"/>
      <c r="X595" s="5"/>
      <c r="Y595" s="5"/>
      <c r="Z595" s="5"/>
      <c r="AA595" s="5"/>
    </row>
    <row r="596" spans="5:27" customFormat="1">
      <c r="E596" s="88"/>
      <c r="F596" s="36" t="s">
        <v>293</v>
      </c>
      <c r="G596" s="5" t="s">
        <v>294</v>
      </c>
      <c r="H596" s="5"/>
      <c r="I596" s="62">
        <v>-34368.400000000001</v>
      </c>
      <c r="J596" s="62">
        <v>-23.54</v>
      </c>
      <c r="K596" s="62">
        <v>1460</v>
      </c>
      <c r="L596" s="100" t="s">
        <v>914</v>
      </c>
      <c r="M596" s="5" t="s">
        <v>452</v>
      </c>
      <c r="N596" s="34" t="s">
        <v>464</v>
      </c>
      <c r="O596" s="5" t="s">
        <v>953</v>
      </c>
      <c r="P596" s="5" t="s">
        <v>597</v>
      </c>
      <c r="Q596" s="5" t="s">
        <v>954</v>
      </c>
      <c r="R596" s="5" t="s">
        <v>960</v>
      </c>
      <c r="S596" s="5" t="s">
        <v>956</v>
      </c>
      <c r="T596" s="5" t="s">
        <v>445</v>
      </c>
      <c r="U596" s="5"/>
      <c r="V596" s="5"/>
      <c r="W596" s="5"/>
      <c r="X596" s="5"/>
      <c r="Y596" s="5"/>
      <c r="Z596" s="5"/>
      <c r="AA596" s="5"/>
    </row>
    <row r="597" spans="5:27" customFormat="1">
      <c r="E597" s="88"/>
      <c r="F597" s="36" t="s">
        <v>293</v>
      </c>
      <c r="G597" s="5" t="s">
        <v>294</v>
      </c>
      <c r="H597" s="5"/>
      <c r="I597" s="62">
        <v>2401700</v>
      </c>
      <c r="J597" s="62">
        <v>1645</v>
      </c>
      <c r="K597" s="62">
        <v>1460</v>
      </c>
      <c r="L597" s="100" t="s">
        <v>914</v>
      </c>
      <c r="M597" s="5" t="s">
        <v>452</v>
      </c>
      <c r="N597" s="34" t="s">
        <v>464</v>
      </c>
      <c r="O597" s="5" t="s">
        <v>972</v>
      </c>
      <c r="P597" s="5" t="s">
        <v>597</v>
      </c>
      <c r="Q597" s="5" t="s">
        <v>973</v>
      </c>
      <c r="R597" s="5" t="s">
        <v>981</v>
      </c>
      <c r="S597" s="5" t="s">
        <v>975</v>
      </c>
      <c r="T597" s="5" t="s">
        <v>445</v>
      </c>
      <c r="U597" s="5"/>
      <c r="V597" s="5"/>
      <c r="W597" s="5"/>
      <c r="X597" s="5"/>
      <c r="Y597" s="5"/>
      <c r="Z597" s="5"/>
      <c r="AA597" s="5"/>
    </row>
    <row r="598" spans="5:27" customFormat="1">
      <c r="E598" s="88"/>
      <c r="F598" s="36" t="s">
        <v>293</v>
      </c>
      <c r="G598" s="5" t="s">
        <v>294</v>
      </c>
      <c r="H598" s="5"/>
      <c r="I598" s="62">
        <v>2401700</v>
      </c>
      <c r="J598" s="62">
        <v>1645</v>
      </c>
      <c r="K598" s="62">
        <v>1460</v>
      </c>
      <c r="L598" s="100" t="s">
        <v>914</v>
      </c>
      <c r="M598" s="5" t="s">
        <v>452</v>
      </c>
      <c r="N598" s="34" t="s">
        <v>464</v>
      </c>
      <c r="O598" s="5" t="s">
        <v>972</v>
      </c>
      <c r="P598" s="5" t="s">
        <v>597</v>
      </c>
      <c r="Q598" s="5" t="s">
        <v>973</v>
      </c>
      <c r="R598" s="5" t="s">
        <v>982</v>
      </c>
      <c r="S598" s="5" t="s">
        <v>975</v>
      </c>
      <c r="T598" s="5" t="s">
        <v>445</v>
      </c>
      <c r="U598" s="5"/>
      <c r="V598" s="5"/>
      <c r="W598" s="5"/>
      <c r="X598" s="5"/>
      <c r="Y598" s="5"/>
      <c r="Z598" s="5"/>
      <c r="AA598" s="5"/>
    </row>
    <row r="599" spans="5:27" customFormat="1">
      <c r="E599" s="88"/>
      <c r="F599" s="36" t="s">
        <v>293</v>
      </c>
      <c r="G599" s="5" t="s">
        <v>294</v>
      </c>
      <c r="H599" s="5"/>
      <c r="I599" s="62">
        <v>2467500</v>
      </c>
      <c r="J599" s="62">
        <v>1645</v>
      </c>
      <c r="K599" s="62">
        <v>1500</v>
      </c>
      <c r="L599" s="100" t="s">
        <v>854</v>
      </c>
      <c r="M599" s="5" t="s">
        <v>452</v>
      </c>
      <c r="N599" s="34" t="s">
        <v>464</v>
      </c>
      <c r="O599" s="5" t="s">
        <v>905</v>
      </c>
      <c r="P599" s="5" t="s">
        <v>597</v>
      </c>
      <c r="Q599" s="5" t="s">
        <v>906</v>
      </c>
      <c r="R599" s="5" t="s">
        <v>911</v>
      </c>
      <c r="S599" s="5" t="s">
        <v>908</v>
      </c>
      <c r="T599" s="5" t="s">
        <v>445</v>
      </c>
      <c r="U599" s="5"/>
      <c r="V599" s="5"/>
      <c r="W599" s="5"/>
      <c r="X599" s="5"/>
      <c r="Y599" s="5"/>
      <c r="Z599" s="5"/>
      <c r="AA599" s="5"/>
    </row>
    <row r="600" spans="5:27" customFormat="1">
      <c r="E600" s="88"/>
      <c r="F600" s="36" t="s">
        <v>293</v>
      </c>
      <c r="G600" s="5" t="s">
        <v>294</v>
      </c>
      <c r="H600" s="5"/>
      <c r="I600" s="62">
        <v>2467500</v>
      </c>
      <c r="J600" s="62">
        <v>1645</v>
      </c>
      <c r="K600" s="62">
        <v>1500</v>
      </c>
      <c r="L600" s="100" t="s">
        <v>914</v>
      </c>
      <c r="M600" s="5" t="s">
        <v>452</v>
      </c>
      <c r="N600" s="34" t="s">
        <v>464</v>
      </c>
      <c r="O600" s="5" t="s">
        <v>963</v>
      </c>
      <c r="P600" s="5" t="s">
        <v>597</v>
      </c>
      <c r="Q600" s="5" t="s">
        <v>964</v>
      </c>
      <c r="R600" s="5" t="s">
        <v>967</v>
      </c>
      <c r="S600" s="5" t="s">
        <v>966</v>
      </c>
      <c r="T600" s="5" t="s">
        <v>445</v>
      </c>
      <c r="U600" s="5"/>
      <c r="V600" s="5"/>
      <c r="W600" s="5"/>
      <c r="X600" s="5"/>
      <c r="Y600" s="5"/>
      <c r="Z600" s="5"/>
      <c r="AA600" s="5"/>
    </row>
    <row r="601" spans="5:27" customFormat="1">
      <c r="E601" s="88"/>
      <c r="F601" s="36" t="s">
        <v>293</v>
      </c>
      <c r="G601" s="5" t="s">
        <v>294</v>
      </c>
      <c r="H601" s="5"/>
      <c r="I601" s="62">
        <v>9723600</v>
      </c>
      <c r="J601" s="62">
        <v>6660</v>
      </c>
      <c r="K601" s="62">
        <v>1460</v>
      </c>
      <c r="L601" s="100" t="s">
        <v>985</v>
      </c>
      <c r="M601" s="5" t="s">
        <v>452</v>
      </c>
      <c r="N601" s="34" t="s">
        <v>464</v>
      </c>
      <c r="O601" s="5" t="s">
        <v>1111</v>
      </c>
      <c r="P601" s="5" t="s">
        <v>597</v>
      </c>
      <c r="Q601" s="5" t="s">
        <v>1112</v>
      </c>
      <c r="R601" s="5" t="s">
        <v>1118</v>
      </c>
      <c r="S601" s="5" t="s">
        <v>1114</v>
      </c>
      <c r="T601" s="5" t="s">
        <v>445</v>
      </c>
      <c r="U601" s="5"/>
      <c r="V601" s="5"/>
      <c r="W601" s="5"/>
      <c r="X601" s="5"/>
      <c r="Y601" s="5"/>
      <c r="Z601" s="5"/>
      <c r="AA601" s="5"/>
    </row>
    <row r="602" spans="5:27" customFormat="1">
      <c r="E602" s="88"/>
      <c r="F602" s="36" t="s">
        <v>293</v>
      </c>
      <c r="G602" s="5" t="s">
        <v>294</v>
      </c>
      <c r="H602" s="5"/>
      <c r="I602" s="62">
        <v>3416400</v>
      </c>
      <c r="J602" s="62">
        <v>2340</v>
      </c>
      <c r="K602" s="62">
        <v>1460</v>
      </c>
      <c r="L602" s="100" t="s">
        <v>914</v>
      </c>
      <c r="M602" s="5" t="s">
        <v>452</v>
      </c>
      <c r="N602" s="34" t="s">
        <v>464</v>
      </c>
      <c r="O602" s="5" t="s">
        <v>972</v>
      </c>
      <c r="P602" s="5" t="s">
        <v>597</v>
      </c>
      <c r="Q602" s="5" t="s">
        <v>973</v>
      </c>
      <c r="R602" s="5" t="s">
        <v>976</v>
      </c>
      <c r="S602" s="5" t="s">
        <v>975</v>
      </c>
      <c r="T602" s="5" t="s">
        <v>445</v>
      </c>
      <c r="U602" s="5"/>
      <c r="V602" s="5"/>
      <c r="W602" s="5"/>
      <c r="X602" s="5"/>
      <c r="Y602" s="5"/>
      <c r="Z602" s="5"/>
      <c r="AA602" s="5"/>
    </row>
    <row r="603" spans="5:27" customFormat="1">
      <c r="E603" s="88"/>
      <c r="F603" s="36" t="s">
        <v>293</v>
      </c>
      <c r="G603" s="5" t="s">
        <v>294</v>
      </c>
      <c r="H603" s="5"/>
      <c r="I603" s="62">
        <v>-119574</v>
      </c>
      <c r="J603" s="62">
        <v>-81.900000000000006</v>
      </c>
      <c r="K603" s="62">
        <v>1460</v>
      </c>
      <c r="L603" s="100" t="s">
        <v>914</v>
      </c>
      <c r="M603" s="5" t="s">
        <v>452</v>
      </c>
      <c r="N603" s="34" t="s">
        <v>464</v>
      </c>
      <c r="O603" s="5" t="s">
        <v>953</v>
      </c>
      <c r="P603" s="5" t="s">
        <v>597</v>
      </c>
      <c r="Q603" s="5" t="s">
        <v>954</v>
      </c>
      <c r="R603" s="5" t="s">
        <v>959</v>
      </c>
      <c r="S603" s="5" t="s">
        <v>956</v>
      </c>
      <c r="T603" s="5" t="s">
        <v>445</v>
      </c>
      <c r="U603" s="5"/>
      <c r="V603" s="5"/>
      <c r="W603" s="5"/>
      <c r="X603" s="5"/>
      <c r="Y603" s="5"/>
      <c r="Z603" s="5"/>
      <c r="AA603" s="5"/>
    </row>
    <row r="604" spans="5:27" customFormat="1">
      <c r="E604" s="88"/>
      <c r="F604" s="36" t="s">
        <v>293</v>
      </c>
      <c r="G604" s="5" t="s">
        <v>294</v>
      </c>
      <c r="H604" s="5"/>
      <c r="I604" s="62">
        <v>6971500</v>
      </c>
      <c r="J604" s="62">
        <v>4775</v>
      </c>
      <c r="K604" s="62">
        <v>1460</v>
      </c>
      <c r="L604" s="100" t="s">
        <v>985</v>
      </c>
      <c r="M604" s="5" t="s">
        <v>452</v>
      </c>
      <c r="N604" s="34" t="s">
        <v>464</v>
      </c>
      <c r="O604" s="5" t="s">
        <v>1111</v>
      </c>
      <c r="P604" s="5" t="s">
        <v>597</v>
      </c>
      <c r="Q604" s="5" t="s">
        <v>1112</v>
      </c>
      <c r="R604" s="5" t="s">
        <v>1115</v>
      </c>
      <c r="S604" s="5" t="s">
        <v>1114</v>
      </c>
      <c r="T604" s="5" t="s">
        <v>445</v>
      </c>
      <c r="U604" s="5"/>
      <c r="V604" s="5"/>
      <c r="W604" s="5"/>
      <c r="X604" s="5"/>
      <c r="Y604" s="5"/>
      <c r="Z604" s="5"/>
      <c r="AA604" s="5"/>
    </row>
    <row r="605" spans="5:27" customFormat="1">
      <c r="E605" s="88"/>
      <c r="F605" s="36" t="s">
        <v>293</v>
      </c>
      <c r="G605" s="5" t="s">
        <v>294</v>
      </c>
      <c r="H605" s="5"/>
      <c r="I605" s="62">
        <v>1349000</v>
      </c>
      <c r="J605" s="62">
        <v>950</v>
      </c>
      <c r="K605" s="62">
        <v>1420</v>
      </c>
      <c r="L605" s="100" t="s">
        <v>989</v>
      </c>
      <c r="M605" s="5" t="s">
        <v>452</v>
      </c>
      <c r="N605" s="34" t="s">
        <v>464</v>
      </c>
      <c r="O605" s="5" t="s">
        <v>1136</v>
      </c>
      <c r="P605" s="5" t="s">
        <v>597</v>
      </c>
      <c r="Q605" s="5" t="s">
        <v>1137</v>
      </c>
      <c r="R605" s="5" t="s">
        <v>1143</v>
      </c>
      <c r="S605" s="5" t="s">
        <v>1139</v>
      </c>
      <c r="T605" s="5" t="s">
        <v>445</v>
      </c>
      <c r="U605" s="5"/>
      <c r="V605" s="5"/>
      <c r="W605" s="5"/>
      <c r="X605" s="5"/>
      <c r="Y605" s="5"/>
      <c r="Z605" s="5"/>
      <c r="AA605" s="5"/>
    </row>
    <row r="606" spans="5:27" customFormat="1">
      <c r="E606" s="88"/>
      <c r="F606" s="36" t="s">
        <v>293</v>
      </c>
      <c r="G606" s="5" t="s">
        <v>294</v>
      </c>
      <c r="H606" s="5"/>
      <c r="I606" s="62">
        <v>8832400</v>
      </c>
      <c r="J606" s="62">
        <v>6220</v>
      </c>
      <c r="K606" s="62">
        <v>1420</v>
      </c>
      <c r="L606" s="100" t="s">
        <v>1030</v>
      </c>
      <c r="M606" s="5" t="s">
        <v>452</v>
      </c>
      <c r="N606" s="34" t="s">
        <v>464</v>
      </c>
      <c r="O606" s="5" t="s">
        <v>1144</v>
      </c>
      <c r="P606" s="5" t="s">
        <v>597</v>
      </c>
      <c r="Q606" s="5" t="s">
        <v>1145</v>
      </c>
      <c r="R606" s="5" t="s">
        <v>1146</v>
      </c>
      <c r="S606" s="5" t="s">
        <v>1147</v>
      </c>
      <c r="T606" s="5" t="s">
        <v>445</v>
      </c>
      <c r="U606" s="5"/>
      <c r="V606" s="5"/>
      <c r="W606" s="5"/>
      <c r="X606" s="5"/>
      <c r="Y606" s="5"/>
      <c r="Z606" s="5"/>
      <c r="AA606" s="5"/>
    </row>
    <row r="607" spans="5:27" customFormat="1">
      <c r="E607" s="88"/>
      <c r="F607" s="36" t="s">
        <v>293</v>
      </c>
      <c r="G607" s="5" t="s">
        <v>294</v>
      </c>
      <c r="H607" s="5"/>
      <c r="I607" s="62">
        <v>5694000</v>
      </c>
      <c r="J607" s="62">
        <v>3900</v>
      </c>
      <c r="K607" s="62">
        <v>1460</v>
      </c>
      <c r="L607" s="100" t="s">
        <v>914</v>
      </c>
      <c r="M607" s="5" t="s">
        <v>452</v>
      </c>
      <c r="N607" s="34" t="s">
        <v>464</v>
      </c>
      <c r="O607" s="5" t="s">
        <v>963</v>
      </c>
      <c r="P607" s="5" t="s">
        <v>597</v>
      </c>
      <c r="Q607" s="5" t="s">
        <v>964</v>
      </c>
      <c r="R607" s="5" t="s">
        <v>965</v>
      </c>
      <c r="S607" s="5" t="s">
        <v>966</v>
      </c>
      <c r="T607" s="5" t="s">
        <v>445</v>
      </c>
      <c r="U607" s="5"/>
      <c r="V607" s="5"/>
      <c r="W607" s="5"/>
      <c r="X607" s="5"/>
      <c r="Y607" s="5"/>
      <c r="Z607" s="5"/>
      <c r="AA607" s="5"/>
    </row>
    <row r="608" spans="5:27" customFormat="1">
      <c r="E608" s="88"/>
      <c r="F608" s="36" t="s">
        <v>293</v>
      </c>
      <c r="G608" s="5" t="s">
        <v>294</v>
      </c>
      <c r="H608" s="5"/>
      <c r="I608" s="62">
        <v>-2820000</v>
      </c>
      <c r="J608" s="62">
        <v>-2000</v>
      </c>
      <c r="K608" s="62">
        <v>1410</v>
      </c>
      <c r="L608" s="100" t="s">
        <v>604</v>
      </c>
      <c r="M608" s="5" t="s">
        <v>452</v>
      </c>
      <c r="N608" s="34" t="s">
        <v>464</v>
      </c>
      <c r="O608" s="5" t="s">
        <v>714</v>
      </c>
      <c r="P608" s="5" t="s">
        <v>597</v>
      </c>
      <c r="Q608" s="5" t="s">
        <v>715</v>
      </c>
      <c r="R608" s="5" t="s">
        <v>726</v>
      </c>
      <c r="S608" s="5" t="s">
        <v>717</v>
      </c>
      <c r="T608" s="5" t="s">
        <v>445</v>
      </c>
      <c r="U608" s="5"/>
      <c r="V608" s="5"/>
      <c r="W608" s="5"/>
      <c r="X608" s="5"/>
      <c r="Y608" s="5"/>
      <c r="Z608" s="5"/>
      <c r="AA608" s="5"/>
    </row>
    <row r="609" spans="5:27" customFormat="1">
      <c r="E609" s="88"/>
      <c r="F609" s="36" t="s">
        <v>293</v>
      </c>
      <c r="G609" s="5" t="s">
        <v>294</v>
      </c>
      <c r="H609" s="5"/>
      <c r="I609" s="62">
        <v>-2920000</v>
      </c>
      <c r="J609" s="62">
        <v>-2000</v>
      </c>
      <c r="K609" s="62">
        <v>1460</v>
      </c>
      <c r="L609" s="100" t="s">
        <v>914</v>
      </c>
      <c r="M609" s="5" t="s">
        <v>452</v>
      </c>
      <c r="N609" s="34" t="s">
        <v>464</v>
      </c>
      <c r="O609" s="5" t="s">
        <v>922</v>
      </c>
      <c r="P609" s="5" t="s">
        <v>597</v>
      </c>
      <c r="Q609" s="5" t="s">
        <v>923</v>
      </c>
      <c r="R609" s="5" t="s">
        <v>924</v>
      </c>
      <c r="S609" s="5" t="s">
        <v>925</v>
      </c>
      <c r="T609" s="5" t="s">
        <v>445</v>
      </c>
      <c r="U609" s="5"/>
      <c r="V609" s="5"/>
      <c r="W609" s="5"/>
      <c r="X609" s="5"/>
      <c r="Y609" s="5"/>
      <c r="Z609" s="5"/>
      <c r="AA609" s="5"/>
    </row>
    <row r="610" spans="5:27" customFormat="1">
      <c r="E610" s="88"/>
      <c r="F610" s="36" t="s">
        <v>293</v>
      </c>
      <c r="G610" s="5" t="s">
        <v>294</v>
      </c>
      <c r="H610" s="5"/>
      <c r="I610" s="62">
        <v>-2840000</v>
      </c>
      <c r="J610" s="62">
        <v>-2000</v>
      </c>
      <c r="K610" s="62">
        <v>1420</v>
      </c>
      <c r="L610" s="100" t="s">
        <v>989</v>
      </c>
      <c r="M610" s="5" t="s">
        <v>452</v>
      </c>
      <c r="N610" s="34" t="s">
        <v>464</v>
      </c>
      <c r="O610" s="5" t="s">
        <v>1082</v>
      </c>
      <c r="P610" s="5" t="s">
        <v>597</v>
      </c>
      <c r="Q610" s="5" t="s">
        <v>1083</v>
      </c>
      <c r="R610" s="5" t="s">
        <v>1096</v>
      </c>
      <c r="S610" s="5" t="s">
        <v>1085</v>
      </c>
      <c r="T610" s="5" t="s">
        <v>445</v>
      </c>
      <c r="U610" s="5"/>
      <c r="V610" s="5"/>
      <c r="W610" s="5"/>
      <c r="X610" s="5"/>
      <c r="Y610" s="5"/>
      <c r="Z610" s="5"/>
      <c r="AA610" s="5"/>
    </row>
    <row r="611" spans="5:27" customFormat="1">
      <c r="E611" s="88"/>
      <c r="F611" s="36" t="s">
        <v>293</v>
      </c>
      <c r="G611" s="5" t="s">
        <v>294</v>
      </c>
      <c r="H611" s="5"/>
      <c r="I611" s="62">
        <v>-423000</v>
      </c>
      <c r="J611" s="62">
        <v>-300</v>
      </c>
      <c r="K611" s="62">
        <v>1410</v>
      </c>
      <c r="L611" s="100" t="s">
        <v>604</v>
      </c>
      <c r="M611" s="5" t="s">
        <v>452</v>
      </c>
      <c r="N611" s="34" t="s">
        <v>464</v>
      </c>
      <c r="O611" s="5" t="s">
        <v>714</v>
      </c>
      <c r="P611" s="5" t="s">
        <v>597</v>
      </c>
      <c r="Q611" s="5" t="s">
        <v>715</v>
      </c>
      <c r="R611" s="5" t="s">
        <v>723</v>
      </c>
      <c r="S611" s="5" t="s">
        <v>717</v>
      </c>
      <c r="T611" s="5" t="s">
        <v>445</v>
      </c>
      <c r="U611" s="5"/>
      <c r="V611" s="5"/>
      <c r="W611" s="5"/>
      <c r="X611" s="5"/>
      <c r="Y611" s="5"/>
      <c r="Z611" s="5"/>
      <c r="AA611" s="5"/>
    </row>
    <row r="612" spans="5:27" customFormat="1">
      <c r="E612" s="88"/>
      <c r="F612" s="36" t="s">
        <v>293</v>
      </c>
      <c r="G612" s="5" t="s">
        <v>294</v>
      </c>
      <c r="H612" s="5"/>
      <c r="I612" s="62">
        <v>-438000</v>
      </c>
      <c r="J612" s="62">
        <v>-300</v>
      </c>
      <c r="K612" s="62">
        <v>1460</v>
      </c>
      <c r="L612" s="100" t="s">
        <v>914</v>
      </c>
      <c r="M612" s="5" t="s">
        <v>452</v>
      </c>
      <c r="N612" s="34" t="s">
        <v>464</v>
      </c>
      <c r="O612" s="5" t="s">
        <v>922</v>
      </c>
      <c r="P612" s="5" t="s">
        <v>597</v>
      </c>
      <c r="Q612" s="5" t="s">
        <v>923</v>
      </c>
      <c r="R612" s="5" t="s">
        <v>933</v>
      </c>
      <c r="S612" s="5" t="s">
        <v>925</v>
      </c>
      <c r="T612" s="5" t="s">
        <v>445</v>
      </c>
      <c r="U612" s="5"/>
      <c r="V612" s="5"/>
      <c r="W612" s="5"/>
      <c r="X612" s="5"/>
      <c r="Y612" s="5"/>
      <c r="Z612" s="5"/>
      <c r="AA612" s="5"/>
    </row>
    <row r="613" spans="5:27" customFormat="1">
      <c r="E613" s="88"/>
      <c r="F613" s="36" t="s">
        <v>293</v>
      </c>
      <c r="G613" s="5" t="s">
        <v>294</v>
      </c>
      <c r="H613" s="5"/>
      <c r="I613" s="62">
        <v>-426000</v>
      </c>
      <c r="J613" s="62">
        <v>-300</v>
      </c>
      <c r="K613" s="62">
        <v>1420</v>
      </c>
      <c r="L613" s="100" t="s">
        <v>989</v>
      </c>
      <c r="M613" s="5" t="s">
        <v>452</v>
      </c>
      <c r="N613" s="34" t="s">
        <v>464</v>
      </c>
      <c r="O613" s="5" t="s">
        <v>1082</v>
      </c>
      <c r="P613" s="5" t="s">
        <v>597</v>
      </c>
      <c r="Q613" s="5" t="s">
        <v>1083</v>
      </c>
      <c r="R613" s="5" t="s">
        <v>1093</v>
      </c>
      <c r="S613" s="5" t="s">
        <v>1085</v>
      </c>
      <c r="T613" s="5" t="s">
        <v>445</v>
      </c>
      <c r="U613" s="5"/>
      <c r="V613" s="5"/>
      <c r="W613" s="5"/>
      <c r="X613" s="5"/>
      <c r="Y613" s="5"/>
      <c r="Z613" s="5"/>
      <c r="AA613" s="5"/>
    </row>
    <row r="614" spans="5:27" customFormat="1">
      <c r="E614" s="88"/>
      <c r="F614" s="36" t="s">
        <v>293</v>
      </c>
      <c r="G614" s="5" t="s">
        <v>294</v>
      </c>
      <c r="H614" s="5"/>
      <c r="I614" s="62">
        <v>-77987</v>
      </c>
      <c r="J614" s="62">
        <v>-59.99</v>
      </c>
      <c r="K614" s="62">
        <v>1300</v>
      </c>
      <c r="L614" s="100" t="s">
        <v>459</v>
      </c>
      <c r="M614" s="5" t="s">
        <v>452</v>
      </c>
      <c r="N614" s="34" t="s">
        <v>464</v>
      </c>
      <c r="O614" s="5" t="s">
        <v>533</v>
      </c>
      <c r="P614" s="5" t="s">
        <v>454</v>
      </c>
      <c r="Q614" s="5" t="s">
        <v>534</v>
      </c>
      <c r="R614" s="5" t="s">
        <v>539</v>
      </c>
      <c r="S614" s="5" t="s">
        <v>536</v>
      </c>
      <c r="T614" s="5" t="s">
        <v>445</v>
      </c>
      <c r="U614" s="5"/>
      <c r="V614" s="5"/>
      <c r="W614" s="5"/>
      <c r="X614" s="5"/>
      <c r="Y614" s="5"/>
      <c r="Z614" s="5"/>
      <c r="AA614" s="5"/>
    </row>
    <row r="615" spans="5:27" customFormat="1">
      <c r="E615" s="88"/>
      <c r="F615" s="36" t="s">
        <v>293</v>
      </c>
      <c r="G615" s="5" t="s">
        <v>294</v>
      </c>
      <c r="H615" s="5"/>
      <c r="I615" s="62">
        <v>-68822</v>
      </c>
      <c r="J615" s="62">
        <v>-52.94</v>
      </c>
      <c r="K615" s="62">
        <v>1300</v>
      </c>
      <c r="L615" s="100" t="s">
        <v>459</v>
      </c>
      <c r="M615" s="5" t="s">
        <v>452</v>
      </c>
      <c r="N615" s="34" t="s">
        <v>464</v>
      </c>
      <c r="O615" s="5" t="s">
        <v>533</v>
      </c>
      <c r="P615" s="5" t="s">
        <v>454</v>
      </c>
      <c r="Q615" s="5" t="s">
        <v>534</v>
      </c>
      <c r="R615" s="5" t="s">
        <v>538</v>
      </c>
      <c r="S615" s="5" t="s">
        <v>536</v>
      </c>
      <c r="T615" s="5" t="s">
        <v>445</v>
      </c>
      <c r="U615" s="5"/>
      <c r="V615" s="5"/>
      <c r="W615" s="5"/>
      <c r="X615" s="5"/>
      <c r="Y615" s="5"/>
      <c r="Z615" s="5"/>
      <c r="AA615" s="5"/>
    </row>
    <row r="616" spans="5:27" customFormat="1">
      <c r="E616" s="88"/>
      <c r="F616" s="36" t="s">
        <v>293</v>
      </c>
      <c r="G616" s="5" t="s">
        <v>294</v>
      </c>
      <c r="H616" s="5"/>
      <c r="I616" s="62">
        <v>-92586</v>
      </c>
      <c r="J616" s="62">
        <v>-71.22</v>
      </c>
      <c r="K616" s="62">
        <v>1300</v>
      </c>
      <c r="L616" s="100" t="s">
        <v>459</v>
      </c>
      <c r="M616" s="5" t="s">
        <v>452</v>
      </c>
      <c r="N616" s="34" t="s">
        <v>464</v>
      </c>
      <c r="O616" s="5" t="s">
        <v>533</v>
      </c>
      <c r="P616" s="5" t="s">
        <v>454</v>
      </c>
      <c r="Q616" s="5" t="s">
        <v>534</v>
      </c>
      <c r="R616" s="5" t="s">
        <v>535</v>
      </c>
      <c r="S616" s="5" t="s">
        <v>536</v>
      </c>
      <c r="T616" s="5" t="s">
        <v>445</v>
      </c>
      <c r="U616" s="5"/>
      <c r="V616" s="5"/>
      <c r="W616" s="5"/>
      <c r="X616" s="5"/>
      <c r="Y616" s="5"/>
      <c r="Z616" s="5"/>
      <c r="AA616" s="5"/>
    </row>
    <row r="617" spans="5:27" customFormat="1">
      <c r="E617" s="88"/>
      <c r="F617" s="36" t="s">
        <v>293</v>
      </c>
      <c r="G617" s="5" t="s">
        <v>294</v>
      </c>
      <c r="H617" s="5"/>
      <c r="I617" s="62">
        <v>-87685</v>
      </c>
      <c r="J617" s="62">
        <v>-67.45</v>
      </c>
      <c r="K617" s="62">
        <v>1300</v>
      </c>
      <c r="L617" s="100" t="s">
        <v>459</v>
      </c>
      <c r="M617" s="5" t="s">
        <v>452</v>
      </c>
      <c r="N617" s="34" t="s">
        <v>464</v>
      </c>
      <c r="O617" s="5" t="s">
        <v>533</v>
      </c>
      <c r="P617" s="5" t="s">
        <v>454</v>
      </c>
      <c r="Q617" s="5" t="s">
        <v>534</v>
      </c>
      <c r="R617" s="5" t="s">
        <v>537</v>
      </c>
      <c r="S617" s="5" t="s">
        <v>536</v>
      </c>
      <c r="T617" s="5" t="s">
        <v>445</v>
      </c>
      <c r="U617" s="5"/>
      <c r="V617" s="5"/>
      <c r="W617" s="5"/>
      <c r="X617" s="5"/>
      <c r="Y617" s="5"/>
      <c r="Z617" s="5"/>
      <c r="AA617" s="5"/>
    </row>
    <row r="618" spans="5:27" customFormat="1">
      <c r="E618" s="88"/>
      <c r="F618" s="36" t="s">
        <v>293</v>
      </c>
      <c r="G618" s="5" t="s">
        <v>294</v>
      </c>
      <c r="H618" s="5"/>
      <c r="I618" s="62">
        <v>-5489.6</v>
      </c>
      <c r="J618" s="62">
        <v>-3.76</v>
      </c>
      <c r="K618" s="62">
        <v>1460</v>
      </c>
      <c r="L618" s="100" t="s">
        <v>914</v>
      </c>
      <c r="M618" s="5" t="s">
        <v>452</v>
      </c>
      <c r="N618" s="34" t="s">
        <v>464</v>
      </c>
      <c r="O618" s="5" t="s">
        <v>1008</v>
      </c>
      <c r="P618" s="5" t="s">
        <v>597</v>
      </c>
      <c r="Q618" s="5" t="s">
        <v>1009</v>
      </c>
      <c r="R618" s="5" t="s">
        <v>1010</v>
      </c>
      <c r="S618" s="5" t="s">
        <v>1011</v>
      </c>
      <c r="T618" s="5" t="s">
        <v>445</v>
      </c>
      <c r="U618" s="5"/>
      <c r="V618" s="5"/>
      <c r="W618" s="5"/>
      <c r="X618" s="5"/>
      <c r="Y618" s="5"/>
      <c r="Z618" s="5"/>
      <c r="AA618" s="5"/>
    </row>
    <row r="619" spans="5:27" customFormat="1">
      <c r="E619" s="88"/>
      <c r="F619" s="36" t="s">
        <v>293</v>
      </c>
      <c r="G619" s="5" t="s">
        <v>294</v>
      </c>
      <c r="H619" s="5"/>
      <c r="I619" s="62">
        <v>146</v>
      </c>
      <c r="J619" s="62">
        <v>0.1</v>
      </c>
      <c r="K619" s="62">
        <v>1460</v>
      </c>
      <c r="L619" s="100" t="s">
        <v>914</v>
      </c>
      <c r="M619" s="5" t="s">
        <v>452</v>
      </c>
      <c r="N619" s="34" t="s">
        <v>464</v>
      </c>
      <c r="O619" s="5" t="s">
        <v>1120</v>
      </c>
      <c r="P619" s="5" t="s">
        <v>597</v>
      </c>
      <c r="Q619" s="5" t="s">
        <v>1121</v>
      </c>
      <c r="R619" s="5" t="s">
        <v>1122</v>
      </c>
      <c r="S619" s="5" t="s">
        <v>1123</v>
      </c>
      <c r="T619" s="5" t="s">
        <v>445</v>
      </c>
      <c r="U619" s="5"/>
      <c r="V619" s="5"/>
      <c r="W619" s="5"/>
      <c r="X619" s="5"/>
      <c r="Y619" s="5"/>
      <c r="Z619" s="5"/>
      <c r="AA619" s="5"/>
    </row>
    <row r="620" spans="5:27" customFormat="1">
      <c r="E620" s="88"/>
      <c r="F620" s="36" t="s">
        <v>293</v>
      </c>
      <c r="G620" s="5" t="s">
        <v>294</v>
      </c>
      <c r="H620" s="5"/>
      <c r="I620" s="62">
        <v>1649.8</v>
      </c>
      <c r="J620" s="62">
        <v>1.1299999999999999</v>
      </c>
      <c r="K620" s="62">
        <v>1460</v>
      </c>
      <c r="L620" s="100" t="s">
        <v>914</v>
      </c>
      <c r="M620" s="5" t="s">
        <v>452</v>
      </c>
      <c r="N620" s="34" t="s">
        <v>464</v>
      </c>
      <c r="O620" s="5" t="s">
        <v>1120</v>
      </c>
      <c r="P620" s="5" t="s">
        <v>597</v>
      </c>
      <c r="Q620" s="5" t="s">
        <v>1121</v>
      </c>
      <c r="R620" s="5" t="s">
        <v>1122</v>
      </c>
      <c r="S620" s="5" t="s">
        <v>1123</v>
      </c>
      <c r="T620" s="5" t="s">
        <v>445</v>
      </c>
      <c r="U620" s="5"/>
      <c r="V620" s="5"/>
      <c r="W620" s="5"/>
      <c r="X620" s="5"/>
      <c r="Y620" s="5"/>
      <c r="Z620" s="5"/>
      <c r="AA620" s="5"/>
    </row>
    <row r="621" spans="5:27" customFormat="1">
      <c r="E621" s="88"/>
      <c r="F621" s="36" t="s">
        <v>293</v>
      </c>
      <c r="G621" s="5" t="s">
        <v>294</v>
      </c>
      <c r="H621" s="5"/>
      <c r="I621" s="62">
        <v>-59042.400000000001</v>
      </c>
      <c r="J621" s="62">
        <v>-40.44</v>
      </c>
      <c r="K621" s="62">
        <v>1460</v>
      </c>
      <c r="L621" s="100" t="s">
        <v>914</v>
      </c>
      <c r="M621" s="5" t="s">
        <v>452</v>
      </c>
      <c r="N621" s="34" t="s">
        <v>464</v>
      </c>
      <c r="O621" s="5" t="s">
        <v>1008</v>
      </c>
      <c r="P621" s="5" t="s">
        <v>597</v>
      </c>
      <c r="Q621" s="5" t="s">
        <v>1009</v>
      </c>
      <c r="R621" s="5" t="s">
        <v>1012</v>
      </c>
      <c r="S621" s="5" t="s">
        <v>1011</v>
      </c>
      <c r="T621" s="5" t="s">
        <v>445</v>
      </c>
      <c r="U621" s="5"/>
      <c r="V621" s="5"/>
      <c r="W621" s="5"/>
      <c r="X621" s="5"/>
      <c r="Y621" s="5"/>
      <c r="Z621" s="5"/>
      <c r="AA621" s="5"/>
    </row>
    <row r="622" spans="5:27" customFormat="1">
      <c r="E622" s="88"/>
      <c r="F622" s="36" t="s">
        <v>293</v>
      </c>
      <c r="G622" s="5" t="s">
        <v>294</v>
      </c>
      <c r="H622" s="5"/>
      <c r="I622" s="62">
        <v>-3962.1</v>
      </c>
      <c r="J622" s="62">
        <v>-2.81</v>
      </c>
      <c r="K622" s="62">
        <v>1410</v>
      </c>
      <c r="L622" s="100" t="s">
        <v>608</v>
      </c>
      <c r="M622" s="5" t="s">
        <v>452</v>
      </c>
      <c r="N622" s="34" t="s">
        <v>464</v>
      </c>
      <c r="O622" s="5" t="s">
        <v>738</v>
      </c>
      <c r="P622" s="5" t="s">
        <v>597</v>
      </c>
      <c r="Q622" s="5" t="s">
        <v>739</v>
      </c>
      <c r="R622" s="5" t="s">
        <v>743</v>
      </c>
      <c r="S622" s="5" t="s">
        <v>741</v>
      </c>
      <c r="T622" s="5" t="s">
        <v>445</v>
      </c>
      <c r="U622" s="5"/>
      <c r="V622" s="5"/>
      <c r="W622" s="5"/>
      <c r="X622" s="5"/>
      <c r="Y622" s="5"/>
      <c r="Z622" s="5"/>
      <c r="AA622" s="5"/>
    </row>
    <row r="623" spans="5:27" customFormat="1">
      <c r="E623" s="88"/>
      <c r="F623" s="36" t="s">
        <v>293</v>
      </c>
      <c r="G623" s="5" t="s">
        <v>294</v>
      </c>
      <c r="H623" s="5"/>
      <c r="I623" s="62">
        <v>-53763.3</v>
      </c>
      <c r="J623" s="62">
        <v>-38.130000000000003</v>
      </c>
      <c r="K623" s="62">
        <v>1410</v>
      </c>
      <c r="L623" s="100" t="s">
        <v>608</v>
      </c>
      <c r="M623" s="5" t="s">
        <v>452</v>
      </c>
      <c r="N623" s="34" t="s">
        <v>464</v>
      </c>
      <c r="O623" s="5" t="s">
        <v>738</v>
      </c>
      <c r="P623" s="5" t="s">
        <v>597</v>
      </c>
      <c r="Q623" s="5" t="s">
        <v>739</v>
      </c>
      <c r="R623" s="5" t="s">
        <v>740</v>
      </c>
      <c r="S623" s="5" t="s">
        <v>741</v>
      </c>
      <c r="T623" s="5" t="s">
        <v>445</v>
      </c>
      <c r="U623" s="5"/>
      <c r="V623" s="5"/>
      <c r="W623" s="5"/>
      <c r="X623" s="5"/>
      <c r="Y623" s="5"/>
      <c r="Z623" s="5"/>
      <c r="AA623" s="5"/>
    </row>
    <row r="624" spans="5:27" customFormat="1">
      <c r="E624" s="88"/>
      <c r="F624" s="36" t="s">
        <v>293</v>
      </c>
      <c r="G624" s="5" t="s">
        <v>294</v>
      </c>
      <c r="H624" s="5"/>
      <c r="I624" s="62">
        <v>-18090.3</v>
      </c>
      <c r="J624" s="62">
        <v>-12.83</v>
      </c>
      <c r="K624" s="62">
        <v>1410</v>
      </c>
      <c r="L624" s="100" t="s">
        <v>608</v>
      </c>
      <c r="M624" s="5" t="s">
        <v>452</v>
      </c>
      <c r="N624" s="34" t="s">
        <v>464</v>
      </c>
      <c r="O624" s="5" t="s">
        <v>738</v>
      </c>
      <c r="P624" s="5" t="s">
        <v>597</v>
      </c>
      <c r="Q624" s="5" t="s">
        <v>739</v>
      </c>
      <c r="R624" s="5" t="s">
        <v>742</v>
      </c>
      <c r="S624" s="5" t="s">
        <v>741</v>
      </c>
      <c r="T624" s="5" t="s">
        <v>445</v>
      </c>
      <c r="U624" s="5"/>
      <c r="V624" s="5"/>
      <c r="W624" s="5"/>
      <c r="X624" s="5"/>
      <c r="Y624" s="5"/>
      <c r="Z624" s="5"/>
      <c r="AA624" s="5"/>
    </row>
    <row r="625" spans="5:27" customFormat="1">
      <c r="E625" s="88"/>
      <c r="F625" s="36" t="s">
        <v>293</v>
      </c>
      <c r="G625" s="5" t="s">
        <v>294</v>
      </c>
      <c r="H625" s="5"/>
      <c r="I625" s="62">
        <v>-14100</v>
      </c>
      <c r="J625" s="62">
        <v>-10</v>
      </c>
      <c r="K625" s="62">
        <v>1410</v>
      </c>
      <c r="L625" s="100" t="s">
        <v>608</v>
      </c>
      <c r="M625" s="5" t="s">
        <v>452</v>
      </c>
      <c r="N625" s="34" t="s">
        <v>464</v>
      </c>
      <c r="O625" s="5" t="s">
        <v>738</v>
      </c>
      <c r="P625" s="5" t="s">
        <v>597</v>
      </c>
      <c r="Q625" s="5" t="s">
        <v>739</v>
      </c>
      <c r="R625" s="5" t="s">
        <v>750</v>
      </c>
      <c r="S625" s="5" t="s">
        <v>741</v>
      </c>
      <c r="T625" s="5" t="s">
        <v>445</v>
      </c>
      <c r="U625" s="5"/>
      <c r="V625" s="5"/>
      <c r="W625" s="5"/>
      <c r="X625" s="5"/>
      <c r="Y625" s="5"/>
      <c r="Z625" s="5"/>
      <c r="AA625" s="5"/>
    </row>
    <row r="626" spans="5:27" customFormat="1">
      <c r="E626" s="88"/>
      <c r="F626" s="36" t="s">
        <v>293</v>
      </c>
      <c r="G626" s="5" t="s">
        <v>294</v>
      </c>
      <c r="H626" s="5"/>
      <c r="I626" s="62">
        <v>-12182.4</v>
      </c>
      <c r="J626" s="62">
        <v>-8.64</v>
      </c>
      <c r="K626" s="62">
        <v>1410</v>
      </c>
      <c r="L626" s="100" t="s">
        <v>608</v>
      </c>
      <c r="M626" s="5" t="s">
        <v>452</v>
      </c>
      <c r="N626" s="34" t="s">
        <v>464</v>
      </c>
      <c r="O626" s="5" t="s">
        <v>738</v>
      </c>
      <c r="P626" s="5" t="s">
        <v>597</v>
      </c>
      <c r="Q626" s="5" t="s">
        <v>739</v>
      </c>
      <c r="R626" s="5" t="s">
        <v>744</v>
      </c>
      <c r="S626" s="5" t="s">
        <v>741</v>
      </c>
      <c r="T626" s="5" t="s">
        <v>445</v>
      </c>
      <c r="U626" s="5"/>
      <c r="V626" s="5"/>
      <c r="W626" s="5"/>
      <c r="X626" s="5"/>
      <c r="Y626" s="5"/>
      <c r="Z626" s="5"/>
      <c r="AA626" s="5"/>
    </row>
    <row r="627" spans="5:27" customFormat="1">
      <c r="E627" s="88"/>
      <c r="F627" s="36" t="s">
        <v>293</v>
      </c>
      <c r="G627" s="5" t="s">
        <v>294</v>
      </c>
      <c r="H627" s="5"/>
      <c r="I627" s="62">
        <v>-186342</v>
      </c>
      <c r="J627" s="62">
        <v>-143.34</v>
      </c>
      <c r="K627" s="62">
        <v>1300</v>
      </c>
      <c r="L627" s="100" t="s">
        <v>459</v>
      </c>
      <c r="M627" s="5" t="s">
        <v>452</v>
      </c>
      <c r="N627" s="34" t="s">
        <v>464</v>
      </c>
      <c r="O627" s="5" t="s">
        <v>505</v>
      </c>
      <c r="P627" s="5" t="s">
        <v>454</v>
      </c>
      <c r="Q627" s="5" t="s">
        <v>506</v>
      </c>
      <c r="R627" s="5" t="s">
        <v>507</v>
      </c>
      <c r="S627" s="5" t="s">
        <v>508</v>
      </c>
      <c r="T627" s="5" t="s">
        <v>445</v>
      </c>
      <c r="U627" s="5"/>
      <c r="V627" s="5"/>
      <c r="W627" s="5"/>
      <c r="X627" s="5"/>
      <c r="Y627" s="5"/>
      <c r="Z627" s="5"/>
      <c r="AA627" s="5"/>
    </row>
    <row r="628" spans="5:27" customFormat="1">
      <c r="E628" s="88"/>
      <c r="F628" s="36" t="s">
        <v>293</v>
      </c>
      <c r="G628" s="5" t="s">
        <v>294</v>
      </c>
      <c r="H628" s="5"/>
      <c r="I628" s="62">
        <v>-852000</v>
      </c>
      <c r="J628" s="62">
        <v>-600</v>
      </c>
      <c r="K628" s="62">
        <v>1420</v>
      </c>
      <c r="L628" s="100" t="s">
        <v>989</v>
      </c>
      <c r="M628" s="5" t="s">
        <v>452</v>
      </c>
      <c r="N628" s="34" t="s">
        <v>464</v>
      </c>
      <c r="O628" s="5" t="s">
        <v>1082</v>
      </c>
      <c r="P628" s="5" t="s">
        <v>597</v>
      </c>
      <c r="Q628" s="5" t="s">
        <v>1083</v>
      </c>
      <c r="R628" s="5" t="s">
        <v>1089</v>
      </c>
      <c r="S628" s="5" t="s">
        <v>1085</v>
      </c>
      <c r="T628" s="5" t="s">
        <v>445</v>
      </c>
      <c r="U628" s="5"/>
      <c r="V628" s="5"/>
      <c r="W628" s="5"/>
      <c r="X628" s="5"/>
      <c r="Y628" s="5"/>
      <c r="Z628" s="5"/>
      <c r="AA628" s="5"/>
    </row>
    <row r="629" spans="5:27" customFormat="1">
      <c r="E629" s="88"/>
      <c r="F629" s="36" t="s">
        <v>293</v>
      </c>
      <c r="G629" s="5" t="s">
        <v>294</v>
      </c>
      <c r="H629" s="5"/>
      <c r="I629" s="62">
        <v>-11645000</v>
      </c>
      <c r="J629" s="62">
        <v>-8500</v>
      </c>
      <c r="K629" s="62">
        <v>1370</v>
      </c>
      <c r="L629" s="100" t="s">
        <v>451</v>
      </c>
      <c r="M629" s="5" t="s">
        <v>452</v>
      </c>
      <c r="N629" s="34" t="s">
        <v>464</v>
      </c>
      <c r="O629" s="5" t="s">
        <v>518</v>
      </c>
      <c r="P629" s="5" t="s">
        <v>454</v>
      </c>
      <c r="Q629" s="5" t="s">
        <v>519</v>
      </c>
      <c r="R629" s="5" t="s">
        <v>520</v>
      </c>
      <c r="S629" s="5" t="s">
        <v>521</v>
      </c>
      <c r="T629" s="5" t="s">
        <v>445</v>
      </c>
      <c r="U629" s="5"/>
      <c r="V629" s="5"/>
      <c r="W629" s="5"/>
      <c r="X629" s="5"/>
      <c r="Y629" s="5"/>
      <c r="Z629" s="5"/>
      <c r="AA629" s="5"/>
    </row>
    <row r="630" spans="5:27" customFormat="1">
      <c r="E630" s="88"/>
      <c r="F630" s="36" t="s">
        <v>293</v>
      </c>
      <c r="G630" s="5" t="s">
        <v>294</v>
      </c>
      <c r="H630" s="5"/>
      <c r="I630" s="62">
        <v>-858000</v>
      </c>
      <c r="J630" s="62">
        <v>-600</v>
      </c>
      <c r="K630" s="62">
        <v>1430</v>
      </c>
      <c r="L630" s="100" t="s">
        <v>608</v>
      </c>
      <c r="M630" s="5" t="s">
        <v>452</v>
      </c>
      <c r="N630" s="34" t="s">
        <v>464</v>
      </c>
      <c r="O630" s="5" t="s">
        <v>738</v>
      </c>
      <c r="P630" s="5" t="s">
        <v>597</v>
      </c>
      <c r="Q630" s="5" t="s">
        <v>739</v>
      </c>
      <c r="R630" s="5" t="s">
        <v>735</v>
      </c>
      <c r="S630" s="5" t="s">
        <v>741</v>
      </c>
      <c r="T630" s="5" t="s">
        <v>445</v>
      </c>
      <c r="U630" s="5"/>
      <c r="V630" s="5"/>
      <c r="W630" s="5"/>
      <c r="X630" s="5"/>
      <c r="Y630" s="5"/>
      <c r="Z630" s="5"/>
      <c r="AA630" s="5"/>
    </row>
    <row r="631" spans="5:27" customFormat="1">
      <c r="E631" s="88"/>
      <c r="F631" s="36" t="s">
        <v>293</v>
      </c>
      <c r="G631" s="5" t="s">
        <v>294</v>
      </c>
      <c r="H631" s="5"/>
      <c r="I631" s="62">
        <v>-238423.9</v>
      </c>
      <c r="J631" s="62">
        <v>-166.73</v>
      </c>
      <c r="K631" s="62">
        <v>1430</v>
      </c>
      <c r="L631" s="100" t="s">
        <v>608</v>
      </c>
      <c r="M631" s="5" t="s">
        <v>452</v>
      </c>
      <c r="N631" s="34" t="s">
        <v>464</v>
      </c>
      <c r="O631" s="5" t="s">
        <v>738</v>
      </c>
      <c r="P631" s="5" t="s">
        <v>597</v>
      </c>
      <c r="Q631" s="5" t="s">
        <v>739</v>
      </c>
      <c r="R631" s="5" t="s">
        <v>749</v>
      </c>
      <c r="S631" s="5" t="s">
        <v>741</v>
      </c>
      <c r="T631" s="5" t="s">
        <v>445</v>
      </c>
      <c r="U631" s="5"/>
      <c r="V631" s="5"/>
      <c r="W631" s="5"/>
      <c r="X631" s="5"/>
      <c r="Y631" s="5"/>
      <c r="Z631" s="5"/>
      <c r="AA631" s="5"/>
    </row>
    <row r="632" spans="5:27" customFormat="1">
      <c r="E632" s="88"/>
      <c r="F632" s="36" t="s">
        <v>293</v>
      </c>
      <c r="G632" s="5" t="s">
        <v>294</v>
      </c>
      <c r="H632" s="5"/>
      <c r="I632" s="62">
        <v>-712400</v>
      </c>
      <c r="J632" s="62">
        <v>-520</v>
      </c>
      <c r="K632" s="62">
        <v>1370</v>
      </c>
      <c r="L632" s="100" t="s">
        <v>451</v>
      </c>
      <c r="M632" s="5" t="s">
        <v>452</v>
      </c>
      <c r="N632" s="34" t="s">
        <v>464</v>
      </c>
      <c r="O632" s="5" t="s">
        <v>518</v>
      </c>
      <c r="P632" s="5" t="s">
        <v>454</v>
      </c>
      <c r="Q632" s="5" t="s">
        <v>519</v>
      </c>
      <c r="R632" s="5" t="s">
        <v>522</v>
      </c>
      <c r="S632" s="5" t="s">
        <v>521</v>
      </c>
      <c r="T632" s="5" t="s">
        <v>445</v>
      </c>
      <c r="U632" s="5"/>
      <c r="V632" s="5"/>
      <c r="W632" s="5"/>
      <c r="X632" s="5"/>
      <c r="Y632" s="5"/>
      <c r="Z632" s="5"/>
      <c r="AA632" s="5"/>
    </row>
    <row r="633" spans="5:27" customFormat="1">
      <c r="E633" s="88"/>
      <c r="F633" s="36" t="s">
        <v>293</v>
      </c>
      <c r="G633" s="5" t="s">
        <v>294</v>
      </c>
      <c r="H633" s="5"/>
      <c r="I633" s="62">
        <v>-1278000</v>
      </c>
      <c r="J633" s="62">
        <v>-900</v>
      </c>
      <c r="K633" s="62">
        <v>1420</v>
      </c>
      <c r="L633" s="100" t="s">
        <v>989</v>
      </c>
      <c r="M633" s="5" t="s">
        <v>452</v>
      </c>
      <c r="N633" s="34" t="s">
        <v>464</v>
      </c>
      <c r="O633" s="5" t="s">
        <v>1082</v>
      </c>
      <c r="P633" s="5" t="s">
        <v>597</v>
      </c>
      <c r="Q633" s="5" t="s">
        <v>1083</v>
      </c>
      <c r="R633" s="5" t="s">
        <v>1092</v>
      </c>
      <c r="S633" s="5" t="s">
        <v>1085</v>
      </c>
      <c r="T633" s="5" t="s">
        <v>445</v>
      </c>
      <c r="U633" s="5"/>
      <c r="V633" s="5"/>
      <c r="W633" s="5"/>
      <c r="X633" s="5"/>
      <c r="Y633" s="5"/>
      <c r="Z633" s="5"/>
      <c r="AA633" s="5"/>
    </row>
    <row r="634" spans="5:27" customFormat="1">
      <c r="E634" s="88"/>
      <c r="F634" s="36" t="s">
        <v>293</v>
      </c>
      <c r="G634" s="5" t="s">
        <v>294</v>
      </c>
      <c r="H634" s="5"/>
      <c r="I634" s="62">
        <v>-1562000</v>
      </c>
      <c r="J634" s="62">
        <v>-1100</v>
      </c>
      <c r="K634" s="62">
        <v>1420</v>
      </c>
      <c r="L634" s="100" t="s">
        <v>989</v>
      </c>
      <c r="M634" s="5" t="s">
        <v>452</v>
      </c>
      <c r="N634" s="34" t="s">
        <v>464</v>
      </c>
      <c r="O634" s="5" t="s">
        <v>1082</v>
      </c>
      <c r="P634" s="5" t="s">
        <v>597</v>
      </c>
      <c r="Q634" s="5" t="s">
        <v>1083</v>
      </c>
      <c r="R634" s="5" t="s">
        <v>1087</v>
      </c>
      <c r="S634" s="5" t="s">
        <v>1085</v>
      </c>
      <c r="T634" s="5" t="s">
        <v>445</v>
      </c>
      <c r="U634" s="5"/>
      <c r="V634" s="5"/>
      <c r="W634" s="5"/>
      <c r="X634" s="5"/>
      <c r="Y634" s="5"/>
      <c r="Z634" s="5"/>
      <c r="AA634" s="5"/>
    </row>
    <row r="635" spans="5:27" customFormat="1">
      <c r="E635" s="88"/>
      <c r="F635" s="36" t="s">
        <v>293</v>
      </c>
      <c r="G635" s="5" t="s">
        <v>294</v>
      </c>
      <c r="H635" s="5"/>
      <c r="I635" s="62">
        <v>-1420000</v>
      </c>
      <c r="J635" s="62">
        <v>-1000</v>
      </c>
      <c r="K635" s="62">
        <v>1420</v>
      </c>
      <c r="L635" s="100" t="s">
        <v>989</v>
      </c>
      <c r="M635" s="5" t="s">
        <v>452</v>
      </c>
      <c r="N635" s="34" t="s">
        <v>464</v>
      </c>
      <c r="O635" s="5" t="s">
        <v>1082</v>
      </c>
      <c r="P635" s="5" t="s">
        <v>597</v>
      </c>
      <c r="Q635" s="5" t="s">
        <v>1083</v>
      </c>
      <c r="R635" s="5" t="s">
        <v>1091</v>
      </c>
      <c r="S635" s="5" t="s">
        <v>1085</v>
      </c>
      <c r="T635" s="5" t="s">
        <v>445</v>
      </c>
      <c r="U635" s="5"/>
      <c r="V635" s="5"/>
      <c r="W635" s="5"/>
      <c r="X635" s="5"/>
      <c r="Y635" s="5"/>
      <c r="Z635" s="5"/>
      <c r="AA635" s="5"/>
    </row>
    <row r="636" spans="5:27" customFormat="1">
      <c r="E636" s="88"/>
      <c r="F636" s="36" t="s">
        <v>293</v>
      </c>
      <c r="G636" s="5" t="s">
        <v>294</v>
      </c>
      <c r="H636" s="5"/>
      <c r="I636" s="62">
        <v>-994000</v>
      </c>
      <c r="J636" s="62">
        <v>-700</v>
      </c>
      <c r="K636" s="62">
        <v>1420</v>
      </c>
      <c r="L636" s="100" t="s">
        <v>989</v>
      </c>
      <c r="M636" s="5" t="s">
        <v>452</v>
      </c>
      <c r="N636" s="34" t="s">
        <v>464</v>
      </c>
      <c r="O636" s="5" t="s">
        <v>1082</v>
      </c>
      <c r="P636" s="5" t="s">
        <v>597</v>
      </c>
      <c r="Q636" s="5" t="s">
        <v>1083</v>
      </c>
      <c r="R636" s="5" t="s">
        <v>1084</v>
      </c>
      <c r="S636" s="5" t="s">
        <v>1085</v>
      </c>
      <c r="T636" s="5" t="s">
        <v>445</v>
      </c>
      <c r="U636" s="5"/>
      <c r="V636" s="5"/>
      <c r="W636" s="5"/>
      <c r="X636" s="5"/>
      <c r="Y636" s="5"/>
      <c r="Z636" s="5"/>
      <c r="AA636" s="5"/>
    </row>
    <row r="637" spans="5:27" customFormat="1">
      <c r="E637" s="88"/>
      <c r="F637" s="36" t="s">
        <v>293</v>
      </c>
      <c r="G637" s="5" t="s">
        <v>294</v>
      </c>
      <c r="H637" s="5"/>
      <c r="I637" s="62">
        <v>-570000</v>
      </c>
      <c r="J637" s="62">
        <v>-380</v>
      </c>
      <c r="K637" s="62">
        <v>1500</v>
      </c>
      <c r="L637" s="100" t="s">
        <v>914</v>
      </c>
      <c r="M637" s="5" t="s">
        <v>452</v>
      </c>
      <c r="N637" s="34" t="s">
        <v>464</v>
      </c>
      <c r="O637" s="5" t="s">
        <v>922</v>
      </c>
      <c r="P637" s="5" t="s">
        <v>597</v>
      </c>
      <c r="Q637" s="5" t="s">
        <v>923</v>
      </c>
      <c r="R637" s="5" t="s">
        <v>929</v>
      </c>
      <c r="S637" s="5" t="s">
        <v>925</v>
      </c>
      <c r="T637" s="5" t="s">
        <v>445</v>
      </c>
      <c r="U637" s="5"/>
      <c r="V637" s="5"/>
      <c r="W637" s="5"/>
      <c r="X637" s="5"/>
      <c r="Y637" s="5"/>
      <c r="Z637" s="5"/>
      <c r="AA637" s="5"/>
    </row>
    <row r="638" spans="5:27" customFormat="1">
      <c r="E638" s="88"/>
      <c r="F638" s="36" t="s">
        <v>293</v>
      </c>
      <c r="G638" s="5" t="s">
        <v>294</v>
      </c>
      <c r="H638" s="5"/>
      <c r="I638" s="62">
        <v>-3000000</v>
      </c>
      <c r="J638" s="62">
        <v>-2000</v>
      </c>
      <c r="K638" s="62">
        <v>1500</v>
      </c>
      <c r="L638" s="100" t="s">
        <v>914</v>
      </c>
      <c r="M638" s="5" t="s">
        <v>452</v>
      </c>
      <c r="N638" s="34" t="s">
        <v>464</v>
      </c>
      <c r="O638" s="5" t="s">
        <v>922</v>
      </c>
      <c r="P638" s="5" t="s">
        <v>597</v>
      </c>
      <c r="Q638" s="5" t="s">
        <v>923</v>
      </c>
      <c r="R638" s="5" t="s">
        <v>932</v>
      </c>
      <c r="S638" s="5" t="s">
        <v>925</v>
      </c>
      <c r="T638" s="5" t="s">
        <v>445</v>
      </c>
      <c r="U638" s="5"/>
      <c r="V638" s="5"/>
      <c r="W638" s="5"/>
      <c r="X638" s="5"/>
      <c r="Y638" s="5"/>
      <c r="Z638" s="5"/>
      <c r="AA638" s="5"/>
    </row>
    <row r="639" spans="5:27" customFormat="1">
      <c r="E639" s="88"/>
      <c r="F639" s="36" t="s">
        <v>293</v>
      </c>
      <c r="G639" s="5" t="s">
        <v>294</v>
      </c>
      <c r="H639" s="5"/>
      <c r="I639" s="62">
        <v>-1800000</v>
      </c>
      <c r="J639" s="62">
        <v>-1200</v>
      </c>
      <c r="K639" s="62">
        <v>1500</v>
      </c>
      <c r="L639" s="100" t="s">
        <v>914</v>
      </c>
      <c r="M639" s="5" t="s">
        <v>452</v>
      </c>
      <c r="N639" s="34" t="s">
        <v>464</v>
      </c>
      <c r="O639" s="5" t="s">
        <v>922</v>
      </c>
      <c r="P639" s="5" t="s">
        <v>597</v>
      </c>
      <c r="Q639" s="5" t="s">
        <v>923</v>
      </c>
      <c r="R639" s="5" t="s">
        <v>930</v>
      </c>
      <c r="S639" s="5" t="s">
        <v>925</v>
      </c>
      <c r="T639" s="5" t="s">
        <v>445</v>
      </c>
      <c r="U639" s="5"/>
      <c r="V639" s="5"/>
      <c r="W639" s="5"/>
      <c r="X639" s="5"/>
      <c r="Y639" s="5"/>
      <c r="Z639" s="5"/>
      <c r="AA639" s="5"/>
    </row>
    <row r="640" spans="5:27" customFormat="1">
      <c r="E640" s="88"/>
      <c r="F640" s="36" t="s">
        <v>293</v>
      </c>
      <c r="G640" s="5" t="s">
        <v>294</v>
      </c>
      <c r="H640" s="5"/>
      <c r="I640" s="62">
        <v>-994000</v>
      </c>
      <c r="J640" s="62">
        <v>-700</v>
      </c>
      <c r="K640" s="62">
        <v>1420</v>
      </c>
      <c r="L640" s="100" t="s">
        <v>989</v>
      </c>
      <c r="M640" s="5" t="s">
        <v>452</v>
      </c>
      <c r="N640" s="34" t="s">
        <v>464</v>
      </c>
      <c r="O640" s="5" t="s">
        <v>1082</v>
      </c>
      <c r="P640" s="5" t="s">
        <v>597</v>
      </c>
      <c r="Q640" s="5" t="s">
        <v>1083</v>
      </c>
      <c r="R640" s="5" t="s">
        <v>1094</v>
      </c>
      <c r="S640" s="5" t="s">
        <v>1085</v>
      </c>
      <c r="T640" s="5" t="s">
        <v>445</v>
      </c>
      <c r="U640" s="5"/>
      <c r="V640" s="5"/>
      <c r="W640" s="5"/>
      <c r="X640" s="5"/>
      <c r="Y640" s="5"/>
      <c r="Z640" s="5"/>
      <c r="AA640" s="5"/>
    </row>
    <row r="641" spans="5:27" customFormat="1">
      <c r="E641" s="88"/>
      <c r="F641" s="36" t="s">
        <v>293</v>
      </c>
      <c r="G641" s="5" t="s">
        <v>294</v>
      </c>
      <c r="H641" s="5"/>
      <c r="I641" s="62">
        <v>738400</v>
      </c>
      <c r="J641" s="62">
        <v>520</v>
      </c>
      <c r="K641" s="62">
        <v>1420</v>
      </c>
      <c r="L641" s="100" t="s">
        <v>472</v>
      </c>
      <c r="M641" s="5" t="s">
        <v>452</v>
      </c>
      <c r="N641" s="34" t="s">
        <v>464</v>
      </c>
      <c r="O641" s="5" t="s">
        <v>578</v>
      </c>
      <c r="P641" s="5" t="s">
        <v>454</v>
      </c>
      <c r="Q641" s="5" t="s">
        <v>579</v>
      </c>
      <c r="R641" s="5" t="s">
        <v>580</v>
      </c>
      <c r="S641" s="5" t="s">
        <v>581</v>
      </c>
      <c r="T641" s="5" t="s">
        <v>445</v>
      </c>
      <c r="U641" s="5"/>
      <c r="V641" s="5"/>
      <c r="W641" s="5"/>
      <c r="X641" s="5"/>
      <c r="Y641" s="5"/>
      <c r="Z641" s="5"/>
      <c r="AA641" s="5"/>
    </row>
    <row r="642" spans="5:27" customFormat="1">
      <c r="E642" s="88"/>
      <c r="F642" s="36" t="s">
        <v>293</v>
      </c>
      <c r="G642" s="5" t="s">
        <v>294</v>
      </c>
      <c r="H642" s="5"/>
      <c r="I642" s="62">
        <v>-3748800</v>
      </c>
      <c r="J642" s="62">
        <v>-2640</v>
      </c>
      <c r="K642" s="62">
        <v>1420</v>
      </c>
      <c r="L642" s="100" t="s">
        <v>985</v>
      </c>
      <c r="M642" s="5" t="s">
        <v>452</v>
      </c>
      <c r="N642" s="34" t="s">
        <v>464</v>
      </c>
      <c r="O642" s="5" t="s">
        <v>997</v>
      </c>
      <c r="P642" s="5" t="s">
        <v>597</v>
      </c>
      <c r="Q642" s="5" t="s">
        <v>998</v>
      </c>
      <c r="R642" s="5" t="s">
        <v>999</v>
      </c>
      <c r="S642" s="5" t="s">
        <v>1000</v>
      </c>
      <c r="T642" s="5" t="s">
        <v>445</v>
      </c>
      <c r="U642" s="5"/>
      <c r="V642" s="5"/>
      <c r="W642" s="5"/>
      <c r="X642" s="5"/>
      <c r="Y642" s="5"/>
      <c r="Z642" s="5"/>
      <c r="AA642" s="5"/>
    </row>
    <row r="643" spans="5:27" customFormat="1">
      <c r="E643" s="88"/>
      <c r="F643" s="36" t="s">
        <v>293</v>
      </c>
      <c r="G643" s="5" t="s">
        <v>294</v>
      </c>
      <c r="H643" s="5"/>
      <c r="I643" s="62">
        <v>-1500000</v>
      </c>
      <c r="J643" s="62">
        <v>-1000</v>
      </c>
      <c r="K643" s="62">
        <v>1500</v>
      </c>
      <c r="L643" s="100" t="s">
        <v>914</v>
      </c>
      <c r="M643" s="5" t="s">
        <v>452</v>
      </c>
      <c r="N643" s="34" t="s">
        <v>464</v>
      </c>
      <c r="O643" s="5" t="s">
        <v>922</v>
      </c>
      <c r="P643" s="5" t="s">
        <v>597</v>
      </c>
      <c r="Q643" s="5" t="s">
        <v>923</v>
      </c>
      <c r="R643" s="5" t="s">
        <v>931</v>
      </c>
      <c r="S643" s="5" t="s">
        <v>925</v>
      </c>
      <c r="T643" s="5" t="s">
        <v>445</v>
      </c>
      <c r="U643" s="5"/>
      <c r="V643" s="5"/>
      <c r="W643" s="5"/>
      <c r="X643" s="5"/>
      <c r="Y643" s="5"/>
      <c r="Z643" s="5"/>
      <c r="AA643" s="5"/>
    </row>
    <row r="644" spans="5:27" customFormat="1">
      <c r="E644" s="88"/>
      <c r="F644" s="36" t="s">
        <v>293</v>
      </c>
      <c r="G644" s="5" t="s">
        <v>294</v>
      </c>
      <c r="H644" s="5"/>
      <c r="I644" s="62">
        <v>-169383.3</v>
      </c>
      <c r="J644" s="62">
        <v>-120.13</v>
      </c>
      <c r="K644" s="62">
        <v>1410</v>
      </c>
      <c r="L644" s="100" t="s">
        <v>604</v>
      </c>
      <c r="M644" s="5" t="s">
        <v>452</v>
      </c>
      <c r="N644" s="34" t="s">
        <v>464</v>
      </c>
      <c r="O644" s="5" t="s">
        <v>714</v>
      </c>
      <c r="P644" s="5" t="s">
        <v>597</v>
      </c>
      <c r="Q644" s="5" t="s">
        <v>715</v>
      </c>
      <c r="R644" s="5" t="s">
        <v>716</v>
      </c>
      <c r="S644" s="5" t="s">
        <v>717</v>
      </c>
      <c r="T644" s="5" t="s">
        <v>445</v>
      </c>
      <c r="U644" s="5"/>
      <c r="V644" s="5"/>
      <c r="W644" s="5"/>
      <c r="X644" s="5"/>
      <c r="Y644" s="5"/>
      <c r="Z644" s="5"/>
      <c r="AA644" s="5"/>
    </row>
    <row r="645" spans="5:27" customFormat="1">
      <c r="E645" s="88"/>
      <c r="F645" s="36" t="s">
        <v>293</v>
      </c>
      <c r="G645" s="5" t="s">
        <v>294</v>
      </c>
      <c r="H645" s="5"/>
      <c r="I645" s="62">
        <v>-123428.4</v>
      </c>
      <c r="J645" s="62">
        <v>-84.54</v>
      </c>
      <c r="K645" s="62">
        <v>1460</v>
      </c>
      <c r="L645" s="100" t="s">
        <v>914</v>
      </c>
      <c r="M645" s="5" t="s">
        <v>452</v>
      </c>
      <c r="N645" s="34" t="s">
        <v>464</v>
      </c>
      <c r="O645" s="5" t="s">
        <v>993</v>
      </c>
      <c r="P645" s="5" t="s">
        <v>597</v>
      </c>
      <c r="Q645" s="5" t="s">
        <v>994</v>
      </c>
      <c r="R645" s="5" t="s">
        <v>995</v>
      </c>
      <c r="S645" s="5" t="s">
        <v>996</v>
      </c>
      <c r="T645" s="5" t="s">
        <v>445</v>
      </c>
      <c r="U645" s="5"/>
      <c r="V645" s="5"/>
      <c r="W645" s="5"/>
      <c r="X645" s="5"/>
      <c r="Y645" s="5"/>
      <c r="Z645" s="5"/>
      <c r="AA645" s="5"/>
    </row>
    <row r="646" spans="5:27" customFormat="1">
      <c r="E646" s="88"/>
      <c r="F646" s="36" t="s">
        <v>295</v>
      </c>
      <c r="G646" s="5" t="s">
        <v>296</v>
      </c>
      <c r="H646" s="5"/>
      <c r="I646" s="62">
        <v>-55781</v>
      </c>
      <c r="J646" s="62">
        <v>-37.187333333333299</v>
      </c>
      <c r="K646" s="62">
        <v>1500</v>
      </c>
      <c r="L646" s="100" t="s">
        <v>858</v>
      </c>
      <c r="M646" s="5" t="s">
        <v>452</v>
      </c>
      <c r="N646" s="34" t="s">
        <v>464</v>
      </c>
      <c r="O646" s="5" t="s">
        <v>880</v>
      </c>
      <c r="P646" s="5" t="s">
        <v>597</v>
      </c>
      <c r="Q646" s="5" t="s">
        <v>881</v>
      </c>
      <c r="R646" s="5" t="s">
        <v>885</v>
      </c>
      <c r="S646" s="5" t="s">
        <v>882</v>
      </c>
      <c r="T646" s="5" t="s">
        <v>445</v>
      </c>
      <c r="U646" s="5"/>
      <c r="V646" s="5"/>
      <c r="W646" s="5"/>
      <c r="X646" s="5"/>
      <c r="Y646" s="5"/>
      <c r="Z646" s="5"/>
      <c r="AA646" s="5"/>
    </row>
    <row r="647" spans="5:27" customFormat="1">
      <c r="E647" s="88"/>
      <c r="F647" s="36" t="s">
        <v>295</v>
      </c>
      <c r="G647" s="5" t="s">
        <v>296</v>
      </c>
      <c r="H647" s="5"/>
      <c r="I647" s="62">
        <v>-8400</v>
      </c>
      <c r="J647" s="62">
        <v>-5.9154929577464799</v>
      </c>
      <c r="K647" s="62">
        <v>1420</v>
      </c>
      <c r="L647" s="100" t="s">
        <v>1030</v>
      </c>
      <c r="M647" s="5" t="s">
        <v>452</v>
      </c>
      <c r="N647" s="34" t="s">
        <v>464</v>
      </c>
      <c r="O647" s="5" t="s">
        <v>1031</v>
      </c>
      <c r="P647" s="5" t="s">
        <v>597</v>
      </c>
      <c r="Q647" s="5" t="s">
        <v>1032</v>
      </c>
      <c r="R647" s="5" t="s">
        <v>1047</v>
      </c>
      <c r="S647" s="5" t="s">
        <v>1033</v>
      </c>
      <c r="T647" s="5" t="s">
        <v>445</v>
      </c>
      <c r="U647" s="5"/>
      <c r="V647" s="5"/>
      <c r="W647" s="5"/>
      <c r="X647" s="5"/>
      <c r="Y647" s="5"/>
      <c r="Z647" s="5"/>
      <c r="AA647" s="5"/>
    </row>
    <row r="648" spans="5:27" customFormat="1">
      <c r="E648" s="88"/>
      <c r="F648" s="36" t="s">
        <v>295</v>
      </c>
      <c r="G648" s="5" t="s">
        <v>296</v>
      </c>
      <c r="H648" s="5"/>
      <c r="I648" s="62">
        <v>-220200</v>
      </c>
      <c r="J648" s="62">
        <v>-158.41726618704999</v>
      </c>
      <c r="K648" s="62">
        <v>1390</v>
      </c>
      <c r="L648" s="100" t="s">
        <v>628</v>
      </c>
      <c r="M648" s="5" t="s">
        <v>452</v>
      </c>
      <c r="N648" s="34" t="s">
        <v>464</v>
      </c>
      <c r="O648" s="5" t="s">
        <v>1019</v>
      </c>
      <c r="P648" s="5" t="s">
        <v>597</v>
      </c>
      <c r="Q648" s="5" t="s">
        <v>1020</v>
      </c>
      <c r="R648" s="5" t="s">
        <v>1028</v>
      </c>
      <c r="S648" s="5" t="s">
        <v>1022</v>
      </c>
      <c r="T648" s="5" t="s">
        <v>445</v>
      </c>
      <c r="U648" s="5"/>
      <c r="V648" s="5"/>
      <c r="W648" s="5"/>
      <c r="X648" s="5"/>
      <c r="Y648" s="5"/>
      <c r="Z648" s="5"/>
      <c r="AA648" s="5"/>
    </row>
    <row r="649" spans="5:27" customFormat="1">
      <c r="E649" s="88"/>
      <c r="F649" s="36" t="s">
        <v>295</v>
      </c>
      <c r="G649" s="5" t="s">
        <v>296</v>
      </c>
      <c r="H649" s="5"/>
      <c r="I649" s="62">
        <v>-14000</v>
      </c>
      <c r="J649" s="62">
        <v>-9.8591549295774605</v>
      </c>
      <c r="K649" s="62">
        <v>1420</v>
      </c>
      <c r="L649" s="100" t="s">
        <v>1030</v>
      </c>
      <c r="M649" s="5" t="s">
        <v>452</v>
      </c>
      <c r="N649" s="34" t="s">
        <v>464</v>
      </c>
      <c r="O649" s="5" t="s">
        <v>1031</v>
      </c>
      <c r="P649" s="5" t="s">
        <v>597</v>
      </c>
      <c r="Q649" s="5" t="s">
        <v>1032</v>
      </c>
      <c r="R649" s="5" t="s">
        <v>1043</v>
      </c>
      <c r="S649" s="5" t="s">
        <v>1033</v>
      </c>
      <c r="T649" s="5" t="s">
        <v>445</v>
      </c>
      <c r="U649" s="5"/>
      <c r="V649" s="5"/>
      <c r="W649" s="5"/>
      <c r="X649" s="5"/>
      <c r="Y649" s="5"/>
      <c r="Z649" s="5"/>
      <c r="AA649" s="5"/>
    </row>
    <row r="650" spans="5:27" customFormat="1">
      <c r="E650" s="88"/>
      <c r="F650" s="36" t="s">
        <v>295</v>
      </c>
      <c r="G650" s="5" t="s">
        <v>296</v>
      </c>
      <c r="H650" s="5"/>
      <c r="I650" s="62">
        <v>-60900</v>
      </c>
      <c r="J650" s="62">
        <v>-40.6</v>
      </c>
      <c r="K650" s="62">
        <v>1500</v>
      </c>
      <c r="L650" s="100" t="s">
        <v>858</v>
      </c>
      <c r="M650" s="5" t="s">
        <v>452</v>
      </c>
      <c r="N650" s="34" t="s">
        <v>464</v>
      </c>
      <c r="O650" s="5" t="s">
        <v>880</v>
      </c>
      <c r="P650" s="5" t="s">
        <v>597</v>
      </c>
      <c r="Q650" s="5" t="s">
        <v>881</v>
      </c>
      <c r="R650" s="5" t="s">
        <v>883</v>
      </c>
      <c r="S650" s="5" t="s">
        <v>882</v>
      </c>
      <c r="T650" s="5" t="s">
        <v>445</v>
      </c>
      <c r="U650" s="5"/>
      <c r="V650" s="5"/>
      <c r="W650" s="5"/>
      <c r="X650" s="5"/>
      <c r="Y650" s="5"/>
      <c r="Z650" s="5"/>
      <c r="AA650" s="5"/>
    </row>
    <row r="651" spans="5:27" customFormat="1">
      <c r="E651" s="88"/>
      <c r="F651" s="36" t="s">
        <v>295</v>
      </c>
      <c r="G651" s="5" t="s">
        <v>296</v>
      </c>
      <c r="H651" s="5"/>
      <c r="I651" s="62">
        <v>-27000</v>
      </c>
      <c r="J651" s="62">
        <v>-19.014084507042298</v>
      </c>
      <c r="K651" s="62">
        <v>1420</v>
      </c>
      <c r="L651" s="100" t="s">
        <v>1030</v>
      </c>
      <c r="M651" s="5" t="s">
        <v>452</v>
      </c>
      <c r="N651" s="34" t="s">
        <v>464</v>
      </c>
      <c r="O651" s="5" t="s">
        <v>1031</v>
      </c>
      <c r="P651" s="5" t="s">
        <v>597</v>
      </c>
      <c r="Q651" s="5" t="s">
        <v>1032</v>
      </c>
      <c r="R651" s="5" t="s">
        <v>1042</v>
      </c>
      <c r="S651" s="5" t="s">
        <v>1033</v>
      </c>
      <c r="T651" s="5" t="s">
        <v>445</v>
      </c>
      <c r="U651" s="5"/>
      <c r="V651" s="5"/>
      <c r="W651" s="5"/>
      <c r="X651" s="5"/>
      <c r="Y651" s="5"/>
      <c r="Z651" s="5"/>
      <c r="AA651" s="5"/>
    </row>
    <row r="652" spans="5:27" customFormat="1">
      <c r="E652" s="88"/>
      <c r="F652" s="36" t="s">
        <v>295</v>
      </c>
      <c r="G652" s="5" t="s">
        <v>296</v>
      </c>
      <c r="H652" s="5"/>
      <c r="I652" s="62">
        <v>-33600</v>
      </c>
      <c r="J652" s="62">
        <v>-23.4965034965035</v>
      </c>
      <c r="K652" s="62">
        <v>1430</v>
      </c>
      <c r="L652" s="100" t="s">
        <v>751</v>
      </c>
      <c r="M652" s="5" t="s">
        <v>452</v>
      </c>
      <c r="N652" s="34" t="s">
        <v>464</v>
      </c>
      <c r="O652" s="5" t="s">
        <v>752</v>
      </c>
      <c r="P652" s="5" t="s">
        <v>597</v>
      </c>
      <c r="Q652" s="5" t="s">
        <v>753</v>
      </c>
      <c r="R652" s="5" t="s">
        <v>765</v>
      </c>
      <c r="S652" s="5" t="s">
        <v>755</v>
      </c>
      <c r="T652" s="5" t="s">
        <v>445</v>
      </c>
      <c r="U652" s="5"/>
      <c r="V652" s="5"/>
      <c r="W652" s="5"/>
      <c r="X652" s="5"/>
      <c r="Y652" s="5"/>
      <c r="Z652" s="5"/>
      <c r="AA652" s="5"/>
    </row>
    <row r="653" spans="5:27" customFormat="1">
      <c r="E653" s="88"/>
      <c r="F653" s="36" t="s">
        <v>295</v>
      </c>
      <c r="G653" s="5" t="s">
        <v>296</v>
      </c>
      <c r="H653" s="5"/>
      <c r="I653" s="62">
        <v>-5000</v>
      </c>
      <c r="J653" s="62">
        <v>-3.5460992907801399</v>
      </c>
      <c r="K653" s="62">
        <v>1410</v>
      </c>
      <c r="L653" s="100" t="s">
        <v>678</v>
      </c>
      <c r="M653" s="5" t="s">
        <v>452</v>
      </c>
      <c r="N653" s="34" t="s">
        <v>464</v>
      </c>
      <c r="O653" s="5" t="s">
        <v>683</v>
      </c>
      <c r="P653" s="5" t="s">
        <v>597</v>
      </c>
      <c r="Q653" s="5" t="s">
        <v>684</v>
      </c>
      <c r="R653" s="5" t="s">
        <v>711</v>
      </c>
      <c r="S653" s="5" t="s">
        <v>685</v>
      </c>
      <c r="T653" s="5" t="s">
        <v>445</v>
      </c>
      <c r="U653" s="5"/>
      <c r="V653" s="5"/>
      <c r="W653" s="5"/>
      <c r="X653" s="5"/>
      <c r="Y653" s="5"/>
      <c r="Z653" s="5"/>
      <c r="AA653" s="5"/>
    </row>
    <row r="654" spans="5:27" customFormat="1">
      <c r="E654" s="88"/>
      <c r="F654" s="36" t="s">
        <v>295</v>
      </c>
      <c r="G654" s="5" t="s">
        <v>296</v>
      </c>
      <c r="H654" s="5"/>
      <c r="I654" s="62">
        <v>-65000</v>
      </c>
      <c r="J654" s="62">
        <v>-46.428571428571402</v>
      </c>
      <c r="K654" s="62">
        <v>1400</v>
      </c>
      <c r="L654" s="100" t="s">
        <v>834</v>
      </c>
      <c r="M654" s="5" t="s">
        <v>452</v>
      </c>
      <c r="N654" s="34" t="s">
        <v>464</v>
      </c>
      <c r="O654" s="5" t="s">
        <v>835</v>
      </c>
      <c r="P654" s="5" t="s">
        <v>597</v>
      </c>
      <c r="Q654" s="5" t="s">
        <v>836</v>
      </c>
      <c r="R654" s="5" t="s">
        <v>841</v>
      </c>
      <c r="S654" s="5" t="s">
        <v>838</v>
      </c>
      <c r="T654" s="5" t="s">
        <v>445</v>
      </c>
      <c r="U654" s="5"/>
      <c r="V654" s="5"/>
      <c r="W654" s="5"/>
      <c r="X654" s="5"/>
      <c r="Y654" s="5"/>
      <c r="Z654" s="5"/>
      <c r="AA654" s="5"/>
    </row>
    <row r="655" spans="5:27" customFormat="1">
      <c r="E655" s="88"/>
      <c r="F655" s="36" t="s">
        <v>295</v>
      </c>
      <c r="G655" s="5" t="s">
        <v>296</v>
      </c>
      <c r="H655" s="5"/>
      <c r="I655" s="62">
        <v>-40000</v>
      </c>
      <c r="J655" s="62">
        <v>-28.169014084507001</v>
      </c>
      <c r="K655" s="62">
        <v>1420</v>
      </c>
      <c r="L655" s="100" t="s">
        <v>1030</v>
      </c>
      <c r="M655" s="5" t="s">
        <v>452</v>
      </c>
      <c r="N655" s="34" t="s">
        <v>464</v>
      </c>
      <c r="O655" s="5" t="s">
        <v>1031</v>
      </c>
      <c r="P655" s="5" t="s">
        <v>597</v>
      </c>
      <c r="Q655" s="5" t="s">
        <v>1032</v>
      </c>
      <c r="R655" s="5" t="s">
        <v>1055</v>
      </c>
      <c r="S655" s="5" t="s">
        <v>1033</v>
      </c>
      <c r="T655" s="5" t="s">
        <v>445</v>
      </c>
      <c r="U655" s="5"/>
      <c r="V655" s="5"/>
      <c r="W655" s="5"/>
      <c r="X655" s="5"/>
      <c r="Y655" s="5"/>
      <c r="Z655" s="5"/>
      <c r="AA655" s="5"/>
    </row>
    <row r="656" spans="5:27" customFormat="1">
      <c r="E656" s="88"/>
      <c r="F656" s="36" t="s">
        <v>295</v>
      </c>
      <c r="G656" s="5" t="s">
        <v>296</v>
      </c>
      <c r="H656" s="5"/>
      <c r="I656" s="62">
        <v>-40000</v>
      </c>
      <c r="J656" s="62">
        <v>-28.571428571428601</v>
      </c>
      <c r="K656" s="62">
        <v>1400</v>
      </c>
      <c r="L656" s="100" t="s">
        <v>834</v>
      </c>
      <c r="M656" s="5" t="s">
        <v>452</v>
      </c>
      <c r="N656" s="34" t="s">
        <v>464</v>
      </c>
      <c r="O656" s="5" t="s">
        <v>835</v>
      </c>
      <c r="P656" s="5" t="s">
        <v>597</v>
      </c>
      <c r="Q656" s="5" t="s">
        <v>836</v>
      </c>
      <c r="R656" s="5" t="s">
        <v>842</v>
      </c>
      <c r="S656" s="5" t="s">
        <v>838</v>
      </c>
      <c r="T656" s="5" t="s">
        <v>445</v>
      </c>
      <c r="U656" s="5"/>
      <c r="V656" s="5"/>
      <c r="W656" s="5"/>
      <c r="X656" s="5"/>
      <c r="Y656" s="5"/>
      <c r="Z656" s="5"/>
      <c r="AA656" s="5"/>
    </row>
    <row r="657" spans="5:27" customFormat="1">
      <c r="E657" s="88"/>
      <c r="F657" s="36" t="s">
        <v>295</v>
      </c>
      <c r="G657" s="5" t="s">
        <v>296</v>
      </c>
      <c r="H657" s="5"/>
      <c r="I657" s="62">
        <v>-50000</v>
      </c>
      <c r="J657" s="62">
        <v>-35.971223021582702</v>
      </c>
      <c r="K657" s="62">
        <v>1390</v>
      </c>
      <c r="L657" s="100" t="s">
        <v>628</v>
      </c>
      <c r="M657" s="5" t="s">
        <v>452</v>
      </c>
      <c r="N657" s="34" t="s">
        <v>464</v>
      </c>
      <c r="O657" s="5" t="s">
        <v>629</v>
      </c>
      <c r="P657" s="5" t="s">
        <v>597</v>
      </c>
      <c r="Q657" s="5" t="s">
        <v>630</v>
      </c>
      <c r="R657" s="5" t="s">
        <v>642</v>
      </c>
      <c r="S657" s="5" t="s">
        <v>632</v>
      </c>
      <c r="T657" s="5" t="s">
        <v>445</v>
      </c>
      <c r="U657" s="5"/>
      <c r="V657" s="5"/>
      <c r="W657" s="5"/>
      <c r="X657" s="5"/>
      <c r="Y657" s="5"/>
      <c r="Z657" s="5"/>
      <c r="AA657" s="5"/>
    </row>
    <row r="658" spans="5:27" customFormat="1">
      <c r="E658" s="88"/>
      <c r="F658" s="36" t="s">
        <v>295</v>
      </c>
      <c r="G658" s="5" t="s">
        <v>296</v>
      </c>
      <c r="H658" s="5"/>
      <c r="I658" s="62">
        <v>-100000</v>
      </c>
      <c r="J658" s="62">
        <v>-66.6666666666667</v>
      </c>
      <c r="K658" s="62">
        <v>1500</v>
      </c>
      <c r="L658" s="100" t="s">
        <v>858</v>
      </c>
      <c r="M658" s="5" t="s">
        <v>452</v>
      </c>
      <c r="N658" s="34" t="s">
        <v>464</v>
      </c>
      <c r="O658" s="5" t="s">
        <v>880</v>
      </c>
      <c r="P658" s="5" t="s">
        <v>597</v>
      </c>
      <c r="Q658" s="5" t="s">
        <v>881</v>
      </c>
      <c r="R658" s="5" t="s">
        <v>887</v>
      </c>
      <c r="S658" s="5" t="s">
        <v>882</v>
      </c>
      <c r="T658" s="5" t="s">
        <v>445</v>
      </c>
      <c r="U658" s="5"/>
      <c r="V658" s="5"/>
      <c r="W658" s="5"/>
      <c r="X658" s="5"/>
      <c r="Y658" s="5"/>
      <c r="Z658" s="5"/>
      <c r="AA658" s="5"/>
    </row>
    <row r="659" spans="5:27" customFormat="1">
      <c r="E659" s="88"/>
      <c r="F659" s="36" t="s">
        <v>295</v>
      </c>
      <c r="G659" s="5" t="s">
        <v>296</v>
      </c>
      <c r="H659" s="5"/>
      <c r="I659" s="62">
        <v>-19000</v>
      </c>
      <c r="J659" s="62">
        <v>-13.6690647482014</v>
      </c>
      <c r="K659" s="62">
        <v>1390</v>
      </c>
      <c r="L659" s="100" t="s">
        <v>628</v>
      </c>
      <c r="M659" s="5" t="s">
        <v>452</v>
      </c>
      <c r="N659" s="34" t="s">
        <v>464</v>
      </c>
      <c r="O659" s="5" t="s">
        <v>629</v>
      </c>
      <c r="P659" s="5" t="s">
        <v>597</v>
      </c>
      <c r="Q659" s="5" t="s">
        <v>630</v>
      </c>
      <c r="R659" s="5" t="s">
        <v>665</v>
      </c>
      <c r="S659" s="5" t="s">
        <v>632</v>
      </c>
      <c r="T659" s="5" t="s">
        <v>445</v>
      </c>
      <c r="U659" s="5"/>
      <c r="V659" s="5"/>
      <c r="W659" s="5"/>
      <c r="X659" s="5"/>
      <c r="Y659" s="5"/>
      <c r="Z659" s="5"/>
      <c r="AA659" s="5"/>
    </row>
    <row r="660" spans="5:27" customFormat="1">
      <c r="E660" s="88"/>
      <c r="F660" s="36" t="s">
        <v>295</v>
      </c>
      <c r="G660" s="5" t="s">
        <v>296</v>
      </c>
      <c r="H660" s="5"/>
      <c r="I660" s="62">
        <v>-64621</v>
      </c>
      <c r="J660" s="62">
        <v>-45.507746478873202</v>
      </c>
      <c r="K660" s="62">
        <v>1420</v>
      </c>
      <c r="L660" s="100" t="s">
        <v>1030</v>
      </c>
      <c r="M660" s="5" t="s">
        <v>452</v>
      </c>
      <c r="N660" s="34" t="s">
        <v>464</v>
      </c>
      <c r="O660" s="5" t="s">
        <v>1031</v>
      </c>
      <c r="P660" s="5" t="s">
        <v>597</v>
      </c>
      <c r="Q660" s="5" t="s">
        <v>1032</v>
      </c>
      <c r="R660" s="5" t="s">
        <v>1051</v>
      </c>
      <c r="S660" s="5" t="s">
        <v>1033</v>
      </c>
      <c r="T660" s="5" t="s">
        <v>445</v>
      </c>
      <c r="U660" s="5"/>
      <c r="V660" s="5"/>
      <c r="W660" s="5"/>
      <c r="X660" s="5"/>
      <c r="Y660" s="5"/>
      <c r="Z660" s="5"/>
      <c r="AA660" s="5"/>
    </row>
    <row r="661" spans="5:27" customFormat="1">
      <c r="E661" s="88"/>
      <c r="F661" s="36" t="s">
        <v>295</v>
      </c>
      <c r="G661" s="5" t="s">
        <v>296</v>
      </c>
      <c r="H661" s="5"/>
      <c r="I661" s="62">
        <v>-31400</v>
      </c>
      <c r="J661" s="62">
        <v>-22.589928057554001</v>
      </c>
      <c r="K661" s="62">
        <v>1390</v>
      </c>
      <c r="L661" s="100" t="s">
        <v>628</v>
      </c>
      <c r="M661" s="5" t="s">
        <v>452</v>
      </c>
      <c r="N661" s="34" t="s">
        <v>464</v>
      </c>
      <c r="O661" s="5" t="s">
        <v>629</v>
      </c>
      <c r="P661" s="5" t="s">
        <v>597</v>
      </c>
      <c r="Q661" s="5" t="s">
        <v>630</v>
      </c>
      <c r="R661" s="5" t="s">
        <v>636</v>
      </c>
      <c r="S661" s="5" t="s">
        <v>632</v>
      </c>
      <c r="T661" s="5" t="s">
        <v>445</v>
      </c>
      <c r="U661" s="5"/>
      <c r="V661" s="5"/>
      <c r="W661" s="5"/>
      <c r="X661" s="5"/>
      <c r="Y661" s="5"/>
      <c r="Z661" s="5"/>
      <c r="AA661" s="5"/>
    </row>
    <row r="662" spans="5:27" customFormat="1">
      <c r="E662" s="88"/>
      <c r="F662" s="36" t="s">
        <v>295</v>
      </c>
      <c r="G662" s="5" t="s">
        <v>296</v>
      </c>
      <c r="H662" s="5"/>
      <c r="I662" s="62">
        <v>-2500</v>
      </c>
      <c r="J662" s="62">
        <v>-1.7985611510791399</v>
      </c>
      <c r="K662" s="62">
        <v>1390</v>
      </c>
      <c r="L662" s="100" t="s">
        <v>628</v>
      </c>
      <c r="M662" s="5" t="s">
        <v>452</v>
      </c>
      <c r="N662" s="34" t="s">
        <v>464</v>
      </c>
      <c r="O662" s="5" t="s">
        <v>629</v>
      </c>
      <c r="P662" s="5" t="s">
        <v>597</v>
      </c>
      <c r="Q662" s="5" t="s">
        <v>630</v>
      </c>
      <c r="R662" s="5" t="s">
        <v>636</v>
      </c>
      <c r="S662" s="5" t="s">
        <v>632</v>
      </c>
      <c r="T662" s="5" t="s">
        <v>445</v>
      </c>
      <c r="U662" s="5"/>
      <c r="V662" s="5"/>
      <c r="W662" s="5"/>
      <c r="X662" s="5"/>
      <c r="Y662" s="5"/>
      <c r="Z662" s="5"/>
      <c r="AA662" s="5"/>
    </row>
    <row r="663" spans="5:27" customFormat="1">
      <c r="E663" s="88"/>
      <c r="F663" s="36" t="s">
        <v>295</v>
      </c>
      <c r="G663" s="5" t="s">
        <v>296</v>
      </c>
      <c r="H663" s="5"/>
      <c r="I663" s="62">
        <v>-4000</v>
      </c>
      <c r="J663" s="62">
        <v>-2.8776978417266199</v>
      </c>
      <c r="K663" s="62">
        <v>1390</v>
      </c>
      <c r="L663" s="100" t="s">
        <v>628</v>
      </c>
      <c r="M663" s="5" t="s">
        <v>452</v>
      </c>
      <c r="N663" s="34" t="s">
        <v>464</v>
      </c>
      <c r="O663" s="5" t="s">
        <v>629</v>
      </c>
      <c r="P663" s="5" t="s">
        <v>597</v>
      </c>
      <c r="Q663" s="5" t="s">
        <v>630</v>
      </c>
      <c r="R663" s="5" t="s">
        <v>636</v>
      </c>
      <c r="S663" s="5" t="s">
        <v>632</v>
      </c>
      <c r="T663" s="5" t="s">
        <v>445</v>
      </c>
      <c r="U663" s="5"/>
      <c r="V663" s="5"/>
      <c r="W663" s="5"/>
      <c r="X663" s="5"/>
      <c r="Y663" s="5"/>
      <c r="Z663" s="5"/>
      <c r="AA663" s="5"/>
    </row>
    <row r="664" spans="5:27" customFormat="1">
      <c r="E664" s="88"/>
      <c r="F664" s="36" t="s">
        <v>295</v>
      </c>
      <c r="G664" s="5" t="s">
        <v>296</v>
      </c>
      <c r="H664" s="5"/>
      <c r="I664" s="62">
        <v>-102500</v>
      </c>
      <c r="J664" s="62">
        <v>-73.741007194244602</v>
      </c>
      <c r="K664" s="62">
        <v>1390</v>
      </c>
      <c r="L664" s="100" t="s">
        <v>628</v>
      </c>
      <c r="M664" s="5" t="s">
        <v>452</v>
      </c>
      <c r="N664" s="34" t="s">
        <v>464</v>
      </c>
      <c r="O664" s="5" t="s">
        <v>629</v>
      </c>
      <c r="P664" s="5" t="s">
        <v>597</v>
      </c>
      <c r="Q664" s="5" t="s">
        <v>630</v>
      </c>
      <c r="R664" s="5" t="s">
        <v>636</v>
      </c>
      <c r="S664" s="5" t="s">
        <v>632</v>
      </c>
      <c r="T664" s="5" t="s">
        <v>445</v>
      </c>
      <c r="U664" s="5"/>
      <c r="V664" s="5"/>
      <c r="W664" s="5"/>
      <c r="X664" s="5"/>
      <c r="Y664" s="5"/>
      <c r="Z664" s="5"/>
      <c r="AA664" s="5"/>
    </row>
    <row r="665" spans="5:27" customFormat="1">
      <c r="E665" s="88"/>
      <c r="F665" s="36" t="s">
        <v>295</v>
      </c>
      <c r="G665" s="5" t="s">
        <v>296</v>
      </c>
      <c r="H665" s="5"/>
      <c r="I665" s="62">
        <v>-100450</v>
      </c>
      <c r="J665" s="62">
        <v>-72.266187050359704</v>
      </c>
      <c r="K665" s="62">
        <v>1390</v>
      </c>
      <c r="L665" s="100" t="s">
        <v>628</v>
      </c>
      <c r="M665" s="5" t="s">
        <v>452</v>
      </c>
      <c r="N665" s="34" t="s">
        <v>464</v>
      </c>
      <c r="O665" s="5" t="s">
        <v>629</v>
      </c>
      <c r="P665" s="5" t="s">
        <v>597</v>
      </c>
      <c r="Q665" s="5" t="s">
        <v>630</v>
      </c>
      <c r="R665" s="5" t="s">
        <v>636</v>
      </c>
      <c r="S665" s="5" t="s">
        <v>632</v>
      </c>
      <c r="T665" s="5" t="s">
        <v>445</v>
      </c>
      <c r="U665" s="5"/>
      <c r="V665" s="5"/>
      <c r="W665" s="5"/>
      <c r="X665" s="5"/>
      <c r="Y665" s="5"/>
      <c r="Z665" s="5"/>
      <c r="AA665" s="5"/>
    </row>
    <row r="666" spans="5:27" customFormat="1">
      <c r="E666" s="88"/>
      <c r="F666" s="36" t="s">
        <v>295</v>
      </c>
      <c r="G666" s="5" t="s">
        <v>296</v>
      </c>
      <c r="H666" s="5"/>
      <c r="I666" s="62">
        <v>-1300</v>
      </c>
      <c r="J666" s="62">
        <v>-0.93525179856115104</v>
      </c>
      <c r="K666" s="62">
        <v>1390</v>
      </c>
      <c r="L666" s="100" t="s">
        <v>628</v>
      </c>
      <c r="M666" s="5" t="s">
        <v>452</v>
      </c>
      <c r="N666" s="34" t="s">
        <v>464</v>
      </c>
      <c r="O666" s="5" t="s">
        <v>629</v>
      </c>
      <c r="P666" s="5" t="s">
        <v>597</v>
      </c>
      <c r="Q666" s="5" t="s">
        <v>630</v>
      </c>
      <c r="R666" s="5" t="s">
        <v>631</v>
      </c>
      <c r="S666" s="5" t="s">
        <v>632</v>
      </c>
      <c r="T666" s="5" t="s">
        <v>445</v>
      </c>
      <c r="U666" s="5"/>
      <c r="V666" s="5"/>
      <c r="W666" s="5"/>
      <c r="X666" s="5"/>
      <c r="Y666" s="5"/>
      <c r="Z666" s="5"/>
      <c r="AA666" s="5"/>
    </row>
    <row r="667" spans="5:27" customFormat="1">
      <c r="E667" s="88"/>
      <c r="F667" s="36" t="s">
        <v>295</v>
      </c>
      <c r="G667" s="5" t="s">
        <v>296</v>
      </c>
      <c r="H667" s="5"/>
      <c r="I667" s="62">
        <v>-29800</v>
      </c>
      <c r="J667" s="62">
        <v>-19.866666666666699</v>
      </c>
      <c r="K667" s="62">
        <v>1500</v>
      </c>
      <c r="L667" s="100" t="s">
        <v>858</v>
      </c>
      <c r="M667" s="5" t="s">
        <v>452</v>
      </c>
      <c r="N667" s="34" t="s">
        <v>464</v>
      </c>
      <c r="O667" s="5" t="s">
        <v>880</v>
      </c>
      <c r="P667" s="5" t="s">
        <v>597</v>
      </c>
      <c r="Q667" s="5" t="s">
        <v>881</v>
      </c>
      <c r="R667" s="5" t="s">
        <v>892</v>
      </c>
      <c r="S667" s="5" t="s">
        <v>882</v>
      </c>
      <c r="T667" s="5" t="s">
        <v>445</v>
      </c>
      <c r="U667" s="5"/>
      <c r="V667" s="5"/>
      <c r="W667" s="5"/>
      <c r="X667" s="5"/>
      <c r="Y667" s="5"/>
      <c r="Z667" s="5"/>
      <c r="AA667" s="5"/>
    </row>
    <row r="668" spans="5:27" customFormat="1">
      <c r="E668" s="88"/>
      <c r="F668" s="36" t="s">
        <v>295</v>
      </c>
      <c r="G668" s="5" t="s">
        <v>296</v>
      </c>
      <c r="H668" s="5"/>
      <c r="I668" s="62">
        <v>-19000</v>
      </c>
      <c r="J668" s="62">
        <v>-12.6666666666667</v>
      </c>
      <c r="K668" s="62">
        <v>1500</v>
      </c>
      <c r="L668" s="100" t="s">
        <v>858</v>
      </c>
      <c r="M668" s="5" t="s">
        <v>452</v>
      </c>
      <c r="N668" s="34" t="s">
        <v>464</v>
      </c>
      <c r="O668" s="5" t="s">
        <v>880</v>
      </c>
      <c r="P668" s="5" t="s">
        <v>597</v>
      </c>
      <c r="Q668" s="5" t="s">
        <v>881</v>
      </c>
      <c r="R668" s="5" t="s">
        <v>884</v>
      </c>
      <c r="S668" s="5" t="s">
        <v>882</v>
      </c>
      <c r="T668" s="5" t="s">
        <v>445</v>
      </c>
      <c r="U668" s="5"/>
      <c r="V668" s="5"/>
      <c r="W668" s="5"/>
      <c r="X668" s="5"/>
      <c r="Y668" s="5"/>
      <c r="Z668" s="5"/>
      <c r="AA668" s="5"/>
    </row>
    <row r="669" spans="5:27" customFormat="1">
      <c r="E669" s="88"/>
      <c r="F669" s="36" t="s">
        <v>295</v>
      </c>
      <c r="G669" s="5" t="s">
        <v>296</v>
      </c>
      <c r="H669" s="5"/>
      <c r="I669" s="62">
        <v>-55000</v>
      </c>
      <c r="J669" s="62">
        <v>-39.568345323740999</v>
      </c>
      <c r="K669" s="62">
        <v>1390</v>
      </c>
      <c r="L669" s="100" t="s">
        <v>628</v>
      </c>
      <c r="M669" s="5" t="s">
        <v>452</v>
      </c>
      <c r="N669" s="34" t="s">
        <v>464</v>
      </c>
      <c r="O669" s="5" t="s">
        <v>1019</v>
      </c>
      <c r="P669" s="5" t="s">
        <v>597</v>
      </c>
      <c r="Q669" s="5" t="s">
        <v>1020</v>
      </c>
      <c r="R669" s="5" t="s">
        <v>1024</v>
      </c>
      <c r="S669" s="5" t="s">
        <v>1022</v>
      </c>
      <c r="T669" s="5" t="s">
        <v>445</v>
      </c>
      <c r="U669" s="5"/>
      <c r="V669" s="5"/>
      <c r="W669" s="5"/>
      <c r="X669" s="5"/>
      <c r="Y669" s="5"/>
      <c r="Z669" s="5"/>
      <c r="AA669" s="5"/>
    </row>
    <row r="670" spans="5:27" customFormat="1">
      <c r="E670" s="88"/>
      <c r="F670" s="36" t="s">
        <v>295</v>
      </c>
      <c r="G670" s="5" t="s">
        <v>296</v>
      </c>
      <c r="H670" s="5"/>
      <c r="I670" s="62">
        <v>-65000</v>
      </c>
      <c r="J670" s="62">
        <v>-46.0992907801418</v>
      </c>
      <c r="K670" s="62">
        <v>1410</v>
      </c>
      <c r="L670" s="100" t="s">
        <v>678</v>
      </c>
      <c r="M670" s="5" t="s">
        <v>452</v>
      </c>
      <c r="N670" s="34" t="s">
        <v>464</v>
      </c>
      <c r="O670" s="5" t="s">
        <v>683</v>
      </c>
      <c r="P670" s="5" t="s">
        <v>597</v>
      </c>
      <c r="Q670" s="5" t="s">
        <v>684</v>
      </c>
      <c r="R670" s="5" t="s">
        <v>703</v>
      </c>
      <c r="S670" s="5" t="s">
        <v>685</v>
      </c>
      <c r="T670" s="5" t="s">
        <v>445</v>
      </c>
      <c r="U670" s="5"/>
      <c r="V670" s="5"/>
      <c r="W670" s="5"/>
      <c r="X670" s="5"/>
      <c r="Y670" s="5"/>
      <c r="Z670" s="5"/>
      <c r="AA670" s="5"/>
    </row>
    <row r="671" spans="5:27" customFormat="1">
      <c r="E671" s="88"/>
      <c r="F671" s="36" t="s">
        <v>295</v>
      </c>
      <c r="G671" s="5" t="s">
        <v>296</v>
      </c>
      <c r="H671" s="5"/>
      <c r="I671" s="62">
        <v>-82000</v>
      </c>
      <c r="J671" s="62">
        <v>-57.746478873239397</v>
      </c>
      <c r="K671" s="62">
        <v>1420</v>
      </c>
      <c r="L671" s="100" t="s">
        <v>1030</v>
      </c>
      <c r="M671" s="5" t="s">
        <v>452</v>
      </c>
      <c r="N671" s="34" t="s">
        <v>464</v>
      </c>
      <c r="O671" s="5" t="s">
        <v>1031</v>
      </c>
      <c r="P671" s="5" t="s">
        <v>597</v>
      </c>
      <c r="Q671" s="5" t="s">
        <v>1032</v>
      </c>
      <c r="R671" s="5" t="s">
        <v>703</v>
      </c>
      <c r="S671" s="5" t="s">
        <v>1033</v>
      </c>
      <c r="T671" s="5" t="s">
        <v>445</v>
      </c>
      <c r="U671" s="5"/>
      <c r="V671" s="5"/>
      <c r="W671" s="5"/>
      <c r="X671" s="5"/>
      <c r="Y671" s="5"/>
      <c r="Z671" s="5"/>
      <c r="AA671" s="5"/>
    </row>
    <row r="672" spans="5:27" customFormat="1">
      <c r="E672" s="88"/>
      <c r="F672" s="36" t="s">
        <v>295</v>
      </c>
      <c r="G672" s="5" t="s">
        <v>296</v>
      </c>
      <c r="H672" s="5"/>
      <c r="I672" s="62">
        <v>-100000</v>
      </c>
      <c r="J672" s="62">
        <v>-70.921985815602795</v>
      </c>
      <c r="K672" s="62">
        <v>1410</v>
      </c>
      <c r="L672" s="100" t="s">
        <v>678</v>
      </c>
      <c r="M672" s="5" t="s">
        <v>452</v>
      </c>
      <c r="N672" s="34" t="s">
        <v>464</v>
      </c>
      <c r="O672" s="5" t="s">
        <v>683</v>
      </c>
      <c r="P672" s="5" t="s">
        <v>597</v>
      </c>
      <c r="Q672" s="5" t="s">
        <v>684</v>
      </c>
      <c r="R672" s="5" t="s">
        <v>695</v>
      </c>
      <c r="S672" s="5" t="s">
        <v>685</v>
      </c>
      <c r="T672" s="5" t="s">
        <v>445</v>
      </c>
      <c r="U672" s="5"/>
      <c r="V672" s="5"/>
      <c r="W672" s="5"/>
      <c r="X672" s="5"/>
      <c r="Y672" s="5"/>
      <c r="Z672" s="5"/>
      <c r="AA672" s="5"/>
    </row>
    <row r="673" spans="5:27" customFormat="1">
      <c r="E673" s="88"/>
      <c r="F673" s="36" t="s">
        <v>295</v>
      </c>
      <c r="G673" s="5" t="s">
        <v>296</v>
      </c>
      <c r="H673" s="5"/>
      <c r="I673" s="62">
        <v>-522400</v>
      </c>
      <c r="J673" s="62">
        <v>-370.49645390070901</v>
      </c>
      <c r="K673" s="62">
        <v>1410</v>
      </c>
      <c r="L673" s="100" t="s">
        <v>678</v>
      </c>
      <c r="M673" s="5" t="s">
        <v>452</v>
      </c>
      <c r="N673" s="34" t="s">
        <v>464</v>
      </c>
      <c r="O673" s="5" t="s">
        <v>683</v>
      </c>
      <c r="P673" s="5" t="s">
        <v>597</v>
      </c>
      <c r="Q673" s="5" t="s">
        <v>684</v>
      </c>
      <c r="R673" s="5" t="s">
        <v>691</v>
      </c>
      <c r="S673" s="5" t="s">
        <v>685</v>
      </c>
      <c r="T673" s="5" t="s">
        <v>445</v>
      </c>
      <c r="U673" s="5"/>
      <c r="V673" s="5"/>
      <c r="W673" s="5"/>
      <c r="X673" s="5"/>
      <c r="Y673" s="5"/>
      <c r="Z673" s="5"/>
      <c r="AA673" s="5"/>
    </row>
    <row r="674" spans="5:27" customFormat="1">
      <c r="E674" s="88"/>
      <c r="F674" s="36" t="s">
        <v>295</v>
      </c>
      <c r="G674" s="5" t="s">
        <v>296</v>
      </c>
      <c r="H674" s="5"/>
      <c r="I674" s="62">
        <v>-238680</v>
      </c>
      <c r="J674" s="62">
        <v>-168.08450704225399</v>
      </c>
      <c r="K674" s="62">
        <v>1420</v>
      </c>
      <c r="L674" s="100" t="s">
        <v>1030</v>
      </c>
      <c r="M674" s="5" t="s">
        <v>452</v>
      </c>
      <c r="N674" s="34" t="s">
        <v>464</v>
      </c>
      <c r="O674" s="5" t="s">
        <v>1031</v>
      </c>
      <c r="P674" s="5" t="s">
        <v>597</v>
      </c>
      <c r="Q674" s="5" t="s">
        <v>1032</v>
      </c>
      <c r="R674" s="5" t="s">
        <v>1064</v>
      </c>
      <c r="S674" s="5" t="s">
        <v>1033</v>
      </c>
      <c r="T674" s="5" t="s">
        <v>445</v>
      </c>
      <c r="U674" s="5"/>
      <c r="V674" s="5"/>
      <c r="W674" s="5"/>
      <c r="X674" s="5"/>
      <c r="Y674" s="5"/>
      <c r="Z674" s="5"/>
      <c r="AA674" s="5"/>
    </row>
    <row r="675" spans="5:27" customFormat="1">
      <c r="E675" s="88"/>
      <c r="F675" s="36" t="s">
        <v>295</v>
      </c>
      <c r="G675" s="5" t="s">
        <v>296</v>
      </c>
      <c r="H675" s="5"/>
      <c r="I675" s="62">
        <v>-3207</v>
      </c>
      <c r="J675" s="62">
        <v>-2.2744680851063799</v>
      </c>
      <c r="K675" s="62">
        <v>1410</v>
      </c>
      <c r="L675" s="100" t="s">
        <v>678</v>
      </c>
      <c r="M675" s="5" t="s">
        <v>452</v>
      </c>
      <c r="N675" s="34" t="s">
        <v>464</v>
      </c>
      <c r="O675" s="5" t="s">
        <v>683</v>
      </c>
      <c r="P675" s="5" t="s">
        <v>597</v>
      </c>
      <c r="Q675" s="5" t="s">
        <v>684</v>
      </c>
      <c r="R675" s="5" t="s">
        <v>698</v>
      </c>
      <c r="S675" s="5" t="s">
        <v>685</v>
      </c>
      <c r="T675" s="5" t="s">
        <v>445</v>
      </c>
      <c r="U675" s="5"/>
      <c r="V675" s="5"/>
      <c r="W675" s="5"/>
      <c r="X675" s="5"/>
      <c r="Y675" s="5"/>
      <c r="Z675" s="5"/>
      <c r="AA675" s="5"/>
    </row>
    <row r="676" spans="5:27" customFormat="1">
      <c r="E676" s="88"/>
      <c r="F676" s="36" t="s">
        <v>295</v>
      </c>
      <c r="G676" s="5" t="s">
        <v>296</v>
      </c>
      <c r="H676" s="5"/>
      <c r="I676" s="62">
        <v>-5840</v>
      </c>
      <c r="J676" s="62">
        <v>-4.1418439716312099</v>
      </c>
      <c r="K676" s="62">
        <v>1410</v>
      </c>
      <c r="L676" s="100" t="s">
        <v>678</v>
      </c>
      <c r="M676" s="5" t="s">
        <v>452</v>
      </c>
      <c r="N676" s="34" t="s">
        <v>464</v>
      </c>
      <c r="O676" s="5" t="s">
        <v>683</v>
      </c>
      <c r="P676" s="5" t="s">
        <v>597</v>
      </c>
      <c r="Q676" s="5" t="s">
        <v>684</v>
      </c>
      <c r="R676" s="5" t="s">
        <v>698</v>
      </c>
      <c r="S676" s="5" t="s">
        <v>685</v>
      </c>
      <c r="T676" s="5" t="s">
        <v>445</v>
      </c>
      <c r="U676" s="5"/>
      <c r="V676" s="5"/>
      <c r="W676" s="5"/>
      <c r="X676" s="5"/>
      <c r="Y676" s="5"/>
      <c r="Z676" s="5"/>
      <c r="AA676" s="5"/>
    </row>
    <row r="677" spans="5:27" customFormat="1">
      <c r="E677" s="88"/>
      <c r="F677" s="36" t="s">
        <v>295</v>
      </c>
      <c r="G677" s="5" t="s">
        <v>296</v>
      </c>
      <c r="H677" s="5"/>
      <c r="I677" s="62">
        <v>-66020</v>
      </c>
      <c r="J677" s="62">
        <v>-46.822695035461003</v>
      </c>
      <c r="K677" s="62">
        <v>1410</v>
      </c>
      <c r="L677" s="100" t="s">
        <v>678</v>
      </c>
      <c r="M677" s="5" t="s">
        <v>452</v>
      </c>
      <c r="N677" s="34" t="s">
        <v>464</v>
      </c>
      <c r="O677" s="5" t="s">
        <v>683</v>
      </c>
      <c r="P677" s="5" t="s">
        <v>597</v>
      </c>
      <c r="Q677" s="5" t="s">
        <v>684</v>
      </c>
      <c r="R677" s="5" t="s">
        <v>698</v>
      </c>
      <c r="S677" s="5" t="s">
        <v>685</v>
      </c>
      <c r="T677" s="5" t="s">
        <v>445</v>
      </c>
      <c r="U677" s="5"/>
      <c r="V677" s="5"/>
      <c r="W677" s="5"/>
      <c r="X677" s="5"/>
      <c r="Y677" s="5"/>
      <c r="Z677" s="5"/>
      <c r="AA677" s="5"/>
    </row>
    <row r="678" spans="5:27" customFormat="1">
      <c r="E678" s="88"/>
      <c r="F678" s="36" t="s">
        <v>295</v>
      </c>
      <c r="G678" s="5" t="s">
        <v>296</v>
      </c>
      <c r="H678" s="5"/>
      <c r="I678" s="62">
        <v>-35000</v>
      </c>
      <c r="J678" s="62">
        <v>-24.822695035460999</v>
      </c>
      <c r="K678" s="62">
        <v>1410</v>
      </c>
      <c r="L678" s="100" t="s">
        <v>678</v>
      </c>
      <c r="M678" s="5" t="s">
        <v>452</v>
      </c>
      <c r="N678" s="34" t="s">
        <v>464</v>
      </c>
      <c r="O678" s="5" t="s">
        <v>683</v>
      </c>
      <c r="P678" s="5" t="s">
        <v>597</v>
      </c>
      <c r="Q678" s="5" t="s">
        <v>684</v>
      </c>
      <c r="R678" s="5" t="s">
        <v>689</v>
      </c>
      <c r="S678" s="5" t="s">
        <v>685</v>
      </c>
      <c r="T678" s="5" t="s">
        <v>445</v>
      </c>
      <c r="U678" s="5"/>
      <c r="V678" s="5"/>
      <c r="W678" s="5"/>
      <c r="X678" s="5"/>
      <c r="Y678" s="5"/>
      <c r="Z678" s="5"/>
      <c r="AA678" s="5"/>
    </row>
    <row r="679" spans="5:27" customFormat="1">
      <c r="E679" s="88"/>
      <c r="F679" s="36" t="s">
        <v>295</v>
      </c>
      <c r="G679" s="5" t="s">
        <v>296</v>
      </c>
      <c r="H679" s="5"/>
      <c r="I679" s="62">
        <v>-78000</v>
      </c>
      <c r="J679" s="62">
        <v>-54.545454545454497</v>
      </c>
      <c r="K679" s="62">
        <v>1430</v>
      </c>
      <c r="L679" s="100" t="s">
        <v>751</v>
      </c>
      <c r="M679" s="5" t="s">
        <v>452</v>
      </c>
      <c r="N679" s="34" t="s">
        <v>464</v>
      </c>
      <c r="O679" s="5" t="s">
        <v>752</v>
      </c>
      <c r="P679" s="5" t="s">
        <v>597</v>
      </c>
      <c r="Q679" s="5" t="s">
        <v>753</v>
      </c>
      <c r="R679" s="5" t="s">
        <v>689</v>
      </c>
      <c r="S679" s="5" t="s">
        <v>755</v>
      </c>
      <c r="T679" s="5" t="s">
        <v>445</v>
      </c>
      <c r="U679" s="5"/>
      <c r="V679" s="5"/>
      <c r="W679" s="5"/>
      <c r="X679" s="5"/>
      <c r="Y679" s="5"/>
      <c r="Z679" s="5"/>
      <c r="AA679" s="5"/>
    </row>
    <row r="680" spans="5:27" customFormat="1">
      <c r="E680" s="88"/>
      <c r="F680" s="36" t="s">
        <v>295</v>
      </c>
      <c r="G680" s="5" t="s">
        <v>296</v>
      </c>
      <c r="H680" s="5"/>
      <c r="I680" s="62">
        <v>-61500</v>
      </c>
      <c r="J680" s="62">
        <v>-43.006993006993</v>
      </c>
      <c r="K680" s="62">
        <v>1430</v>
      </c>
      <c r="L680" s="100" t="s">
        <v>751</v>
      </c>
      <c r="M680" s="5" t="s">
        <v>452</v>
      </c>
      <c r="N680" s="34" t="s">
        <v>464</v>
      </c>
      <c r="O680" s="5" t="s">
        <v>752</v>
      </c>
      <c r="P680" s="5" t="s">
        <v>597</v>
      </c>
      <c r="Q680" s="5" t="s">
        <v>753</v>
      </c>
      <c r="R680" s="5" t="s">
        <v>769</v>
      </c>
      <c r="S680" s="5" t="s">
        <v>755</v>
      </c>
      <c r="T680" s="5" t="s">
        <v>445</v>
      </c>
      <c r="U680" s="5"/>
      <c r="V680" s="5"/>
      <c r="W680" s="5"/>
      <c r="X680" s="5"/>
      <c r="Y680" s="5"/>
      <c r="Z680" s="5"/>
      <c r="AA680" s="5"/>
    </row>
    <row r="681" spans="5:27" customFormat="1">
      <c r="E681" s="88"/>
      <c r="F681" s="36" t="s">
        <v>295</v>
      </c>
      <c r="G681" s="5" t="s">
        <v>296</v>
      </c>
      <c r="H681" s="5"/>
      <c r="I681" s="62">
        <v>-15000</v>
      </c>
      <c r="J681" s="62">
        <v>-10.489510489510501</v>
      </c>
      <c r="K681" s="62">
        <v>1430</v>
      </c>
      <c r="L681" s="100" t="s">
        <v>751</v>
      </c>
      <c r="M681" s="5" t="s">
        <v>452</v>
      </c>
      <c r="N681" s="34" t="s">
        <v>464</v>
      </c>
      <c r="O681" s="5" t="s">
        <v>752</v>
      </c>
      <c r="P681" s="5" t="s">
        <v>597</v>
      </c>
      <c r="Q681" s="5" t="s">
        <v>753</v>
      </c>
      <c r="R681" s="5" t="s">
        <v>769</v>
      </c>
      <c r="S681" s="5" t="s">
        <v>755</v>
      </c>
      <c r="T681" s="5" t="s">
        <v>445</v>
      </c>
      <c r="U681" s="5"/>
      <c r="V681" s="5"/>
      <c r="W681" s="5"/>
      <c r="X681" s="5"/>
      <c r="Y681" s="5"/>
      <c r="Z681" s="5"/>
      <c r="AA681" s="5"/>
    </row>
    <row r="682" spans="5:27" customFormat="1">
      <c r="E682" s="88"/>
      <c r="F682" s="36" t="s">
        <v>295</v>
      </c>
      <c r="G682" s="5" t="s">
        <v>296</v>
      </c>
      <c r="H682" s="5"/>
      <c r="I682" s="62">
        <v>-16000</v>
      </c>
      <c r="J682" s="62">
        <v>-11.2676056338028</v>
      </c>
      <c r="K682" s="62">
        <v>1420</v>
      </c>
      <c r="L682" s="100" t="s">
        <v>1030</v>
      </c>
      <c r="M682" s="5" t="s">
        <v>452</v>
      </c>
      <c r="N682" s="34" t="s">
        <v>464</v>
      </c>
      <c r="O682" s="5" t="s">
        <v>1031</v>
      </c>
      <c r="P682" s="5" t="s">
        <v>597</v>
      </c>
      <c r="Q682" s="5" t="s">
        <v>1032</v>
      </c>
      <c r="R682" s="5" t="s">
        <v>769</v>
      </c>
      <c r="S682" s="5" t="s">
        <v>1033</v>
      </c>
      <c r="T682" s="5" t="s">
        <v>445</v>
      </c>
      <c r="U682" s="5"/>
      <c r="V682" s="5"/>
      <c r="W682" s="5"/>
      <c r="X682" s="5"/>
      <c r="Y682" s="5"/>
      <c r="Z682" s="5"/>
      <c r="AA682" s="5"/>
    </row>
    <row r="683" spans="5:27" customFormat="1">
      <c r="E683" s="88"/>
      <c r="F683" s="36" t="s">
        <v>295</v>
      </c>
      <c r="G683" s="5" t="s">
        <v>296</v>
      </c>
      <c r="H683" s="5"/>
      <c r="I683" s="62">
        <v>-108500</v>
      </c>
      <c r="J683" s="62">
        <v>-76.408450704225402</v>
      </c>
      <c r="K683" s="62">
        <v>1420</v>
      </c>
      <c r="L683" s="100" t="s">
        <v>1030</v>
      </c>
      <c r="M683" s="5" t="s">
        <v>452</v>
      </c>
      <c r="N683" s="34" t="s">
        <v>464</v>
      </c>
      <c r="O683" s="5" t="s">
        <v>1031</v>
      </c>
      <c r="P683" s="5" t="s">
        <v>597</v>
      </c>
      <c r="Q683" s="5" t="s">
        <v>1032</v>
      </c>
      <c r="R683" s="5" t="s">
        <v>1050</v>
      </c>
      <c r="S683" s="5" t="s">
        <v>1033</v>
      </c>
      <c r="T683" s="5" t="s">
        <v>445</v>
      </c>
      <c r="U683" s="5"/>
      <c r="V683" s="5"/>
      <c r="W683" s="5"/>
      <c r="X683" s="5"/>
      <c r="Y683" s="5"/>
      <c r="Z683" s="5"/>
      <c r="AA683" s="5"/>
    </row>
    <row r="684" spans="5:27" customFormat="1">
      <c r="E684" s="88"/>
      <c r="F684" s="36" t="s">
        <v>295</v>
      </c>
      <c r="G684" s="5" t="s">
        <v>296</v>
      </c>
      <c r="H684" s="5"/>
      <c r="I684" s="62">
        <v>-199000</v>
      </c>
      <c r="J684" s="62">
        <v>-141.13475177305</v>
      </c>
      <c r="K684" s="62">
        <v>1410</v>
      </c>
      <c r="L684" s="100" t="s">
        <v>678</v>
      </c>
      <c r="M684" s="5" t="s">
        <v>452</v>
      </c>
      <c r="N684" s="34" t="s">
        <v>464</v>
      </c>
      <c r="O684" s="5" t="s">
        <v>683</v>
      </c>
      <c r="P684" s="5" t="s">
        <v>597</v>
      </c>
      <c r="Q684" s="5" t="s">
        <v>684</v>
      </c>
      <c r="R684" s="5" t="s">
        <v>688</v>
      </c>
      <c r="S684" s="5" t="s">
        <v>685</v>
      </c>
      <c r="T684" s="5" t="s">
        <v>445</v>
      </c>
      <c r="U684" s="5"/>
      <c r="V684" s="5"/>
      <c r="W684" s="5"/>
      <c r="X684" s="5"/>
      <c r="Y684" s="5"/>
      <c r="Z684" s="5"/>
      <c r="AA684" s="5"/>
    </row>
    <row r="685" spans="5:27" customFormat="1">
      <c r="E685" s="88"/>
      <c r="F685" s="36" t="s">
        <v>295</v>
      </c>
      <c r="G685" s="5" t="s">
        <v>296</v>
      </c>
      <c r="H685" s="5"/>
      <c r="I685" s="62">
        <v>-14200</v>
      </c>
      <c r="J685" s="62">
        <v>-10</v>
      </c>
      <c r="K685" s="62">
        <v>1420</v>
      </c>
      <c r="L685" s="100" t="s">
        <v>1030</v>
      </c>
      <c r="M685" s="5" t="s">
        <v>452</v>
      </c>
      <c r="N685" s="34" t="s">
        <v>464</v>
      </c>
      <c r="O685" s="5" t="s">
        <v>1031</v>
      </c>
      <c r="P685" s="5" t="s">
        <v>597</v>
      </c>
      <c r="Q685" s="5" t="s">
        <v>1032</v>
      </c>
      <c r="R685" s="5" t="s">
        <v>1052</v>
      </c>
      <c r="S685" s="5" t="s">
        <v>1033</v>
      </c>
      <c r="T685" s="5" t="s">
        <v>445</v>
      </c>
      <c r="U685" s="5"/>
      <c r="V685" s="5"/>
      <c r="W685" s="5"/>
      <c r="X685" s="5"/>
      <c r="Y685" s="5"/>
      <c r="Z685" s="5"/>
      <c r="AA685" s="5"/>
    </row>
    <row r="686" spans="5:27" customFormat="1">
      <c r="E686" s="88"/>
      <c r="F686" s="36" t="s">
        <v>295</v>
      </c>
      <c r="G686" s="5" t="s">
        <v>296</v>
      </c>
      <c r="H686" s="5"/>
      <c r="I686" s="62">
        <v>-50000</v>
      </c>
      <c r="J686" s="62">
        <v>-35.2112676056338</v>
      </c>
      <c r="K686" s="62">
        <v>1420</v>
      </c>
      <c r="L686" s="100" t="s">
        <v>1030</v>
      </c>
      <c r="M686" s="5" t="s">
        <v>452</v>
      </c>
      <c r="N686" s="34" t="s">
        <v>464</v>
      </c>
      <c r="O686" s="5" t="s">
        <v>1031</v>
      </c>
      <c r="P686" s="5" t="s">
        <v>597</v>
      </c>
      <c r="Q686" s="5" t="s">
        <v>1032</v>
      </c>
      <c r="R686" s="5" t="s">
        <v>1052</v>
      </c>
      <c r="S686" s="5" t="s">
        <v>1033</v>
      </c>
      <c r="T686" s="5" t="s">
        <v>445</v>
      </c>
      <c r="U686" s="5"/>
      <c r="V686" s="5"/>
      <c r="W686" s="5"/>
      <c r="X686" s="5"/>
      <c r="Y686" s="5"/>
      <c r="Z686" s="5"/>
      <c r="AA686" s="5"/>
    </row>
    <row r="687" spans="5:27" customFormat="1">
      <c r="E687" s="88"/>
      <c r="F687" s="36" t="s">
        <v>295</v>
      </c>
      <c r="G687" s="5" t="s">
        <v>296</v>
      </c>
      <c r="H687" s="5"/>
      <c r="I687" s="62">
        <v>-190000</v>
      </c>
      <c r="J687" s="62">
        <v>-133.80281690140799</v>
      </c>
      <c r="K687" s="62">
        <v>1420</v>
      </c>
      <c r="L687" s="100" t="s">
        <v>1030</v>
      </c>
      <c r="M687" s="5" t="s">
        <v>452</v>
      </c>
      <c r="N687" s="34" t="s">
        <v>464</v>
      </c>
      <c r="O687" s="5" t="s">
        <v>1031</v>
      </c>
      <c r="P687" s="5" t="s">
        <v>597</v>
      </c>
      <c r="Q687" s="5" t="s">
        <v>1032</v>
      </c>
      <c r="R687" s="5" t="s">
        <v>1037</v>
      </c>
      <c r="S687" s="5" t="s">
        <v>1033</v>
      </c>
      <c r="T687" s="5" t="s">
        <v>445</v>
      </c>
      <c r="U687" s="5"/>
      <c r="V687" s="5"/>
      <c r="W687" s="5"/>
      <c r="X687" s="5"/>
      <c r="Y687" s="5"/>
      <c r="Z687" s="5"/>
      <c r="AA687" s="5"/>
    </row>
    <row r="688" spans="5:27" customFormat="1">
      <c r="E688" s="88"/>
      <c r="F688" s="36" t="s">
        <v>295</v>
      </c>
      <c r="G688" s="5" t="s">
        <v>296</v>
      </c>
      <c r="H688" s="5"/>
      <c r="I688" s="62">
        <v>-900</v>
      </c>
      <c r="J688" s="62">
        <v>-0.64748201438848896</v>
      </c>
      <c r="K688" s="62">
        <v>1390</v>
      </c>
      <c r="L688" s="100" t="s">
        <v>628</v>
      </c>
      <c r="M688" s="5" t="s">
        <v>452</v>
      </c>
      <c r="N688" s="34" t="s">
        <v>464</v>
      </c>
      <c r="O688" s="5" t="s">
        <v>629</v>
      </c>
      <c r="P688" s="5" t="s">
        <v>597</v>
      </c>
      <c r="Q688" s="5" t="s">
        <v>630</v>
      </c>
      <c r="R688" s="5" t="s">
        <v>657</v>
      </c>
      <c r="S688" s="5" t="s">
        <v>632</v>
      </c>
      <c r="T688" s="5" t="s">
        <v>445</v>
      </c>
      <c r="U688" s="5"/>
      <c r="V688" s="5"/>
      <c r="W688" s="5"/>
      <c r="X688" s="5"/>
      <c r="Y688" s="5"/>
      <c r="Z688" s="5"/>
      <c r="AA688" s="5"/>
    </row>
    <row r="689" spans="5:27" customFormat="1">
      <c r="E689" s="88"/>
      <c r="F689" s="36" t="s">
        <v>295</v>
      </c>
      <c r="G689" s="5" t="s">
        <v>296</v>
      </c>
      <c r="H689" s="5"/>
      <c r="I689" s="62">
        <v>-14500</v>
      </c>
      <c r="J689" s="62">
        <v>-10.139860139860099</v>
      </c>
      <c r="K689" s="62">
        <v>1430</v>
      </c>
      <c r="L689" s="100" t="s">
        <v>751</v>
      </c>
      <c r="M689" s="5" t="s">
        <v>452</v>
      </c>
      <c r="N689" s="34" t="s">
        <v>464</v>
      </c>
      <c r="O689" s="5" t="s">
        <v>752</v>
      </c>
      <c r="P689" s="5" t="s">
        <v>597</v>
      </c>
      <c r="Q689" s="5" t="s">
        <v>753</v>
      </c>
      <c r="R689" s="5" t="s">
        <v>771</v>
      </c>
      <c r="S689" s="5" t="s">
        <v>755</v>
      </c>
      <c r="T689" s="5" t="s">
        <v>445</v>
      </c>
      <c r="U689" s="5"/>
      <c r="V689" s="5"/>
      <c r="W689" s="5"/>
      <c r="X689" s="5"/>
      <c r="Y689" s="5"/>
      <c r="Z689" s="5"/>
      <c r="AA689" s="5"/>
    </row>
    <row r="690" spans="5:27" customFormat="1">
      <c r="E690" s="88"/>
      <c r="F690" s="36" t="s">
        <v>295</v>
      </c>
      <c r="G690" s="5" t="s">
        <v>296</v>
      </c>
      <c r="H690" s="5"/>
      <c r="I690" s="62">
        <v>-35000</v>
      </c>
      <c r="J690" s="62">
        <v>-25</v>
      </c>
      <c r="K690" s="62">
        <v>1400</v>
      </c>
      <c r="L690" s="100" t="s">
        <v>834</v>
      </c>
      <c r="M690" s="5" t="s">
        <v>452</v>
      </c>
      <c r="N690" s="34" t="s">
        <v>464</v>
      </c>
      <c r="O690" s="5" t="s">
        <v>835</v>
      </c>
      <c r="P690" s="5" t="s">
        <v>597</v>
      </c>
      <c r="Q690" s="5" t="s">
        <v>836</v>
      </c>
      <c r="R690" s="5" t="s">
        <v>837</v>
      </c>
      <c r="S690" s="5" t="s">
        <v>838</v>
      </c>
      <c r="T690" s="5" t="s">
        <v>445</v>
      </c>
      <c r="U690" s="5"/>
      <c r="V690" s="5"/>
      <c r="W690" s="5"/>
      <c r="X690" s="5"/>
      <c r="Y690" s="5"/>
      <c r="Z690" s="5"/>
      <c r="AA690" s="5"/>
    </row>
    <row r="691" spans="5:27" customFormat="1">
      <c r="E691" s="88"/>
      <c r="F691" s="36" t="s">
        <v>295</v>
      </c>
      <c r="G691" s="5" t="s">
        <v>296</v>
      </c>
      <c r="H691" s="5"/>
      <c r="I691" s="62">
        <v>-11400</v>
      </c>
      <c r="J691" s="62">
        <v>-7.6</v>
      </c>
      <c r="K691" s="62">
        <v>1500</v>
      </c>
      <c r="L691" s="100" t="s">
        <v>858</v>
      </c>
      <c r="M691" s="5" t="s">
        <v>452</v>
      </c>
      <c r="N691" s="34" t="s">
        <v>464</v>
      </c>
      <c r="O691" s="5" t="s">
        <v>880</v>
      </c>
      <c r="P691" s="5" t="s">
        <v>597</v>
      </c>
      <c r="Q691" s="5" t="s">
        <v>881</v>
      </c>
      <c r="R691" s="5" t="s">
        <v>837</v>
      </c>
      <c r="S691" s="5" t="s">
        <v>882</v>
      </c>
      <c r="T691" s="5" t="s">
        <v>445</v>
      </c>
      <c r="U691" s="5"/>
      <c r="V691" s="5"/>
      <c r="W691" s="5"/>
      <c r="X691" s="5"/>
      <c r="Y691" s="5"/>
      <c r="Z691" s="5"/>
      <c r="AA691" s="5"/>
    </row>
    <row r="692" spans="5:27" customFormat="1">
      <c r="E692" s="88"/>
      <c r="F692" s="36" t="s">
        <v>295</v>
      </c>
      <c r="G692" s="5" t="s">
        <v>296</v>
      </c>
      <c r="H692" s="5"/>
      <c r="I692" s="62">
        <v>-18000</v>
      </c>
      <c r="J692" s="62">
        <v>-12.6760563380282</v>
      </c>
      <c r="K692" s="62">
        <v>1420</v>
      </c>
      <c r="L692" s="100" t="s">
        <v>1030</v>
      </c>
      <c r="M692" s="5" t="s">
        <v>452</v>
      </c>
      <c r="N692" s="34" t="s">
        <v>464</v>
      </c>
      <c r="O692" s="5" t="s">
        <v>1031</v>
      </c>
      <c r="P692" s="5" t="s">
        <v>597</v>
      </c>
      <c r="Q692" s="5" t="s">
        <v>1032</v>
      </c>
      <c r="R692" s="5" t="s">
        <v>1058</v>
      </c>
      <c r="S692" s="5" t="s">
        <v>1033</v>
      </c>
      <c r="T692" s="5" t="s">
        <v>445</v>
      </c>
      <c r="U692" s="5"/>
      <c r="V692" s="5"/>
      <c r="W692" s="5"/>
      <c r="X692" s="5"/>
      <c r="Y692" s="5"/>
      <c r="Z692" s="5"/>
      <c r="AA692" s="5"/>
    </row>
    <row r="693" spans="5:27" customFormat="1">
      <c r="E693" s="88"/>
      <c r="F693" s="36" t="s">
        <v>295</v>
      </c>
      <c r="G693" s="5" t="s">
        <v>296</v>
      </c>
      <c r="H693" s="5"/>
      <c r="I693" s="62">
        <v>-28000</v>
      </c>
      <c r="J693" s="62">
        <v>-19.7183098591549</v>
      </c>
      <c r="K693" s="62">
        <v>1420</v>
      </c>
      <c r="L693" s="100" t="s">
        <v>1030</v>
      </c>
      <c r="M693" s="5" t="s">
        <v>452</v>
      </c>
      <c r="N693" s="34" t="s">
        <v>464</v>
      </c>
      <c r="O693" s="5" t="s">
        <v>1031</v>
      </c>
      <c r="P693" s="5" t="s">
        <v>597</v>
      </c>
      <c r="Q693" s="5" t="s">
        <v>1032</v>
      </c>
      <c r="R693" s="5" t="s">
        <v>1058</v>
      </c>
      <c r="S693" s="5" t="s">
        <v>1033</v>
      </c>
      <c r="T693" s="5" t="s">
        <v>445</v>
      </c>
      <c r="U693" s="5"/>
      <c r="V693" s="5"/>
      <c r="W693" s="5"/>
      <c r="X693" s="5"/>
      <c r="Y693" s="5"/>
      <c r="Z693" s="5"/>
      <c r="AA693" s="5"/>
    </row>
    <row r="694" spans="5:27" customFormat="1">
      <c r="E694" s="88"/>
      <c r="F694" s="36" t="s">
        <v>295</v>
      </c>
      <c r="G694" s="5" t="s">
        <v>296</v>
      </c>
      <c r="H694" s="5"/>
      <c r="I694" s="62">
        <v>-7000</v>
      </c>
      <c r="J694" s="62">
        <v>-4.9295774647887303</v>
      </c>
      <c r="K694" s="62">
        <v>1420</v>
      </c>
      <c r="L694" s="100" t="s">
        <v>1030</v>
      </c>
      <c r="M694" s="5" t="s">
        <v>452</v>
      </c>
      <c r="N694" s="34" t="s">
        <v>464</v>
      </c>
      <c r="O694" s="5" t="s">
        <v>1031</v>
      </c>
      <c r="P694" s="5" t="s">
        <v>597</v>
      </c>
      <c r="Q694" s="5" t="s">
        <v>1032</v>
      </c>
      <c r="R694" s="5" t="s">
        <v>1046</v>
      </c>
      <c r="S694" s="5" t="s">
        <v>1033</v>
      </c>
      <c r="T694" s="5" t="s">
        <v>445</v>
      </c>
      <c r="U694" s="5"/>
      <c r="V694" s="5"/>
      <c r="W694" s="5"/>
      <c r="X694" s="5"/>
      <c r="Y694" s="5"/>
      <c r="Z694" s="5"/>
      <c r="AA694" s="5"/>
    </row>
    <row r="695" spans="5:27" customFormat="1">
      <c r="E695" s="88"/>
      <c r="F695" s="36" t="s">
        <v>295</v>
      </c>
      <c r="G695" s="5" t="s">
        <v>296</v>
      </c>
      <c r="H695" s="5"/>
      <c r="I695" s="62">
        <v>-15400</v>
      </c>
      <c r="J695" s="62">
        <v>-10.845070422535199</v>
      </c>
      <c r="K695" s="62">
        <v>1420</v>
      </c>
      <c r="L695" s="100" t="s">
        <v>1030</v>
      </c>
      <c r="M695" s="5" t="s">
        <v>452</v>
      </c>
      <c r="N695" s="34" t="s">
        <v>464</v>
      </c>
      <c r="O695" s="5" t="s">
        <v>1031</v>
      </c>
      <c r="P695" s="5" t="s">
        <v>597</v>
      </c>
      <c r="Q695" s="5" t="s">
        <v>1032</v>
      </c>
      <c r="R695" s="5" t="s">
        <v>1063</v>
      </c>
      <c r="S695" s="5" t="s">
        <v>1033</v>
      </c>
      <c r="T695" s="5" t="s">
        <v>445</v>
      </c>
      <c r="U695" s="5"/>
      <c r="V695" s="5"/>
      <c r="W695" s="5"/>
      <c r="X695" s="5"/>
      <c r="Y695" s="5"/>
      <c r="Z695" s="5"/>
      <c r="AA695" s="5"/>
    </row>
    <row r="696" spans="5:27" customFormat="1">
      <c r="E696" s="88"/>
      <c r="F696" s="36" t="s">
        <v>295</v>
      </c>
      <c r="G696" s="5" t="s">
        <v>296</v>
      </c>
      <c r="H696" s="5"/>
      <c r="I696" s="62">
        <v>-18000</v>
      </c>
      <c r="J696" s="62">
        <v>-12.6760563380282</v>
      </c>
      <c r="K696" s="62">
        <v>1420</v>
      </c>
      <c r="L696" s="100" t="s">
        <v>1030</v>
      </c>
      <c r="M696" s="5" t="s">
        <v>452</v>
      </c>
      <c r="N696" s="34" t="s">
        <v>464</v>
      </c>
      <c r="O696" s="5" t="s">
        <v>1031</v>
      </c>
      <c r="P696" s="5" t="s">
        <v>597</v>
      </c>
      <c r="Q696" s="5" t="s">
        <v>1032</v>
      </c>
      <c r="R696" s="5" t="s">
        <v>1063</v>
      </c>
      <c r="S696" s="5" t="s">
        <v>1033</v>
      </c>
      <c r="T696" s="5" t="s">
        <v>445</v>
      </c>
      <c r="U696" s="5"/>
      <c r="V696" s="5"/>
      <c r="W696" s="5"/>
      <c r="X696" s="5"/>
      <c r="Y696" s="5"/>
      <c r="Z696" s="5"/>
      <c r="AA696" s="5"/>
    </row>
    <row r="697" spans="5:27" customFormat="1">
      <c r="E697" s="88"/>
      <c r="F697" s="36" t="s">
        <v>295</v>
      </c>
      <c r="G697" s="5" t="s">
        <v>296</v>
      </c>
      <c r="H697" s="5"/>
      <c r="I697" s="62">
        <v>-37600</v>
      </c>
      <c r="J697" s="62">
        <v>-27.0503597122302</v>
      </c>
      <c r="K697" s="62">
        <v>1390</v>
      </c>
      <c r="L697" s="100" t="s">
        <v>628</v>
      </c>
      <c r="M697" s="5" t="s">
        <v>452</v>
      </c>
      <c r="N697" s="34" t="s">
        <v>464</v>
      </c>
      <c r="O697" s="5" t="s">
        <v>629</v>
      </c>
      <c r="P697" s="5" t="s">
        <v>597</v>
      </c>
      <c r="Q697" s="5" t="s">
        <v>630</v>
      </c>
      <c r="R697" s="5" t="s">
        <v>666</v>
      </c>
      <c r="S697" s="5" t="s">
        <v>632</v>
      </c>
      <c r="T697" s="5" t="s">
        <v>445</v>
      </c>
      <c r="U697" s="5"/>
      <c r="V697" s="5"/>
      <c r="W697" s="5"/>
      <c r="X697" s="5"/>
      <c r="Y697" s="5"/>
      <c r="Z697" s="5"/>
      <c r="AA697" s="5"/>
    </row>
    <row r="698" spans="5:27" customFormat="1">
      <c r="E698" s="88"/>
      <c r="F698" s="36" t="s">
        <v>295</v>
      </c>
      <c r="G698" s="5" t="s">
        <v>296</v>
      </c>
      <c r="H698" s="5"/>
      <c r="I698" s="62">
        <v>-55400</v>
      </c>
      <c r="J698" s="62">
        <v>-39.014084507042298</v>
      </c>
      <c r="K698" s="62">
        <v>1420</v>
      </c>
      <c r="L698" s="100" t="s">
        <v>1030</v>
      </c>
      <c r="M698" s="5" t="s">
        <v>452</v>
      </c>
      <c r="N698" s="34" t="s">
        <v>464</v>
      </c>
      <c r="O698" s="5" t="s">
        <v>1031</v>
      </c>
      <c r="P698" s="5" t="s">
        <v>597</v>
      </c>
      <c r="Q698" s="5" t="s">
        <v>1032</v>
      </c>
      <c r="R698" s="5" t="s">
        <v>1038</v>
      </c>
      <c r="S698" s="5" t="s">
        <v>1033</v>
      </c>
      <c r="T698" s="5" t="s">
        <v>445</v>
      </c>
      <c r="U698" s="5"/>
      <c r="V698" s="5"/>
      <c r="W698" s="5"/>
      <c r="X698" s="5"/>
      <c r="Y698" s="5"/>
      <c r="Z698" s="5"/>
      <c r="AA698" s="5"/>
    </row>
    <row r="699" spans="5:27" customFormat="1">
      <c r="E699" s="88"/>
      <c r="F699" s="36" t="s">
        <v>295</v>
      </c>
      <c r="G699" s="5" t="s">
        <v>296</v>
      </c>
      <c r="H699" s="5"/>
      <c r="I699" s="62">
        <v>-68000</v>
      </c>
      <c r="J699" s="62">
        <v>-52.307692307692299</v>
      </c>
      <c r="K699" s="62">
        <v>1300</v>
      </c>
      <c r="L699" s="100" t="s">
        <v>476</v>
      </c>
      <c r="M699" s="5" t="s">
        <v>452</v>
      </c>
      <c r="N699" s="34" t="s">
        <v>464</v>
      </c>
      <c r="O699" s="5" t="s">
        <v>477</v>
      </c>
      <c r="P699" s="5" t="s">
        <v>454</v>
      </c>
      <c r="Q699" s="5" t="s">
        <v>478</v>
      </c>
      <c r="R699" s="5" t="s">
        <v>487</v>
      </c>
      <c r="S699" s="5" t="s">
        <v>480</v>
      </c>
      <c r="T699" s="5" t="s">
        <v>445</v>
      </c>
      <c r="U699" s="5"/>
      <c r="V699" s="5"/>
      <c r="W699" s="5"/>
      <c r="X699" s="5"/>
      <c r="Y699" s="5"/>
      <c r="Z699" s="5"/>
      <c r="AA699" s="5"/>
    </row>
    <row r="700" spans="5:27" customFormat="1">
      <c r="E700" s="88"/>
      <c r="F700" s="36" t="s">
        <v>295</v>
      </c>
      <c r="G700" s="5" t="s">
        <v>296</v>
      </c>
      <c r="H700" s="5"/>
      <c r="I700" s="62">
        <v>-9000</v>
      </c>
      <c r="J700" s="62">
        <v>-6.5693430656934302</v>
      </c>
      <c r="K700" s="62">
        <v>1370</v>
      </c>
      <c r="L700" s="100" t="s">
        <v>468</v>
      </c>
      <c r="M700" s="5" t="s">
        <v>452</v>
      </c>
      <c r="N700" s="34" t="s">
        <v>464</v>
      </c>
      <c r="O700" s="5" t="s">
        <v>510</v>
      </c>
      <c r="P700" s="5" t="s">
        <v>454</v>
      </c>
      <c r="Q700" s="5" t="s">
        <v>511</v>
      </c>
      <c r="R700" s="5" t="s">
        <v>515</v>
      </c>
      <c r="S700" s="5" t="s">
        <v>513</v>
      </c>
      <c r="T700" s="5" t="s">
        <v>445</v>
      </c>
      <c r="U700" s="5"/>
      <c r="V700" s="5"/>
      <c r="W700" s="5"/>
      <c r="X700" s="5"/>
      <c r="Y700" s="5"/>
      <c r="Z700" s="5"/>
      <c r="AA700" s="5"/>
    </row>
    <row r="701" spans="5:27" customFormat="1">
      <c r="E701" s="88"/>
      <c r="F701" s="36" t="s">
        <v>295</v>
      </c>
      <c r="G701" s="5" t="s">
        <v>296</v>
      </c>
      <c r="H701" s="5"/>
      <c r="I701" s="62">
        <v>-11000</v>
      </c>
      <c r="J701" s="62">
        <v>-7.9136690647482002</v>
      </c>
      <c r="K701" s="62">
        <v>1390</v>
      </c>
      <c r="L701" s="100" t="s">
        <v>628</v>
      </c>
      <c r="M701" s="5" t="s">
        <v>452</v>
      </c>
      <c r="N701" s="34" t="s">
        <v>464</v>
      </c>
      <c r="O701" s="5" t="s">
        <v>629</v>
      </c>
      <c r="P701" s="5" t="s">
        <v>597</v>
      </c>
      <c r="Q701" s="5" t="s">
        <v>630</v>
      </c>
      <c r="R701" s="5" t="s">
        <v>663</v>
      </c>
      <c r="S701" s="5" t="s">
        <v>632</v>
      </c>
      <c r="T701" s="5" t="s">
        <v>445</v>
      </c>
      <c r="U701" s="5"/>
      <c r="V701" s="5"/>
      <c r="W701" s="5"/>
      <c r="X701" s="5"/>
      <c r="Y701" s="5"/>
      <c r="Z701" s="5"/>
      <c r="AA701" s="5"/>
    </row>
    <row r="702" spans="5:27" customFormat="1">
      <c r="E702" s="88"/>
      <c r="F702" s="36" t="s">
        <v>295</v>
      </c>
      <c r="G702" s="5" t="s">
        <v>296</v>
      </c>
      <c r="H702" s="5"/>
      <c r="I702" s="62">
        <v>-36000</v>
      </c>
      <c r="J702" s="62">
        <v>-25.174825174825202</v>
      </c>
      <c r="K702" s="62">
        <v>1430</v>
      </c>
      <c r="L702" s="100" t="s">
        <v>751</v>
      </c>
      <c r="M702" s="5" t="s">
        <v>452</v>
      </c>
      <c r="N702" s="34" t="s">
        <v>464</v>
      </c>
      <c r="O702" s="5" t="s">
        <v>752</v>
      </c>
      <c r="P702" s="5" t="s">
        <v>597</v>
      </c>
      <c r="Q702" s="5" t="s">
        <v>753</v>
      </c>
      <c r="R702" s="5" t="s">
        <v>663</v>
      </c>
      <c r="S702" s="5" t="s">
        <v>755</v>
      </c>
      <c r="T702" s="5" t="s">
        <v>445</v>
      </c>
      <c r="U702" s="5"/>
      <c r="V702" s="5"/>
      <c r="W702" s="5"/>
      <c r="X702" s="5"/>
      <c r="Y702" s="5"/>
      <c r="Z702" s="5"/>
      <c r="AA702" s="5"/>
    </row>
    <row r="703" spans="5:27" customFormat="1">
      <c r="E703" s="88"/>
      <c r="F703" s="36" t="s">
        <v>295</v>
      </c>
      <c r="G703" s="5" t="s">
        <v>296</v>
      </c>
      <c r="H703" s="5"/>
      <c r="I703" s="62">
        <v>-257220</v>
      </c>
      <c r="J703" s="62">
        <v>-185.05035971223001</v>
      </c>
      <c r="K703" s="62">
        <v>1390</v>
      </c>
      <c r="L703" s="100" t="s">
        <v>628</v>
      </c>
      <c r="M703" s="5" t="s">
        <v>452</v>
      </c>
      <c r="N703" s="34" t="s">
        <v>464</v>
      </c>
      <c r="O703" s="5" t="s">
        <v>1019</v>
      </c>
      <c r="P703" s="5" t="s">
        <v>597</v>
      </c>
      <c r="Q703" s="5" t="s">
        <v>1020</v>
      </c>
      <c r="R703" s="5" t="s">
        <v>663</v>
      </c>
      <c r="S703" s="5" t="s">
        <v>1022</v>
      </c>
      <c r="T703" s="5" t="s">
        <v>445</v>
      </c>
      <c r="U703" s="5"/>
      <c r="V703" s="5"/>
      <c r="W703" s="5"/>
      <c r="X703" s="5"/>
      <c r="Y703" s="5"/>
      <c r="Z703" s="5"/>
      <c r="AA703" s="5"/>
    </row>
    <row r="704" spans="5:27" customFormat="1">
      <c r="E704" s="88"/>
      <c r="F704" s="36" t="s">
        <v>295</v>
      </c>
      <c r="G704" s="5" t="s">
        <v>296</v>
      </c>
      <c r="H704" s="5"/>
      <c r="I704" s="62">
        <v>-78000</v>
      </c>
      <c r="J704" s="62">
        <v>-55.319148936170201</v>
      </c>
      <c r="K704" s="62">
        <v>1410</v>
      </c>
      <c r="L704" s="100" t="s">
        <v>678</v>
      </c>
      <c r="M704" s="5" t="s">
        <v>452</v>
      </c>
      <c r="N704" s="34" t="s">
        <v>464</v>
      </c>
      <c r="O704" s="5" t="s">
        <v>683</v>
      </c>
      <c r="P704" s="5" t="s">
        <v>597</v>
      </c>
      <c r="Q704" s="5" t="s">
        <v>684</v>
      </c>
      <c r="R704" s="5" t="s">
        <v>694</v>
      </c>
      <c r="S704" s="5" t="s">
        <v>685</v>
      </c>
      <c r="T704" s="5" t="s">
        <v>445</v>
      </c>
      <c r="U704" s="5"/>
      <c r="V704" s="5"/>
      <c r="W704" s="5"/>
      <c r="X704" s="5"/>
      <c r="Y704" s="5"/>
      <c r="Z704" s="5"/>
      <c r="AA704" s="5"/>
    </row>
    <row r="705" spans="5:27" customFormat="1">
      <c r="E705" s="88"/>
      <c r="F705" s="36" t="s">
        <v>295</v>
      </c>
      <c r="G705" s="5" t="s">
        <v>296</v>
      </c>
      <c r="H705" s="5"/>
      <c r="I705" s="62">
        <v>-240788</v>
      </c>
      <c r="J705" s="62">
        <v>-169.56901408450699</v>
      </c>
      <c r="K705" s="62">
        <v>1420</v>
      </c>
      <c r="L705" s="100" t="s">
        <v>1030</v>
      </c>
      <c r="M705" s="5" t="s">
        <v>452</v>
      </c>
      <c r="N705" s="34" t="s">
        <v>464</v>
      </c>
      <c r="O705" s="5" t="s">
        <v>1031</v>
      </c>
      <c r="P705" s="5" t="s">
        <v>597</v>
      </c>
      <c r="Q705" s="5" t="s">
        <v>1032</v>
      </c>
      <c r="R705" s="5" t="s">
        <v>1049</v>
      </c>
      <c r="S705" s="5" t="s">
        <v>1033</v>
      </c>
      <c r="T705" s="5" t="s">
        <v>445</v>
      </c>
      <c r="U705" s="5"/>
      <c r="V705" s="5"/>
      <c r="W705" s="5"/>
      <c r="X705" s="5"/>
      <c r="Y705" s="5"/>
      <c r="Z705" s="5"/>
      <c r="AA705" s="5"/>
    </row>
    <row r="706" spans="5:27" customFormat="1">
      <c r="E706" s="88"/>
      <c r="F706" s="36" t="s">
        <v>295</v>
      </c>
      <c r="G706" s="5" t="s">
        <v>296</v>
      </c>
      <c r="H706" s="5"/>
      <c r="I706" s="62">
        <v>-33200</v>
      </c>
      <c r="J706" s="62">
        <v>-23.8848920863309</v>
      </c>
      <c r="K706" s="62">
        <v>1390</v>
      </c>
      <c r="L706" s="100" t="s">
        <v>628</v>
      </c>
      <c r="M706" s="5" t="s">
        <v>452</v>
      </c>
      <c r="N706" s="34" t="s">
        <v>464</v>
      </c>
      <c r="O706" s="5" t="s">
        <v>629</v>
      </c>
      <c r="P706" s="5" t="s">
        <v>597</v>
      </c>
      <c r="Q706" s="5" t="s">
        <v>630</v>
      </c>
      <c r="R706" s="5" t="s">
        <v>659</v>
      </c>
      <c r="S706" s="5" t="s">
        <v>632</v>
      </c>
      <c r="T706" s="5" t="s">
        <v>445</v>
      </c>
      <c r="U706" s="5"/>
      <c r="V706" s="5"/>
      <c r="W706" s="5"/>
      <c r="X706" s="5"/>
      <c r="Y706" s="5"/>
      <c r="Z706" s="5"/>
      <c r="AA706" s="5"/>
    </row>
    <row r="707" spans="5:27" customFormat="1">
      <c r="E707" s="88"/>
      <c r="F707" s="36" t="s">
        <v>295</v>
      </c>
      <c r="G707" s="5" t="s">
        <v>296</v>
      </c>
      <c r="H707" s="5"/>
      <c r="I707" s="62">
        <v>-43700</v>
      </c>
      <c r="J707" s="62">
        <v>-30.774647887323901</v>
      </c>
      <c r="K707" s="62">
        <v>1420</v>
      </c>
      <c r="L707" s="100" t="s">
        <v>1030</v>
      </c>
      <c r="M707" s="5" t="s">
        <v>452</v>
      </c>
      <c r="N707" s="34" t="s">
        <v>464</v>
      </c>
      <c r="O707" s="5" t="s">
        <v>1031</v>
      </c>
      <c r="P707" s="5" t="s">
        <v>597</v>
      </c>
      <c r="Q707" s="5" t="s">
        <v>1032</v>
      </c>
      <c r="R707" s="5" t="s">
        <v>1056</v>
      </c>
      <c r="S707" s="5" t="s">
        <v>1033</v>
      </c>
      <c r="T707" s="5" t="s">
        <v>445</v>
      </c>
      <c r="U707" s="5"/>
      <c r="V707" s="5"/>
      <c r="W707" s="5"/>
      <c r="X707" s="5"/>
      <c r="Y707" s="5"/>
      <c r="Z707" s="5"/>
      <c r="AA707" s="5"/>
    </row>
    <row r="708" spans="5:27" customFormat="1">
      <c r="E708" s="88"/>
      <c r="F708" s="36" t="s">
        <v>295</v>
      </c>
      <c r="G708" s="5" t="s">
        <v>296</v>
      </c>
      <c r="H708" s="5"/>
      <c r="I708" s="62">
        <v>-50000</v>
      </c>
      <c r="J708" s="62">
        <v>-38.461538461538503</v>
      </c>
      <c r="K708" s="62">
        <v>1300</v>
      </c>
      <c r="L708" s="100" t="s">
        <v>476</v>
      </c>
      <c r="M708" s="5" t="s">
        <v>452</v>
      </c>
      <c r="N708" s="34" t="s">
        <v>464</v>
      </c>
      <c r="O708" s="5" t="s">
        <v>477</v>
      </c>
      <c r="P708" s="5" t="s">
        <v>454</v>
      </c>
      <c r="Q708" s="5" t="s">
        <v>478</v>
      </c>
      <c r="R708" s="5" t="s">
        <v>488</v>
      </c>
      <c r="S708" s="5" t="s">
        <v>480</v>
      </c>
      <c r="T708" s="5" t="s">
        <v>445</v>
      </c>
      <c r="U708" s="5"/>
      <c r="V708" s="5"/>
      <c r="W708" s="5"/>
      <c r="X708" s="5"/>
      <c r="Y708" s="5"/>
      <c r="Z708" s="5"/>
      <c r="AA708" s="5"/>
    </row>
    <row r="709" spans="5:27" customFormat="1">
      <c r="E709" s="88"/>
      <c r="F709" s="36" t="s">
        <v>295</v>
      </c>
      <c r="G709" s="5" t="s">
        <v>296</v>
      </c>
      <c r="H709" s="5"/>
      <c r="I709" s="62">
        <v>-100000</v>
      </c>
      <c r="J709" s="62">
        <v>-70.422535211267601</v>
      </c>
      <c r="K709" s="62">
        <v>1420</v>
      </c>
      <c r="L709" s="100" t="s">
        <v>1030</v>
      </c>
      <c r="M709" s="5" t="s">
        <v>452</v>
      </c>
      <c r="N709" s="34" t="s">
        <v>464</v>
      </c>
      <c r="O709" s="5" t="s">
        <v>1031</v>
      </c>
      <c r="P709" s="5" t="s">
        <v>597</v>
      </c>
      <c r="Q709" s="5" t="s">
        <v>1032</v>
      </c>
      <c r="R709" s="5" t="s">
        <v>488</v>
      </c>
      <c r="S709" s="5" t="s">
        <v>1033</v>
      </c>
      <c r="T709" s="5" t="s">
        <v>445</v>
      </c>
      <c r="U709" s="5"/>
      <c r="V709" s="5"/>
      <c r="W709" s="5"/>
      <c r="X709" s="5"/>
      <c r="Y709" s="5"/>
      <c r="Z709" s="5"/>
      <c r="AA709" s="5"/>
    </row>
    <row r="710" spans="5:27" customFormat="1">
      <c r="E710" s="88"/>
      <c r="F710" s="36" t="s">
        <v>295</v>
      </c>
      <c r="G710" s="5" t="s">
        <v>296</v>
      </c>
      <c r="H710" s="5"/>
      <c r="I710" s="62">
        <v>-37000</v>
      </c>
      <c r="J710" s="62">
        <v>-26.056338028169002</v>
      </c>
      <c r="K710" s="62">
        <v>1420</v>
      </c>
      <c r="L710" s="100" t="s">
        <v>1030</v>
      </c>
      <c r="M710" s="5" t="s">
        <v>452</v>
      </c>
      <c r="N710" s="34" t="s">
        <v>464</v>
      </c>
      <c r="O710" s="5" t="s">
        <v>1031</v>
      </c>
      <c r="P710" s="5" t="s">
        <v>597</v>
      </c>
      <c r="Q710" s="5" t="s">
        <v>1032</v>
      </c>
      <c r="R710" s="5" t="s">
        <v>1040</v>
      </c>
      <c r="S710" s="5" t="s">
        <v>1033</v>
      </c>
      <c r="T710" s="5" t="s">
        <v>445</v>
      </c>
      <c r="U710" s="5"/>
      <c r="V710" s="5"/>
      <c r="W710" s="5"/>
      <c r="X710" s="5"/>
      <c r="Y710" s="5"/>
      <c r="Z710" s="5"/>
      <c r="AA710" s="5"/>
    </row>
    <row r="711" spans="5:27" customFormat="1">
      <c r="E711" s="88"/>
      <c r="F711" s="36" t="s">
        <v>295</v>
      </c>
      <c r="G711" s="5" t="s">
        <v>296</v>
      </c>
      <c r="H711" s="5"/>
      <c r="I711" s="62">
        <v>-1179010</v>
      </c>
      <c r="J711" s="62">
        <v>-786.006666666667</v>
      </c>
      <c r="K711" s="62">
        <v>1500</v>
      </c>
      <c r="L711" s="100" t="s">
        <v>858</v>
      </c>
      <c r="M711" s="5" t="s">
        <v>452</v>
      </c>
      <c r="N711" s="34" t="s">
        <v>464</v>
      </c>
      <c r="O711" s="5" t="s">
        <v>880</v>
      </c>
      <c r="P711" s="5" t="s">
        <v>597</v>
      </c>
      <c r="Q711" s="5" t="s">
        <v>881</v>
      </c>
      <c r="R711" s="5" t="s">
        <v>893</v>
      </c>
      <c r="S711" s="5" t="s">
        <v>882</v>
      </c>
      <c r="T711" s="5" t="s">
        <v>445</v>
      </c>
      <c r="U711" s="5"/>
      <c r="V711" s="5"/>
      <c r="W711" s="5"/>
      <c r="X711" s="5"/>
      <c r="Y711" s="5"/>
      <c r="Z711" s="5"/>
      <c r="AA711" s="5"/>
    </row>
    <row r="712" spans="5:27" customFormat="1">
      <c r="E712" s="88"/>
      <c r="F712" s="36" t="s">
        <v>295</v>
      </c>
      <c r="G712" s="5" t="s">
        <v>296</v>
      </c>
      <c r="H712" s="5"/>
      <c r="I712" s="62">
        <v>-45000</v>
      </c>
      <c r="J712" s="62">
        <v>-31.914893617021299</v>
      </c>
      <c r="K712" s="62">
        <v>1410</v>
      </c>
      <c r="L712" s="100" t="s">
        <v>678</v>
      </c>
      <c r="M712" s="5" t="s">
        <v>452</v>
      </c>
      <c r="N712" s="34" t="s">
        <v>464</v>
      </c>
      <c r="O712" s="5" t="s">
        <v>683</v>
      </c>
      <c r="P712" s="5" t="s">
        <v>597</v>
      </c>
      <c r="Q712" s="5" t="s">
        <v>684</v>
      </c>
      <c r="R712" s="5" t="s">
        <v>707</v>
      </c>
      <c r="S712" s="5" t="s">
        <v>685</v>
      </c>
      <c r="T712" s="5" t="s">
        <v>445</v>
      </c>
      <c r="U712" s="5"/>
      <c r="V712" s="5"/>
      <c r="W712" s="5"/>
      <c r="X712" s="5"/>
      <c r="Y712" s="5"/>
      <c r="Z712" s="5"/>
      <c r="AA712" s="5"/>
    </row>
    <row r="713" spans="5:27" customFormat="1">
      <c r="E713" s="88"/>
      <c r="F713" s="36" t="s">
        <v>295</v>
      </c>
      <c r="G713" s="5" t="s">
        <v>296</v>
      </c>
      <c r="H713" s="5"/>
      <c r="I713" s="62">
        <v>-75450</v>
      </c>
      <c r="J713" s="62">
        <v>-55.072992700729898</v>
      </c>
      <c r="K713" s="62">
        <v>1370</v>
      </c>
      <c r="L713" s="100" t="s">
        <v>468</v>
      </c>
      <c r="M713" s="5" t="s">
        <v>452</v>
      </c>
      <c r="N713" s="34" t="s">
        <v>464</v>
      </c>
      <c r="O713" s="5" t="s">
        <v>510</v>
      </c>
      <c r="P713" s="5" t="s">
        <v>454</v>
      </c>
      <c r="Q713" s="5" t="s">
        <v>511</v>
      </c>
      <c r="R713" s="5" t="s">
        <v>512</v>
      </c>
      <c r="S713" s="5" t="s">
        <v>513</v>
      </c>
      <c r="T713" s="5" t="s">
        <v>445</v>
      </c>
      <c r="U713" s="5"/>
      <c r="V713" s="5"/>
      <c r="W713" s="5"/>
      <c r="X713" s="5"/>
      <c r="Y713" s="5"/>
      <c r="Z713" s="5"/>
      <c r="AA713" s="5"/>
    </row>
    <row r="714" spans="5:27" customFormat="1">
      <c r="E714" s="88"/>
      <c r="F714" s="36" t="s">
        <v>295</v>
      </c>
      <c r="G714" s="5" t="s">
        <v>296</v>
      </c>
      <c r="H714" s="5"/>
      <c r="I714" s="62">
        <v>-443260</v>
      </c>
      <c r="J714" s="62">
        <v>-314.36879432624102</v>
      </c>
      <c r="K714" s="62">
        <v>1410</v>
      </c>
      <c r="L714" s="100" t="s">
        <v>678</v>
      </c>
      <c r="M714" s="5" t="s">
        <v>452</v>
      </c>
      <c r="N714" s="34" t="s">
        <v>464</v>
      </c>
      <c r="O714" s="5" t="s">
        <v>683</v>
      </c>
      <c r="P714" s="5" t="s">
        <v>597</v>
      </c>
      <c r="Q714" s="5" t="s">
        <v>684</v>
      </c>
      <c r="R714" s="5" t="s">
        <v>687</v>
      </c>
      <c r="S714" s="5" t="s">
        <v>685</v>
      </c>
      <c r="T714" s="5" t="s">
        <v>445</v>
      </c>
      <c r="U714" s="5"/>
      <c r="V714" s="5"/>
      <c r="W714" s="5"/>
      <c r="X714" s="5"/>
      <c r="Y714" s="5"/>
      <c r="Z714" s="5"/>
      <c r="AA714" s="5"/>
    </row>
    <row r="715" spans="5:27" customFormat="1">
      <c r="E715" s="88"/>
      <c r="F715" s="36" t="s">
        <v>295</v>
      </c>
      <c r="G715" s="5" t="s">
        <v>296</v>
      </c>
      <c r="H715" s="5"/>
      <c r="I715" s="62">
        <v>-70000</v>
      </c>
      <c r="J715" s="62">
        <v>-49.295774647887299</v>
      </c>
      <c r="K715" s="62">
        <v>1420</v>
      </c>
      <c r="L715" s="100" t="s">
        <v>1030</v>
      </c>
      <c r="M715" s="5" t="s">
        <v>452</v>
      </c>
      <c r="N715" s="34" t="s">
        <v>464</v>
      </c>
      <c r="O715" s="5" t="s">
        <v>1031</v>
      </c>
      <c r="P715" s="5" t="s">
        <v>597</v>
      </c>
      <c r="Q715" s="5" t="s">
        <v>1032</v>
      </c>
      <c r="R715" s="5" t="s">
        <v>1041</v>
      </c>
      <c r="S715" s="5" t="s">
        <v>1033</v>
      </c>
      <c r="T715" s="5" t="s">
        <v>445</v>
      </c>
      <c r="U715" s="5"/>
      <c r="V715" s="5"/>
      <c r="W715" s="5"/>
      <c r="X715" s="5"/>
      <c r="Y715" s="5"/>
      <c r="Z715" s="5"/>
      <c r="AA715" s="5"/>
    </row>
    <row r="716" spans="5:27" customFormat="1">
      <c r="E716" s="88"/>
      <c r="F716" s="36" t="s">
        <v>295</v>
      </c>
      <c r="G716" s="5" t="s">
        <v>296</v>
      </c>
      <c r="H716" s="5"/>
      <c r="I716" s="62">
        <v>-58000</v>
      </c>
      <c r="J716" s="62">
        <v>-38.6666666666667</v>
      </c>
      <c r="K716" s="62">
        <v>1500</v>
      </c>
      <c r="L716" s="100" t="s">
        <v>858</v>
      </c>
      <c r="M716" s="5" t="s">
        <v>452</v>
      </c>
      <c r="N716" s="34" t="s">
        <v>464</v>
      </c>
      <c r="O716" s="5" t="s">
        <v>880</v>
      </c>
      <c r="P716" s="5" t="s">
        <v>597</v>
      </c>
      <c r="Q716" s="5" t="s">
        <v>881</v>
      </c>
      <c r="R716" s="5" t="s">
        <v>897</v>
      </c>
      <c r="S716" s="5" t="s">
        <v>882</v>
      </c>
      <c r="T716" s="5" t="s">
        <v>445</v>
      </c>
      <c r="U716" s="5"/>
      <c r="V716" s="5"/>
      <c r="W716" s="5"/>
      <c r="X716" s="5"/>
      <c r="Y716" s="5"/>
      <c r="Z716" s="5"/>
      <c r="AA716" s="5"/>
    </row>
    <row r="717" spans="5:27" customFormat="1">
      <c r="E717" s="88"/>
      <c r="F717" s="36" t="s">
        <v>295</v>
      </c>
      <c r="G717" s="5" t="s">
        <v>296</v>
      </c>
      <c r="H717" s="5"/>
      <c r="I717" s="62">
        <v>-51200</v>
      </c>
      <c r="J717" s="62">
        <v>-36.834532374100696</v>
      </c>
      <c r="K717" s="62">
        <v>1390</v>
      </c>
      <c r="L717" s="100" t="s">
        <v>628</v>
      </c>
      <c r="M717" s="5" t="s">
        <v>452</v>
      </c>
      <c r="N717" s="34" t="s">
        <v>464</v>
      </c>
      <c r="O717" s="5" t="s">
        <v>629</v>
      </c>
      <c r="P717" s="5" t="s">
        <v>597</v>
      </c>
      <c r="Q717" s="5" t="s">
        <v>630</v>
      </c>
      <c r="R717" s="5" t="s">
        <v>662</v>
      </c>
      <c r="S717" s="5" t="s">
        <v>632</v>
      </c>
      <c r="T717" s="5" t="s">
        <v>445</v>
      </c>
      <c r="U717" s="5"/>
      <c r="V717" s="5"/>
      <c r="W717" s="5"/>
      <c r="X717" s="5"/>
      <c r="Y717" s="5"/>
      <c r="Z717" s="5"/>
      <c r="AA717" s="5"/>
    </row>
    <row r="718" spans="5:27" customFormat="1">
      <c r="E718" s="88"/>
      <c r="F718" s="36" t="s">
        <v>295</v>
      </c>
      <c r="G718" s="5" t="s">
        <v>296</v>
      </c>
      <c r="H718" s="5"/>
      <c r="I718" s="62">
        <v>-220000</v>
      </c>
      <c r="J718" s="62">
        <v>-154.92957746478899</v>
      </c>
      <c r="K718" s="62">
        <v>1420</v>
      </c>
      <c r="L718" s="100" t="s">
        <v>1030</v>
      </c>
      <c r="M718" s="5" t="s">
        <v>452</v>
      </c>
      <c r="N718" s="34" t="s">
        <v>464</v>
      </c>
      <c r="O718" s="5" t="s">
        <v>1031</v>
      </c>
      <c r="P718" s="5" t="s">
        <v>597</v>
      </c>
      <c r="Q718" s="5" t="s">
        <v>1032</v>
      </c>
      <c r="R718" s="5" t="s">
        <v>1069</v>
      </c>
      <c r="S718" s="5" t="s">
        <v>1033</v>
      </c>
      <c r="T718" s="5" t="s">
        <v>445</v>
      </c>
      <c r="U718" s="5"/>
      <c r="V718" s="5"/>
      <c r="W718" s="5"/>
      <c r="X718" s="5"/>
      <c r="Y718" s="5"/>
      <c r="Z718" s="5"/>
      <c r="AA718" s="5"/>
    </row>
    <row r="719" spans="5:27" customFormat="1">
      <c r="E719" s="88"/>
      <c r="F719" s="36" t="s">
        <v>295</v>
      </c>
      <c r="G719" s="5" t="s">
        <v>296</v>
      </c>
      <c r="H719" s="5"/>
      <c r="I719" s="62">
        <v>-23000</v>
      </c>
      <c r="J719" s="62">
        <v>-16.312056737588701</v>
      </c>
      <c r="K719" s="62">
        <v>1410</v>
      </c>
      <c r="L719" s="100" t="s">
        <v>678</v>
      </c>
      <c r="M719" s="5" t="s">
        <v>452</v>
      </c>
      <c r="N719" s="34" t="s">
        <v>464</v>
      </c>
      <c r="O719" s="5" t="s">
        <v>683</v>
      </c>
      <c r="P719" s="5" t="s">
        <v>597</v>
      </c>
      <c r="Q719" s="5" t="s">
        <v>684</v>
      </c>
      <c r="R719" s="5" t="s">
        <v>700</v>
      </c>
      <c r="S719" s="5" t="s">
        <v>685</v>
      </c>
      <c r="T719" s="5" t="s">
        <v>445</v>
      </c>
      <c r="U719" s="5"/>
      <c r="V719" s="5"/>
      <c r="W719" s="5"/>
      <c r="X719" s="5"/>
      <c r="Y719" s="5"/>
      <c r="Z719" s="5"/>
      <c r="AA719" s="5"/>
    </row>
    <row r="720" spans="5:27" customFormat="1">
      <c r="E720" s="88"/>
      <c r="F720" s="36" t="s">
        <v>295</v>
      </c>
      <c r="G720" s="5" t="s">
        <v>296</v>
      </c>
      <c r="H720" s="5"/>
      <c r="I720" s="62">
        <v>-7200</v>
      </c>
      <c r="J720" s="62">
        <v>-5.1063829787234001</v>
      </c>
      <c r="K720" s="62">
        <v>1410</v>
      </c>
      <c r="L720" s="100" t="s">
        <v>678</v>
      </c>
      <c r="M720" s="5" t="s">
        <v>452</v>
      </c>
      <c r="N720" s="34" t="s">
        <v>464</v>
      </c>
      <c r="O720" s="5" t="s">
        <v>683</v>
      </c>
      <c r="P720" s="5" t="s">
        <v>597</v>
      </c>
      <c r="Q720" s="5" t="s">
        <v>684</v>
      </c>
      <c r="R720" s="5" t="s">
        <v>700</v>
      </c>
      <c r="S720" s="5" t="s">
        <v>685</v>
      </c>
      <c r="T720" s="5" t="s">
        <v>445</v>
      </c>
      <c r="U720" s="5"/>
      <c r="V720" s="5"/>
      <c r="W720" s="5"/>
      <c r="X720" s="5"/>
      <c r="Y720" s="5"/>
      <c r="Z720" s="5"/>
      <c r="AA720" s="5"/>
    </row>
    <row r="721" spans="5:27" customFormat="1">
      <c r="E721" s="88"/>
      <c r="F721" s="36" t="s">
        <v>295</v>
      </c>
      <c r="G721" s="5" t="s">
        <v>296</v>
      </c>
      <c r="H721" s="5"/>
      <c r="I721" s="62">
        <v>2120000</v>
      </c>
      <c r="J721" s="62">
        <v>1492.9577464788699</v>
      </c>
      <c r="K721" s="62">
        <v>1420</v>
      </c>
      <c r="L721" s="100" t="s">
        <v>586</v>
      </c>
      <c r="M721" s="5" t="s">
        <v>452</v>
      </c>
      <c r="N721" s="34" t="s">
        <v>464</v>
      </c>
      <c r="O721" s="5" t="s">
        <v>587</v>
      </c>
      <c r="P721" s="5" t="s">
        <v>454</v>
      </c>
      <c r="Q721" s="5" t="s">
        <v>588</v>
      </c>
      <c r="R721" s="5" t="s">
        <v>589</v>
      </c>
      <c r="S721" s="5" t="s">
        <v>590</v>
      </c>
      <c r="T721" s="5" t="s">
        <v>445</v>
      </c>
      <c r="U721" s="5"/>
      <c r="V721" s="5"/>
      <c r="W721" s="5"/>
      <c r="X721" s="5"/>
      <c r="Y721" s="5"/>
      <c r="Z721" s="5"/>
      <c r="AA721" s="5"/>
    </row>
    <row r="722" spans="5:27" customFormat="1">
      <c r="E722" s="88"/>
      <c r="F722" s="36" t="s">
        <v>295</v>
      </c>
      <c r="G722" s="5" t="s">
        <v>296</v>
      </c>
      <c r="H722" s="5"/>
      <c r="I722" s="62">
        <v>-162700</v>
      </c>
      <c r="J722" s="62">
        <v>-115.39007092198599</v>
      </c>
      <c r="K722" s="62">
        <v>1410</v>
      </c>
      <c r="L722" s="100" t="s">
        <v>678</v>
      </c>
      <c r="M722" s="5" t="s">
        <v>452</v>
      </c>
      <c r="N722" s="34" t="s">
        <v>464</v>
      </c>
      <c r="O722" s="5" t="s">
        <v>683</v>
      </c>
      <c r="P722" s="5" t="s">
        <v>597</v>
      </c>
      <c r="Q722" s="5" t="s">
        <v>684</v>
      </c>
      <c r="R722" s="5" t="s">
        <v>701</v>
      </c>
      <c r="S722" s="5" t="s">
        <v>685</v>
      </c>
      <c r="T722" s="5" t="s">
        <v>445</v>
      </c>
      <c r="U722" s="5"/>
      <c r="V722" s="5"/>
      <c r="W722" s="5"/>
      <c r="X722" s="5"/>
      <c r="Y722" s="5"/>
      <c r="Z722" s="5"/>
      <c r="AA722" s="5"/>
    </row>
    <row r="723" spans="5:27" customFormat="1">
      <c r="E723" s="88"/>
      <c r="F723" s="36" t="s">
        <v>295</v>
      </c>
      <c r="G723" s="5" t="s">
        <v>296</v>
      </c>
      <c r="H723" s="5"/>
      <c r="I723" s="62">
        <v>-54000</v>
      </c>
      <c r="J723" s="62">
        <v>-37.762237762237802</v>
      </c>
      <c r="K723" s="62">
        <v>1430</v>
      </c>
      <c r="L723" s="100" t="s">
        <v>751</v>
      </c>
      <c r="M723" s="5" t="s">
        <v>452</v>
      </c>
      <c r="N723" s="34" t="s">
        <v>464</v>
      </c>
      <c r="O723" s="5" t="s">
        <v>752</v>
      </c>
      <c r="P723" s="5" t="s">
        <v>597</v>
      </c>
      <c r="Q723" s="5" t="s">
        <v>753</v>
      </c>
      <c r="R723" s="5" t="s">
        <v>701</v>
      </c>
      <c r="S723" s="5" t="s">
        <v>755</v>
      </c>
      <c r="T723" s="5" t="s">
        <v>445</v>
      </c>
      <c r="U723" s="5"/>
      <c r="V723" s="5"/>
      <c r="W723" s="5"/>
      <c r="X723" s="5"/>
      <c r="Y723" s="5"/>
      <c r="Z723" s="5"/>
      <c r="AA723" s="5"/>
    </row>
    <row r="724" spans="5:27" customFormat="1">
      <c r="E724" s="88"/>
      <c r="F724" s="36" t="s">
        <v>295</v>
      </c>
      <c r="G724" s="5" t="s">
        <v>296</v>
      </c>
      <c r="H724" s="5"/>
      <c r="I724" s="62">
        <v>-125000</v>
      </c>
      <c r="J724" s="62">
        <v>-88.028169014084497</v>
      </c>
      <c r="K724" s="62">
        <v>1420</v>
      </c>
      <c r="L724" s="100" t="s">
        <v>1030</v>
      </c>
      <c r="M724" s="5" t="s">
        <v>452</v>
      </c>
      <c r="N724" s="34" t="s">
        <v>464</v>
      </c>
      <c r="O724" s="5" t="s">
        <v>1031</v>
      </c>
      <c r="P724" s="5" t="s">
        <v>597</v>
      </c>
      <c r="Q724" s="5" t="s">
        <v>1032</v>
      </c>
      <c r="R724" s="5" t="s">
        <v>701</v>
      </c>
      <c r="S724" s="5" t="s">
        <v>1033</v>
      </c>
      <c r="T724" s="5" t="s">
        <v>445</v>
      </c>
      <c r="U724" s="5"/>
      <c r="V724" s="5"/>
      <c r="W724" s="5"/>
      <c r="X724" s="5"/>
      <c r="Y724" s="5"/>
      <c r="Z724" s="5"/>
      <c r="AA724" s="5"/>
    </row>
    <row r="725" spans="5:27" customFormat="1">
      <c r="E725" s="88"/>
      <c r="F725" s="36" t="s">
        <v>295</v>
      </c>
      <c r="G725" s="5" t="s">
        <v>296</v>
      </c>
      <c r="H725" s="5"/>
      <c r="I725" s="62">
        <v>-5000</v>
      </c>
      <c r="J725" s="62">
        <v>-3.5971223021582701</v>
      </c>
      <c r="K725" s="62">
        <v>1390</v>
      </c>
      <c r="L725" s="100" t="s">
        <v>628</v>
      </c>
      <c r="M725" s="5" t="s">
        <v>452</v>
      </c>
      <c r="N725" s="34" t="s">
        <v>464</v>
      </c>
      <c r="O725" s="5" t="s">
        <v>629</v>
      </c>
      <c r="P725" s="5" t="s">
        <v>597</v>
      </c>
      <c r="Q725" s="5" t="s">
        <v>630</v>
      </c>
      <c r="R725" s="5" t="s">
        <v>658</v>
      </c>
      <c r="S725" s="5" t="s">
        <v>632</v>
      </c>
      <c r="T725" s="5" t="s">
        <v>445</v>
      </c>
      <c r="U725" s="5"/>
      <c r="V725" s="5"/>
      <c r="W725" s="5"/>
      <c r="X725" s="5"/>
      <c r="Y725" s="5"/>
      <c r="Z725" s="5"/>
      <c r="AA725" s="5"/>
    </row>
    <row r="726" spans="5:27" customFormat="1">
      <c r="E726" s="88"/>
      <c r="F726" s="36" t="s">
        <v>295</v>
      </c>
      <c r="G726" s="5" t="s">
        <v>296</v>
      </c>
      <c r="H726" s="5"/>
      <c r="I726" s="62">
        <v>-1000</v>
      </c>
      <c r="J726" s="62">
        <v>-0.66666666666666696</v>
      </c>
      <c r="K726" s="62">
        <v>1500</v>
      </c>
      <c r="L726" s="100" t="s">
        <v>858</v>
      </c>
      <c r="M726" s="5" t="s">
        <v>452</v>
      </c>
      <c r="N726" s="34" t="s">
        <v>464</v>
      </c>
      <c r="O726" s="5" t="s">
        <v>880</v>
      </c>
      <c r="P726" s="5" t="s">
        <v>597</v>
      </c>
      <c r="Q726" s="5" t="s">
        <v>881</v>
      </c>
      <c r="R726" s="5" t="s">
        <v>658</v>
      </c>
      <c r="S726" s="5" t="s">
        <v>882</v>
      </c>
      <c r="T726" s="5" t="s">
        <v>445</v>
      </c>
      <c r="U726" s="5"/>
      <c r="V726" s="5"/>
      <c r="W726" s="5"/>
      <c r="X726" s="5"/>
      <c r="Y726" s="5"/>
      <c r="Z726" s="5"/>
      <c r="AA726" s="5"/>
    </row>
    <row r="727" spans="5:27" customFormat="1">
      <c r="E727" s="88"/>
      <c r="F727" s="36" t="s">
        <v>295</v>
      </c>
      <c r="G727" s="5" t="s">
        <v>296</v>
      </c>
      <c r="H727" s="5"/>
      <c r="I727" s="62">
        <v>-42000</v>
      </c>
      <c r="J727" s="62">
        <v>-30.2158273381295</v>
      </c>
      <c r="K727" s="62">
        <v>1390</v>
      </c>
      <c r="L727" s="100" t="s">
        <v>628</v>
      </c>
      <c r="M727" s="5" t="s">
        <v>452</v>
      </c>
      <c r="N727" s="34" t="s">
        <v>464</v>
      </c>
      <c r="O727" s="5" t="s">
        <v>629</v>
      </c>
      <c r="P727" s="5" t="s">
        <v>597</v>
      </c>
      <c r="Q727" s="5" t="s">
        <v>630</v>
      </c>
      <c r="R727" s="5" t="s">
        <v>641</v>
      </c>
      <c r="S727" s="5" t="s">
        <v>632</v>
      </c>
      <c r="T727" s="5" t="s">
        <v>445</v>
      </c>
      <c r="U727" s="5"/>
      <c r="V727" s="5"/>
      <c r="W727" s="5"/>
      <c r="X727" s="5"/>
      <c r="Y727" s="5"/>
      <c r="Z727" s="5"/>
      <c r="AA727" s="5"/>
    </row>
    <row r="728" spans="5:27" customFormat="1">
      <c r="E728" s="88"/>
      <c r="F728" s="36" t="s">
        <v>295</v>
      </c>
      <c r="G728" s="5" t="s">
        <v>296</v>
      </c>
      <c r="H728" s="5"/>
      <c r="I728" s="62">
        <v>-18000</v>
      </c>
      <c r="J728" s="62">
        <v>-12.9496402877698</v>
      </c>
      <c r="K728" s="62">
        <v>1390</v>
      </c>
      <c r="L728" s="100" t="s">
        <v>628</v>
      </c>
      <c r="M728" s="5" t="s">
        <v>452</v>
      </c>
      <c r="N728" s="34" t="s">
        <v>464</v>
      </c>
      <c r="O728" s="5" t="s">
        <v>629</v>
      </c>
      <c r="P728" s="5" t="s">
        <v>597</v>
      </c>
      <c r="Q728" s="5" t="s">
        <v>630</v>
      </c>
      <c r="R728" s="5" t="s">
        <v>641</v>
      </c>
      <c r="S728" s="5" t="s">
        <v>632</v>
      </c>
      <c r="T728" s="5" t="s">
        <v>445</v>
      </c>
      <c r="U728" s="5"/>
      <c r="V728" s="5"/>
      <c r="W728" s="5"/>
      <c r="X728" s="5"/>
      <c r="Y728" s="5"/>
      <c r="Z728" s="5"/>
      <c r="AA728" s="5"/>
    </row>
    <row r="729" spans="5:27" customFormat="1">
      <c r="E729" s="88"/>
      <c r="F729" s="36" t="s">
        <v>295</v>
      </c>
      <c r="G729" s="5" t="s">
        <v>296</v>
      </c>
      <c r="H729" s="5"/>
      <c r="I729" s="62">
        <v>-6000</v>
      </c>
      <c r="J729" s="62">
        <v>-4</v>
      </c>
      <c r="K729" s="62">
        <v>1500</v>
      </c>
      <c r="L729" s="100" t="s">
        <v>858</v>
      </c>
      <c r="M729" s="5" t="s">
        <v>452</v>
      </c>
      <c r="N729" s="34" t="s">
        <v>464</v>
      </c>
      <c r="O729" s="5" t="s">
        <v>880</v>
      </c>
      <c r="P729" s="5" t="s">
        <v>597</v>
      </c>
      <c r="Q729" s="5" t="s">
        <v>881</v>
      </c>
      <c r="R729" s="5" t="s">
        <v>641</v>
      </c>
      <c r="S729" s="5" t="s">
        <v>882</v>
      </c>
      <c r="T729" s="5" t="s">
        <v>445</v>
      </c>
      <c r="U729" s="5"/>
      <c r="V729" s="5"/>
      <c r="W729" s="5"/>
      <c r="X729" s="5"/>
      <c r="Y729" s="5"/>
      <c r="Z729" s="5"/>
      <c r="AA729" s="5"/>
    </row>
    <row r="730" spans="5:27" customFormat="1">
      <c r="E730" s="88"/>
      <c r="F730" s="36" t="s">
        <v>295</v>
      </c>
      <c r="G730" s="5" t="s">
        <v>296</v>
      </c>
      <c r="H730" s="5"/>
      <c r="I730" s="62">
        <v>-68000</v>
      </c>
      <c r="J730" s="62">
        <v>-45.3333333333333</v>
      </c>
      <c r="K730" s="62">
        <v>1500</v>
      </c>
      <c r="L730" s="100" t="s">
        <v>858</v>
      </c>
      <c r="M730" s="5" t="s">
        <v>452</v>
      </c>
      <c r="N730" s="34" t="s">
        <v>464</v>
      </c>
      <c r="O730" s="5" t="s">
        <v>880</v>
      </c>
      <c r="P730" s="5" t="s">
        <v>597</v>
      </c>
      <c r="Q730" s="5" t="s">
        <v>881</v>
      </c>
      <c r="R730" s="5" t="s">
        <v>641</v>
      </c>
      <c r="S730" s="5" t="s">
        <v>882</v>
      </c>
      <c r="T730" s="5" t="s">
        <v>445</v>
      </c>
      <c r="U730" s="5"/>
      <c r="V730" s="5"/>
      <c r="W730" s="5"/>
      <c r="X730" s="5"/>
      <c r="Y730" s="5"/>
      <c r="Z730" s="5"/>
      <c r="AA730" s="5"/>
    </row>
    <row r="731" spans="5:27" customFormat="1">
      <c r="E731" s="88"/>
      <c r="F731" s="36" t="s">
        <v>295</v>
      </c>
      <c r="G731" s="5" t="s">
        <v>296</v>
      </c>
      <c r="H731" s="5"/>
      <c r="I731" s="62">
        <v>-40000</v>
      </c>
      <c r="J731" s="62">
        <v>-28.7769784172662</v>
      </c>
      <c r="K731" s="62">
        <v>1390</v>
      </c>
      <c r="L731" s="100" t="s">
        <v>628</v>
      </c>
      <c r="M731" s="5" t="s">
        <v>452</v>
      </c>
      <c r="N731" s="34" t="s">
        <v>464</v>
      </c>
      <c r="O731" s="5" t="s">
        <v>1019</v>
      </c>
      <c r="P731" s="5" t="s">
        <v>597</v>
      </c>
      <c r="Q731" s="5" t="s">
        <v>1020</v>
      </c>
      <c r="R731" s="5" t="s">
        <v>641</v>
      </c>
      <c r="S731" s="5" t="s">
        <v>1022</v>
      </c>
      <c r="T731" s="5" t="s">
        <v>445</v>
      </c>
      <c r="U731" s="5"/>
      <c r="V731" s="5"/>
      <c r="W731" s="5"/>
      <c r="X731" s="5"/>
      <c r="Y731" s="5"/>
      <c r="Z731" s="5"/>
      <c r="AA731" s="5"/>
    </row>
    <row r="732" spans="5:27" customFormat="1">
      <c r="E732" s="88"/>
      <c r="F732" s="36" t="s">
        <v>295</v>
      </c>
      <c r="G732" s="5" t="s">
        <v>296</v>
      </c>
      <c r="H732" s="5"/>
      <c r="I732" s="62">
        <v>-24000</v>
      </c>
      <c r="J732" s="62">
        <v>-16.901408450704199</v>
      </c>
      <c r="K732" s="62">
        <v>1420</v>
      </c>
      <c r="L732" s="100" t="s">
        <v>1030</v>
      </c>
      <c r="M732" s="5" t="s">
        <v>452</v>
      </c>
      <c r="N732" s="34" t="s">
        <v>464</v>
      </c>
      <c r="O732" s="5" t="s">
        <v>1031</v>
      </c>
      <c r="P732" s="5" t="s">
        <v>597</v>
      </c>
      <c r="Q732" s="5" t="s">
        <v>1032</v>
      </c>
      <c r="R732" s="5" t="s">
        <v>641</v>
      </c>
      <c r="S732" s="5" t="s">
        <v>1033</v>
      </c>
      <c r="T732" s="5" t="s">
        <v>445</v>
      </c>
      <c r="U732" s="5"/>
      <c r="V732" s="5"/>
      <c r="W732" s="5"/>
      <c r="X732" s="5"/>
      <c r="Y732" s="5"/>
      <c r="Z732" s="5"/>
      <c r="AA732" s="5"/>
    </row>
    <row r="733" spans="5:27" customFormat="1">
      <c r="E733" s="88"/>
      <c r="F733" s="36" t="s">
        <v>295</v>
      </c>
      <c r="G733" s="5" t="s">
        <v>296</v>
      </c>
      <c r="H733" s="5"/>
      <c r="I733" s="62">
        <v>-8000</v>
      </c>
      <c r="J733" s="62">
        <v>-5.6338028169014098</v>
      </c>
      <c r="K733" s="62">
        <v>1420</v>
      </c>
      <c r="L733" s="100" t="s">
        <v>1030</v>
      </c>
      <c r="M733" s="5" t="s">
        <v>452</v>
      </c>
      <c r="N733" s="34" t="s">
        <v>464</v>
      </c>
      <c r="O733" s="5" t="s">
        <v>1031</v>
      </c>
      <c r="P733" s="5" t="s">
        <v>597</v>
      </c>
      <c r="Q733" s="5" t="s">
        <v>1032</v>
      </c>
      <c r="R733" s="5" t="s">
        <v>641</v>
      </c>
      <c r="S733" s="5" t="s">
        <v>1033</v>
      </c>
      <c r="T733" s="5" t="s">
        <v>445</v>
      </c>
      <c r="U733" s="5"/>
      <c r="V733" s="5"/>
      <c r="W733" s="5"/>
      <c r="X733" s="5"/>
      <c r="Y733" s="5"/>
      <c r="Z733" s="5"/>
      <c r="AA733" s="5"/>
    </row>
    <row r="734" spans="5:27" customFormat="1">
      <c r="E734" s="88"/>
      <c r="F734" s="36" t="s">
        <v>295</v>
      </c>
      <c r="G734" s="5" t="s">
        <v>296</v>
      </c>
      <c r="H734" s="5"/>
      <c r="I734" s="62">
        <v>-15000</v>
      </c>
      <c r="J734" s="62">
        <v>-10</v>
      </c>
      <c r="K734" s="62">
        <v>1500</v>
      </c>
      <c r="L734" s="100" t="s">
        <v>858</v>
      </c>
      <c r="M734" s="5" t="s">
        <v>452</v>
      </c>
      <c r="N734" s="34" t="s">
        <v>464</v>
      </c>
      <c r="O734" s="5" t="s">
        <v>880</v>
      </c>
      <c r="P734" s="5" t="s">
        <v>597</v>
      </c>
      <c r="Q734" s="5" t="s">
        <v>881</v>
      </c>
      <c r="R734" s="5" t="s">
        <v>890</v>
      </c>
      <c r="S734" s="5" t="s">
        <v>882</v>
      </c>
      <c r="T734" s="5" t="s">
        <v>445</v>
      </c>
      <c r="U734" s="5"/>
      <c r="V734" s="5"/>
      <c r="W734" s="5"/>
      <c r="X734" s="5"/>
      <c r="Y734" s="5"/>
      <c r="Z734" s="5"/>
      <c r="AA734" s="5"/>
    </row>
    <row r="735" spans="5:27" customFormat="1">
      <c r="E735" s="88"/>
      <c r="F735" s="36" t="s">
        <v>295</v>
      </c>
      <c r="G735" s="5" t="s">
        <v>296</v>
      </c>
      <c r="H735" s="5"/>
      <c r="I735" s="62">
        <v>-233800</v>
      </c>
      <c r="J735" s="62">
        <v>-163.49650349650301</v>
      </c>
      <c r="K735" s="62">
        <v>1430</v>
      </c>
      <c r="L735" s="100" t="s">
        <v>751</v>
      </c>
      <c r="M735" s="5" t="s">
        <v>452</v>
      </c>
      <c r="N735" s="34" t="s">
        <v>464</v>
      </c>
      <c r="O735" s="5" t="s">
        <v>752</v>
      </c>
      <c r="P735" s="5" t="s">
        <v>597</v>
      </c>
      <c r="Q735" s="5" t="s">
        <v>753</v>
      </c>
      <c r="R735" s="5" t="s">
        <v>759</v>
      </c>
      <c r="S735" s="5" t="s">
        <v>755</v>
      </c>
      <c r="T735" s="5" t="s">
        <v>445</v>
      </c>
      <c r="U735" s="5"/>
      <c r="V735" s="5"/>
      <c r="W735" s="5"/>
      <c r="X735" s="5"/>
      <c r="Y735" s="5"/>
      <c r="Z735" s="5"/>
      <c r="AA735" s="5"/>
    </row>
    <row r="736" spans="5:27" customFormat="1">
      <c r="E736" s="88"/>
      <c r="F736" s="36" t="s">
        <v>295</v>
      </c>
      <c r="G736" s="5" t="s">
        <v>296</v>
      </c>
      <c r="H736" s="5"/>
      <c r="I736" s="62">
        <v>-219600</v>
      </c>
      <c r="J736" s="62">
        <v>-157.98561151079099</v>
      </c>
      <c r="K736" s="62">
        <v>1390</v>
      </c>
      <c r="L736" s="100" t="s">
        <v>628</v>
      </c>
      <c r="M736" s="5" t="s">
        <v>452</v>
      </c>
      <c r="N736" s="34" t="s">
        <v>464</v>
      </c>
      <c r="O736" s="5" t="s">
        <v>1019</v>
      </c>
      <c r="P736" s="5" t="s">
        <v>597</v>
      </c>
      <c r="Q736" s="5" t="s">
        <v>1020</v>
      </c>
      <c r="R736" s="5" t="s">
        <v>759</v>
      </c>
      <c r="S736" s="5" t="s">
        <v>1022</v>
      </c>
      <c r="T736" s="5" t="s">
        <v>445</v>
      </c>
      <c r="U736" s="5"/>
      <c r="V736" s="5"/>
      <c r="W736" s="5"/>
      <c r="X736" s="5"/>
      <c r="Y736" s="5"/>
      <c r="Z736" s="5"/>
      <c r="AA736" s="5"/>
    </row>
    <row r="737" spans="5:27" customFormat="1">
      <c r="E737" s="88"/>
      <c r="F737" s="36" t="s">
        <v>295</v>
      </c>
      <c r="G737" s="5" t="s">
        <v>296</v>
      </c>
      <c r="H737" s="5"/>
      <c r="I737" s="62">
        <v>-99200</v>
      </c>
      <c r="J737" s="62">
        <v>-70.857142857142904</v>
      </c>
      <c r="K737" s="62">
        <v>1400</v>
      </c>
      <c r="L737" s="100" t="s">
        <v>834</v>
      </c>
      <c r="M737" s="5" t="s">
        <v>452</v>
      </c>
      <c r="N737" s="34" t="s">
        <v>464</v>
      </c>
      <c r="O737" s="5" t="s">
        <v>835</v>
      </c>
      <c r="P737" s="5" t="s">
        <v>597</v>
      </c>
      <c r="Q737" s="5" t="s">
        <v>836</v>
      </c>
      <c r="R737" s="5" t="s">
        <v>840</v>
      </c>
      <c r="S737" s="5" t="s">
        <v>838</v>
      </c>
      <c r="T737" s="5" t="s">
        <v>445</v>
      </c>
      <c r="U737" s="5"/>
      <c r="V737" s="5"/>
      <c r="W737" s="5"/>
      <c r="X737" s="5"/>
      <c r="Y737" s="5"/>
      <c r="Z737" s="5"/>
      <c r="AA737" s="5"/>
    </row>
    <row r="738" spans="5:27" customFormat="1">
      <c r="E738" s="88"/>
      <c r="F738" s="36" t="s">
        <v>295</v>
      </c>
      <c r="G738" s="5" t="s">
        <v>296</v>
      </c>
      <c r="H738" s="5"/>
      <c r="I738" s="62">
        <v>-71400</v>
      </c>
      <c r="J738" s="62">
        <v>-51.366906474820098</v>
      </c>
      <c r="K738" s="62">
        <v>1390</v>
      </c>
      <c r="L738" s="100" t="s">
        <v>628</v>
      </c>
      <c r="M738" s="5" t="s">
        <v>452</v>
      </c>
      <c r="N738" s="34" t="s">
        <v>464</v>
      </c>
      <c r="O738" s="5" t="s">
        <v>629</v>
      </c>
      <c r="P738" s="5" t="s">
        <v>597</v>
      </c>
      <c r="Q738" s="5" t="s">
        <v>630</v>
      </c>
      <c r="R738" s="5" t="s">
        <v>652</v>
      </c>
      <c r="S738" s="5" t="s">
        <v>632</v>
      </c>
      <c r="T738" s="5" t="s">
        <v>445</v>
      </c>
      <c r="U738" s="5"/>
      <c r="V738" s="5"/>
      <c r="W738" s="5"/>
      <c r="X738" s="5"/>
      <c r="Y738" s="5"/>
      <c r="Z738" s="5"/>
      <c r="AA738" s="5"/>
    </row>
    <row r="739" spans="5:27" customFormat="1">
      <c r="E739" s="88"/>
      <c r="F739" s="36" t="s">
        <v>295</v>
      </c>
      <c r="G739" s="5" t="s">
        <v>296</v>
      </c>
      <c r="H739" s="5"/>
      <c r="I739" s="62">
        <v>-207900</v>
      </c>
      <c r="J739" s="62">
        <v>-146.408450704225</v>
      </c>
      <c r="K739" s="62">
        <v>1420</v>
      </c>
      <c r="L739" s="100" t="s">
        <v>1030</v>
      </c>
      <c r="M739" s="5" t="s">
        <v>452</v>
      </c>
      <c r="N739" s="34" t="s">
        <v>464</v>
      </c>
      <c r="O739" s="5" t="s">
        <v>1031</v>
      </c>
      <c r="P739" s="5" t="s">
        <v>597</v>
      </c>
      <c r="Q739" s="5" t="s">
        <v>1032</v>
      </c>
      <c r="R739" s="5" t="s">
        <v>652</v>
      </c>
      <c r="S739" s="5" t="s">
        <v>1033</v>
      </c>
      <c r="T739" s="5" t="s">
        <v>445</v>
      </c>
      <c r="U739" s="5"/>
      <c r="V739" s="5"/>
      <c r="W739" s="5"/>
      <c r="X739" s="5"/>
      <c r="Y739" s="5"/>
      <c r="Z739" s="5"/>
      <c r="AA739" s="5"/>
    </row>
    <row r="740" spans="5:27" customFormat="1">
      <c r="E740" s="88"/>
      <c r="F740" s="36" t="s">
        <v>295</v>
      </c>
      <c r="G740" s="5" t="s">
        <v>296</v>
      </c>
      <c r="H740" s="5"/>
      <c r="I740" s="62">
        <v>-52000</v>
      </c>
      <c r="J740" s="62">
        <v>-36.619718309859202</v>
      </c>
      <c r="K740" s="62">
        <v>1420</v>
      </c>
      <c r="L740" s="100" t="s">
        <v>1030</v>
      </c>
      <c r="M740" s="5" t="s">
        <v>452</v>
      </c>
      <c r="N740" s="34" t="s">
        <v>464</v>
      </c>
      <c r="O740" s="5" t="s">
        <v>1031</v>
      </c>
      <c r="P740" s="5" t="s">
        <v>597</v>
      </c>
      <c r="Q740" s="5" t="s">
        <v>1032</v>
      </c>
      <c r="R740" s="5" t="s">
        <v>1061</v>
      </c>
      <c r="S740" s="5" t="s">
        <v>1033</v>
      </c>
      <c r="T740" s="5" t="s">
        <v>445</v>
      </c>
      <c r="U740" s="5"/>
      <c r="V740" s="5"/>
      <c r="W740" s="5"/>
      <c r="X740" s="5"/>
      <c r="Y740" s="5"/>
      <c r="Z740" s="5"/>
      <c r="AA740" s="5"/>
    </row>
    <row r="741" spans="5:27" customFormat="1">
      <c r="E741" s="88"/>
      <c r="F741" s="36" t="s">
        <v>295</v>
      </c>
      <c r="G741" s="5" t="s">
        <v>296</v>
      </c>
      <c r="H741" s="5"/>
      <c r="I741" s="62">
        <v>-100000</v>
      </c>
      <c r="J741" s="62">
        <v>-70.422535211267601</v>
      </c>
      <c r="K741" s="62">
        <v>1420</v>
      </c>
      <c r="L741" s="100" t="s">
        <v>1030</v>
      </c>
      <c r="M741" s="5" t="s">
        <v>452</v>
      </c>
      <c r="N741" s="34" t="s">
        <v>464</v>
      </c>
      <c r="O741" s="5" t="s">
        <v>1031</v>
      </c>
      <c r="P741" s="5" t="s">
        <v>597</v>
      </c>
      <c r="Q741" s="5" t="s">
        <v>1032</v>
      </c>
      <c r="R741" s="5" t="s">
        <v>1068</v>
      </c>
      <c r="S741" s="5" t="s">
        <v>1033</v>
      </c>
      <c r="T741" s="5" t="s">
        <v>445</v>
      </c>
      <c r="U741" s="5"/>
      <c r="V741" s="5"/>
      <c r="W741" s="5"/>
      <c r="X741" s="5"/>
      <c r="Y741" s="5"/>
      <c r="Z741" s="5"/>
      <c r="AA741" s="5"/>
    </row>
    <row r="742" spans="5:27" customFormat="1">
      <c r="E742" s="88"/>
      <c r="F742" s="36" t="s">
        <v>295</v>
      </c>
      <c r="G742" s="5" t="s">
        <v>296</v>
      </c>
      <c r="H742" s="5"/>
      <c r="I742" s="62">
        <v>-82500</v>
      </c>
      <c r="J742" s="62">
        <v>-58.510638297872298</v>
      </c>
      <c r="K742" s="62">
        <v>1410</v>
      </c>
      <c r="L742" s="100" t="s">
        <v>678</v>
      </c>
      <c r="M742" s="5" t="s">
        <v>452</v>
      </c>
      <c r="N742" s="34" t="s">
        <v>464</v>
      </c>
      <c r="O742" s="5" t="s">
        <v>683</v>
      </c>
      <c r="P742" s="5" t="s">
        <v>597</v>
      </c>
      <c r="Q742" s="5" t="s">
        <v>684</v>
      </c>
      <c r="R742" s="5" t="s">
        <v>693</v>
      </c>
      <c r="S742" s="5" t="s">
        <v>685</v>
      </c>
      <c r="T742" s="5" t="s">
        <v>445</v>
      </c>
      <c r="U742" s="5"/>
      <c r="V742" s="5"/>
      <c r="W742" s="5"/>
      <c r="X742" s="5"/>
      <c r="Y742" s="5"/>
      <c r="Z742" s="5"/>
      <c r="AA742" s="5"/>
    </row>
    <row r="743" spans="5:27" customFormat="1">
      <c r="E743" s="88"/>
      <c r="F743" s="36" t="s">
        <v>295</v>
      </c>
      <c r="G743" s="5" t="s">
        <v>296</v>
      </c>
      <c r="H743" s="5"/>
      <c r="I743" s="62">
        <v>-16000</v>
      </c>
      <c r="J743" s="62">
        <v>-11.510791366906499</v>
      </c>
      <c r="K743" s="62">
        <v>1390</v>
      </c>
      <c r="L743" s="100" t="s">
        <v>628</v>
      </c>
      <c r="M743" s="5" t="s">
        <v>452</v>
      </c>
      <c r="N743" s="34" t="s">
        <v>464</v>
      </c>
      <c r="O743" s="5" t="s">
        <v>1019</v>
      </c>
      <c r="P743" s="5" t="s">
        <v>597</v>
      </c>
      <c r="Q743" s="5" t="s">
        <v>1020</v>
      </c>
      <c r="R743" s="5" t="s">
        <v>1021</v>
      </c>
      <c r="S743" s="5" t="s">
        <v>1022</v>
      </c>
      <c r="T743" s="5" t="s">
        <v>445</v>
      </c>
      <c r="U743" s="5"/>
      <c r="V743" s="5"/>
      <c r="W743" s="5"/>
      <c r="X743" s="5"/>
      <c r="Y743" s="5"/>
      <c r="Z743" s="5"/>
      <c r="AA743" s="5"/>
    </row>
    <row r="744" spans="5:27" customFormat="1">
      <c r="E744" s="88"/>
      <c r="F744" s="36" t="s">
        <v>295</v>
      </c>
      <c r="G744" s="5" t="s">
        <v>296</v>
      </c>
      <c r="H744" s="5"/>
      <c r="I744" s="62">
        <v>-40000</v>
      </c>
      <c r="J744" s="62">
        <v>-27.972027972027998</v>
      </c>
      <c r="K744" s="62">
        <v>1430</v>
      </c>
      <c r="L744" s="100" t="s">
        <v>751</v>
      </c>
      <c r="M744" s="5" t="s">
        <v>452</v>
      </c>
      <c r="N744" s="34" t="s">
        <v>464</v>
      </c>
      <c r="O744" s="5" t="s">
        <v>752</v>
      </c>
      <c r="P744" s="5" t="s">
        <v>597</v>
      </c>
      <c r="Q744" s="5" t="s">
        <v>753</v>
      </c>
      <c r="R744" s="5" t="s">
        <v>764</v>
      </c>
      <c r="S744" s="5" t="s">
        <v>755</v>
      </c>
      <c r="T744" s="5" t="s">
        <v>445</v>
      </c>
      <c r="U744" s="5"/>
      <c r="V744" s="5"/>
      <c r="W744" s="5"/>
      <c r="X744" s="5"/>
      <c r="Y744" s="5"/>
      <c r="Z744" s="5"/>
      <c r="AA744" s="5"/>
    </row>
    <row r="745" spans="5:27" customFormat="1">
      <c r="E745" s="88"/>
      <c r="F745" s="36" t="s">
        <v>295</v>
      </c>
      <c r="G745" s="5" t="s">
        <v>296</v>
      </c>
      <c r="H745" s="5"/>
      <c r="I745" s="62">
        <v>-18000</v>
      </c>
      <c r="J745" s="62">
        <v>-12.8571428571429</v>
      </c>
      <c r="K745" s="62">
        <v>1400</v>
      </c>
      <c r="L745" s="100" t="s">
        <v>834</v>
      </c>
      <c r="M745" s="5" t="s">
        <v>452</v>
      </c>
      <c r="N745" s="34" t="s">
        <v>464</v>
      </c>
      <c r="O745" s="5" t="s">
        <v>835</v>
      </c>
      <c r="P745" s="5" t="s">
        <v>597</v>
      </c>
      <c r="Q745" s="5" t="s">
        <v>836</v>
      </c>
      <c r="R745" s="5" t="s">
        <v>764</v>
      </c>
      <c r="S745" s="5" t="s">
        <v>838</v>
      </c>
      <c r="T745" s="5" t="s">
        <v>445</v>
      </c>
      <c r="U745" s="5"/>
      <c r="V745" s="5"/>
      <c r="W745" s="5"/>
      <c r="X745" s="5"/>
      <c r="Y745" s="5"/>
      <c r="Z745" s="5"/>
      <c r="AA745" s="5"/>
    </row>
    <row r="746" spans="5:27" customFormat="1">
      <c r="E746" s="88"/>
      <c r="F746" s="36" t="s">
        <v>295</v>
      </c>
      <c r="G746" s="5" t="s">
        <v>296</v>
      </c>
      <c r="H746" s="5"/>
      <c r="I746" s="62">
        <v>-18000</v>
      </c>
      <c r="J746" s="62">
        <v>-12.8571428571429</v>
      </c>
      <c r="K746" s="62">
        <v>1400</v>
      </c>
      <c r="L746" s="100" t="s">
        <v>834</v>
      </c>
      <c r="M746" s="5" t="s">
        <v>452</v>
      </c>
      <c r="N746" s="34" t="s">
        <v>464</v>
      </c>
      <c r="O746" s="5" t="s">
        <v>835</v>
      </c>
      <c r="P746" s="5" t="s">
        <v>597</v>
      </c>
      <c r="Q746" s="5" t="s">
        <v>836</v>
      </c>
      <c r="R746" s="5" t="s">
        <v>764</v>
      </c>
      <c r="S746" s="5" t="s">
        <v>838</v>
      </c>
      <c r="T746" s="5" t="s">
        <v>445</v>
      </c>
      <c r="U746" s="5"/>
      <c r="V746" s="5"/>
      <c r="W746" s="5"/>
      <c r="X746" s="5"/>
      <c r="Y746" s="5"/>
      <c r="Z746" s="5"/>
      <c r="AA746" s="5"/>
    </row>
    <row r="747" spans="5:27" customFormat="1">
      <c r="E747" s="88"/>
      <c r="F747" s="36" t="s">
        <v>295</v>
      </c>
      <c r="G747" s="5" t="s">
        <v>296</v>
      </c>
      <c r="H747" s="5"/>
      <c r="I747" s="62">
        <v>-40000</v>
      </c>
      <c r="J747" s="62">
        <v>-26.6666666666667</v>
      </c>
      <c r="K747" s="62">
        <v>1500</v>
      </c>
      <c r="L747" s="100" t="s">
        <v>858</v>
      </c>
      <c r="M747" s="5" t="s">
        <v>452</v>
      </c>
      <c r="N747" s="34" t="s">
        <v>464</v>
      </c>
      <c r="O747" s="5" t="s">
        <v>880</v>
      </c>
      <c r="P747" s="5" t="s">
        <v>597</v>
      </c>
      <c r="Q747" s="5" t="s">
        <v>881</v>
      </c>
      <c r="R747" s="5" t="s">
        <v>764</v>
      </c>
      <c r="S747" s="5" t="s">
        <v>882</v>
      </c>
      <c r="T747" s="5" t="s">
        <v>445</v>
      </c>
      <c r="U747" s="5"/>
      <c r="V747" s="5"/>
      <c r="W747" s="5"/>
      <c r="X747" s="5"/>
      <c r="Y747" s="5"/>
      <c r="Z747" s="5"/>
      <c r="AA747" s="5"/>
    </row>
    <row r="748" spans="5:27" customFormat="1">
      <c r="E748" s="88"/>
      <c r="F748" s="36" t="s">
        <v>295</v>
      </c>
      <c r="G748" s="5" t="s">
        <v>296</v>
      </c>
      <c r="H748" s="5"/>
      <c r="I748" s="62">
        <v>-20000</v>
      </c>
      <c r="J748" s="62">
        <v>-13.3333333333333</v>
      </c>
      <c r="K748" s="62">
        <v>1500</v>
      </c>
      <c r="L748" s="100" t="s">
        <v>858</v>
      </c>
      <c r="M748" s="5" t="s">
        <v>452</v>
      </c>
      <c r="N748" s="34" t="s">
        <v>464</v>
      </c>
      <c r="O748" s="5" t="s">
        <v>880</v>
      </c>
      <c r="P748" s="5" t="s">
        <v>597</v>
      </c>
      <c r="Q748" s="5" t="s">
        <v>881</v>
      </c>
      <c r="R748" s="5" t="s">
        <v>764</v>
      </c>
      <c r="S748" s="5" t="s">
        <v>882</v>
      </c>
      <c r="T748" s="5" t="s">
        <v>445</v>
      </c>
      <c r="U748" s="5"/>
      <c r="V748" s="5"/>
      <c r="W748" s="5"/>
      <c r="X748" s="5"/>
      <c r="Y748" s="5"/>
      <c r="Z748" s="5"/>
      <c r="AA748" s="5"/>
    </row>
    <row r="749" spans="5:27" customFormat="1">
      <c r="E749" s="88"/>
      <c r="F749" s="36" t="s">
        <v>295</v>
      </c>
      <c r="G749" s="5" t="s">
        <v>296</v>
      </c>
      <c r="H749" s="5"/>
      <c r="I749" s="62">
        <v>-60000</v>
      </c>
      <c r="J749" s="62">
        <v>-42.253521126760603</v>
      </c>
      <c r="K749" s="62">
        <v>1420</v>
      </c>
      <c r="L749" s="100" t="s">
        <v>1030</v>
      </c>
      <c r="M749" s="5" t="s">
        <v>452</v>
      </c>
      <c r="N749" s="34" t="s">
        <v>464</v>
      </c>
      <c r="O749" s="5" t="s">
        <v>1031</v>
      </c>
      <c r="P749" s="5" t="s">
        <v>597</v>
      </c>
      <c r="Q749" s="5" t="s">
        <v>1032</v>
      </c>
      <c r="R749" s="5" t="s">
        <v>764</v>
      </c>
      <c r="S749" s="5" t="s">
        <v>1033</v>
      </c>
      <c r="T749" s="5" t="s">
        <v>445</v>
      </c>
      <c r="U749" s="5"/>
      <c r="V749" s="5"/>
      <c r="W749" s="5"/>
      <c r="X749" s="5"/>
      <c r="Y749" s="5"/>
      <c r="Z749" s="5"/>
      <c r="AA749" s="5"/>
    </row>
    <row r="750" spans="5:27" customFormat="1">
      <c r="E750" s="88"/>
      <c r="F750" s="36" t="s">
        <v>295</v>
      </c>
      <c r="G750" s="5" t="s">
        <v>296</v>
      </c>
      <c r="H750" s="5"/>
      <c r="I750" s="62">
        <v>-24000</v>
      </c>
      <c r="J750" s="62">
        <v>-16.901408450704199</v>
      </c>
      <c r="K750" s="62">
        <v>1420</v>
      </c>
      <c r="L750" s="100" t="s">
        <v>1030</v>
      </c>
      <c r="M750" s="5" t="s">
        <v>452</v>
      </c>
      <c r="N750" s="34" t="s">
        <v>464</v>
      </c>
      <c r="O750" s="5" t="s">
        <v>1031</v>
      </c>
      <c r="P750" s="5" t="s">
        <v>597</v>
      </c>
      <c r="Q750" s="5" t="s">
        <v>1032</v>
      </c>
      <c r="R750" s="5" t="s">
        <v>764</v>
      </c>
      <c r="S750" s="5" t="s">
        <v>1033</v>
      </c>
      <c r="T750" s="5" t="s">
        <v>445</v>
      </c>
      <c r="U750" s="5"/>
      <c r="V750" s="5"/>
      <c r="W750" s="5"/>
      <c r="X750" s="5"/>
      <c r="Y750" s="5"/>
      <c r="Z750" s="5"/>
      <c r="AA750" s="5"/>
    </row>
    <row r="751" spans="5:27" customFormat="1">
      <c r="E751" s="88"/>
      <c r="F751" s="36" t="s">
        <v>295</v>
      </c>
      <c r="G751" s="5" t="s">
        <v>296</v>
      </c>
      <c r="H751" s="5"/>
      <c r="I751" s="62">
        <v>2760000</v>
      </c>
      <c r="J751" s="62">
        <v>2123.0769230769201</v>
      </c>
      <c r="K751" s="62">
        <v>1300</v>
      </c>
      <c r="L751" s="100" t="s">
        <v>476</v>
      </c>
      <c r="M751" s="5" t="s">
        <v>452</v>
      </c>
      <c r="N751" s="34" t="s">
        <v>464</v>
      </c>
      <c r="O751" s="5" t="s">
        <v>565</v>
      </c>
      <c r="P751" s="5" t="s">
        <v>454</v>
      </c>
      <c r="Q751" s="5" t="s">
        <v>566</v>
      </c>
      <c r="R751" s="5" t="s">
        <v>563</v>
      </c>
      <c r="S751" s="5" t="s">
        <v>567</v>
      </c>
      <c r="T751" s="5" t="s">
        <v>445</v>
      </c>
      <c r="U751" s="5"/>
      <c r="V751" s="5"/>
      <c r="W751" s="5"/>
      <c r="X751" s="5"/>
      <c r="Y751" s="5"/>
      <c r="Z751" s="5"/>
      <c r="AA751" s="5"/>
    </row>
    <row r="752" spans="5:27" customFormat="1">
      <c r="E752" s="88"/>
      <c r="F752" s="36" t="s">
        <v>295</v>
      </c>
      <c r="G752" s="5" t="s">
        <v>296</v>
      </c>
      <c r="H752" s="5"/>
      <c r="I752" s="62">
        <v>3085000</v>
      </c>
      <c r="J752" s="62">
        <v>2203.5714285714298</v>
      </c>
      <c r="K752" s="62">
        <v>1400</v>
      </c>
      <c r="L752" s="100" t="s">
        <v>834</v>
      </c>
      <c r="M752" s="5" t="s">
        <v>452</v>
      </c>
      <c r="N752" s="34" t="s">
        <v>464</v>
      </c>
      <c r="O752" s="5" t="s">
        <v>848</v>
      </c>
      <c r="P752" s="5" t="s">
        <v>597</v>
      </c>
      <c r="Q752" s="5" t="s">
        <v>849</v>
      </c>
      <c r="R752" s="5" t="s">
        <v>563</v>
      </c>
      <c r="S752" s="5" t="s">
        <v>850</v>
      </c>
      <c r="T752" s="5" t="s">
        <v>445</v>
      </c>
      <c r="U752" s="5"/>
      <c r="V752" s="5"/>
      <c r="W752" s="5"/>
      <c r="X752" s="5"/>
      <c r="Y752" s="5"/>
      <c r="Z752" s="5"/>
      <c r="AA752" s="5"/>
    </row>
    <row r="753" spans="5:27" customFormat="1">
      <c r="E753" s="88"/>
      <c r="F753" s="36" t="s">
        <v>295</v>
      </c>
      <c r="G753" s="5" t="s">
        <v>296</v>
      </c>
      <c r="H753" s="5"/>
      <c r="I753" s="62">
        <v>2720000</v>
      </c>
      <c r="J753" s="62">
        <v>1915.49295774648</v>
      </c>
      <c r="K753" s="62">
        <v>1420</v>
      </c>
      <c r="L753" s="100" t="s">
        <v>1104</v>
      </c>
      <c r="M753" s="5" t="s">
        <v>452</v>
      </c>
      <c r="N753" s="34" t="s">
        <v>464</v>
      </c>
      <c r="O753" s="5" t="s">
        <v>1108</v>
      </c>
      <c r="P753" s="5" t="s">
        <v>597</v>
      </c>
      <c r="Q753" s="5" t="s">
        <v>1109</v>
      </c>
      <c r="R753" s="5" t="s">
        <v>563</v>
      </c>
      <c r="S753" s="5" t="s">
        <v>1110</v>
      </c>
      <c r="T753" s="5" t="s">
        <v>445</v>
      </c>
      <c r="U753" s="5"/>
      <c r="V753" s="5"/>
      <c r="W753" s="5"/>
      <c r="X753" s="5"/>
      <c r="Y753" s="5"/>
      <c r="Z753" s="5"/>
      <c r="AA753" s="5"/>
    </row>
    <row r="754" spans="5:27" customFormat="1">
      <c r="E754" s="88"/>
      <c r="F754" s="36" t="s">
        <v>295</v>
      </c>
      <c r="G754" s="5" t="s">
        <v>296</v>
      </c>
      <c r="H754" s="5"/>
      <c r="I754" s="62">
        <v>4927500</v>
      </c>
      <c r="J754" s="62">
        <v>3470.0704225352101</v>
      </c>
      <c r="K754" s="62">
        <v>1420</v>
      </c>
      <c r="L754" s="100" t="s">
        <v>1030</v>
      </c>
      <c r="M754" s="5" t="s">
        <v>452</v>
      </c>
      <c r="N754" s="34" t="s">
        <v>464</v>
      </c>
      <c r="O754" s="5" t="s">
        <v>1132</v>
      </c>
      <c r="P754" s="5" t="s">
        <v>597</v>
      </c>
      <c r="Q754" s="5" t="s">
        <v>1133</v>
      </c>
      <c r="R754" s="5" t="s">
        <v>1134</v>
      </c>
      <c r="S754" s="5" t="s">
        <v>1135</v>
      </c>
      <c r="T754" s="5" t="s">
        <v>445</v>
      </c>
      <c r="U754" s="5"/>
      <c r="V754" s="5"/>
      <c r="W754" s="5"/>
      <c r="X754" s="5"/>
      <c r="Y754" s="5"/>
      <c r="Z754" s="5"/>
      <c r="AA754" s="5"/>
    </row>
    <row r="755" spans="5:27" customFormat="1">
      <c r="E755" s="88"/>
      <c r="F755" s="36" t="s">
        <v>295</v>
      </c>
      <c r="G755" s="5" t="s">
        <v>296</v>
      </c>
      <c r="H755" s="5"/>
      <c r="I755" s="62">
        <v>-18200</v>
      </c>
      <c r="J755" s="62">
        <v>-13.093525179856099</v>
      </c>
      <c r="K755" s="62">
        <v>1390</v>
      </c>
      <c r="L755" s="100" t="s">
        <v>628</v>
      </c>
      <c r="M755" s="5" t="s">
        <v>452</v>
      </c>
      <c r="N755" s="34" t="s">
        <v>464</v>
      </c>
      <c r="O755" s="5" t="s">
        <v>629</v>
      </c>
      <c r="P755" s="5" t="s">
        <v>597</v>
      </c>
      <c r="Q755" s="5" t="s">
        <v>630</v>
      </c>
      <c r="R755" s="5" t="s">
        <v>656</v>
      </c>
      <c r="S755" s="5" t="s">
        <v>632</v>
      </c>
      <c r="T755" s="5" t="s">
        <v>445</v>
      </c>
      <c r="U755" s="5"/>
      <c r="V755" s="5"/>
      <c r="W755" s="5"/>
      <c r="X755" s="5"/>
      <c r="Y755" s="5"/>
      <c r="Z755" s="5"/>
      <c r="AA755" s="5"/>
    </row>
    <row r="756" spans="5:27" customFormat="1">
      <c r="E756" s="88"/>
      <c r="F756" s="36" t="s">
        <v>295</v>
      </c>
      <c r="G756" s="5" t="s">
        <v>296</v>
      </c>
      <c r="H756" s="5"/>
      <c r="I756" s="62">
        <v>-45800</v>
      </c>
      <c r="J756" s="62">
        <v>-32.949640287769803</v>
      </c>
      <c r="K756" s="62">
        <v>1390</v>
      </c>
      <c r="L756" s="100" t="s">
        <v>628</v>
      </c>
      <c r="M756" s="5" t="s">
        <v>452</v>
      </c>
      <c r="N756" s="34" t="s">
        <v>464</v>
      </c>
      <c r="O756" s="5" t="s">
        <v>1019</v>
      </c>
      <c r="P756" s="5" t="s">
        <v>597</v>
      </c>
      <c r="Q756" s="5" t="s">
        <v>1020</v>
      </c>
      <c r="R756" s="5" t="s">
        <v>1025</v>
      </c>
      <c r="S756" s="5" t="s">
        <v>1022</v>
      </c>
      <c r="T756" s="5" t="s">
        <v>445</v>
      </c>
      <c r="U756" s="5"/>
      <c r="V756" s="5"/>
      <c r="W756" s="5"/>
      <c r="X756" s="5"/>
      <c r="Y756" s="5"/>
      <c r="Z756" s="5"/>
      <c r="AA756" s="5"/>
    </row>
    <row r="757" spans="5:27" customFormat="1">
      <c r="E757" s="88"/>
      <c r="F757" s="36" t="s">
        <v>295</v>
      </c>
      <c r="G757" s="5" t="s">
        <v>296</v>
      </c>
      <c r="H757" s="5"/>
      <c r="I757" s="62">
        <v>-122500</v>
      </c>
      <c r="J757" s="62">
        <v>-85.664335664335695</v>
      </c>
      <c r="K757" s="62">
        <v>1430</v>
      </c>
      <c r="L757" s="100" t="s">
        <v>751</v>
      </c>
      <c r="M757" s="5" t="s">
        <v>452</v>
      </c>
      <c r="N757" s="34" t="s">
        <v>464</v>
      </c>
      <c r="O757" s="5" t="s">
        <v>752</v>
      </c>
      <c r="P757" s="5" t="s">
        <v>597</v>
      </c>
      <c r="Q757" s="5" t="s">
        <v>753</v>
      </c>
      <c r="R757" s="5" t="s">
        <v>768</v>
      </c>
      <c r="S757" s="5" t="s">
        <v>755</v>
      </c>
      <c r="T757" s="5" t="s">
        <v>445</v>
      </c>
      <c r="U757" s="5"/>
      <c r="V757" s="5"/>
      <c r="W757" s="5"/>
      <c r="X757" s="5"/>
      <c r="Y757" s="5"/>
      <c r="Z757" s="5"/>
      <c r="AA757" s="5"/>
    </row>
    <row r="758" spans="5:27" customFormat="1">
      <c r="E758" s="88"/>
      <c r="F758" s="36" t="s">
        <v>295</v>
      </c>
      <c r="G758" s="5" t="s">
        <v>296</v>
      </c>
      <c r="H758" s="5"/>
      <c r="I758" s="62">
        <v>-28000</v>
      </c>
      <c r="J758" s="62">
        <v>-19.7183098591549</v>
      </c>
      <c r="K758" s="62">
        <v>1420</v>
      </c>
      <c r="L758" s="100" t="s">
        <v>1030</v>
      </c>
      <c r="M758" s="5" t="s">
        <v>452</v>
      </c>
      <c r="N758" s="34" t="s">
        <v>464</v>
      </c>
      <c r="O758" s="5" t="s">
        <v>1031</v>
      </c>
      <c r="P758" s="5" t="s">
        <v>597</v>
      </c>
      <c r="Q758" s="5" t="s">
        <v>1032</v>
      </c>
      <c r="R758" s="5" t="s">
        <v>1059</v>
      </c>
      <c r="S758" s="5" t="s">
        <v>1033</v>
      </c>
      <c r="T758" s="5" t="s">
        <v>445</v>
      </c>
      <c r="U758" s="5"/>
      <c r="V758" s="5"/>
      <c r="W758" s="5"/>
      <c r="X758" s="5"/>
      <c r="Y758" s="5"/>
      <c r="Z758" s="5"/>
      <c r="AA758" s="5"/>
    </row>
    <row r="759" spans="5:27" customFormat="1">
      <c r="E759" s="88"/>
      <c r="F759" s="36" t="s">
        <v>295</v>
      </c>
      <c r="G759" s="5" t="s">
        <v>296</v>
      </c>
      <c r="H759" s="5"/>
      <c r="I759" s="62">
        <v>-90000</v>
      </c>
      <c r="J759" s="62">
        <v>-60</v>
      </c>
      <c r="K759" s="62">
        <v>1500</v>
      </c>
      <c r="L759" s="100" t="s">
        <v>858</v>
      </c>
      <c r="M759" s="5" t="s">
        <v>452</v>
      </c>
      <c r="N759" s="34" t="s">
        <v>464</v>
      </c>
      <c r="O759" s="5" t="s">
        <v>880</v>
      </c>
      <c r="P759" s="5" t="s">
        <v>597</v>
      </c>
      <c r="Q759" s="5" t="s">
        <v>881</v>
      </c>
      <c r="R759" s="5" t="s">
        <v>894</v>
      </c>
      <c r="S759" s="5" t="s">
        <v>882</v>
      </c>
      <c r="T759" s="5" t="s">
        <v>445</v>
      </c>
      <c r="U759" s="5"/>
      <c r="V759" s="5"/>
      <c r="W759" s="5"/>
      <c r="X759" s="5"/>
      <c r="Y759" s="5"/>
      <c r="Z759" s="5"/>
      <c r="AA759" s="5"/>
    </row>
    <row r="760" spans="5:27" customFormat="1">
      <c r="E760" s="88"/>
      <c r="F760" s="36" t="s">
        <v>295</v>
      </c>
      <c r="G760" s="5" t="s">
        <v>296</v>
      </c>
      <c r="H760" s="5"/>
      <c r="I760" s="62">
        <v>-46885</v>
      </c>
      <c r="J760" s="62">
        <v>-33.251773049645401</v>
      </c>
      <c r="K760" s="62">
        <v>1410</v>
      </c>
      <c r="L760" s="100" t="s">
        <v>678</v>
      </c>
      <c r="M760" s="5" t="s">
        <v>452</v>
      </c>
      <c r="N760" s="34" t="s">
        <v>464</v>
      </c>
      <c r="O760" s="5" t="s">
        <v>683</v>
      </c>
      <c r="P760" s="5" t="s">
        <v>597</v>
      </c>
      <c r="Q760" s="5" t="s">
        <v>684</v>
      </c>
      <c r="R760" s="5" t="s">
        <v>705</v>
      </c>
      <c r="S760" s="5" t="s">
        <v>685</v>
      </c>
      <c r="T760" s="5" t="s">
        <v>445</v>
      </c>
      <c r="U760" s="5"/>
      <c r="V760" s="5"/>
      <c r="W760" s="5"/>
      <c r="X760" s="5"/>
      <c r="Y760" s="5"/>
      <c r="Z760" s="5"/>
      <c r="AA760" s="5"/>
    </row>
    <row r="761" spans="5:27" customFormat="1">
      <c r="E761" s="88"/>
      <c r="F761" s="36" t="s">
        <v>295</v>
      </c>
      <c r="G761" s="5" t="s">
        <v>296</v>
      </c>
      <c r="H761" s="5"/>
      <c r="I761" s="62">
        <v>-283207</v>
      </c>
      <c r="J761" s="62">
        <v>-203.746043165468</v>
      </c>
      <c r="K761" s="62">
        <v>1390</v>
      </c>
      <c r="L761" s="100" t="s">
        <v>628</v>
      </c>
      <c r="M761" s="5" t="s">
        <v>452</v>
      </c>
      <c r="N761" s="34" t="s">
        <v>464</v>
      </c>
      <c r="O761" s="5" t="s">
        <v>1019</v>
      </c>
      <c r="P761" s="5" t="s">
        <v>597</v>
      </c>
      <c r="Q761" s="5" t="s">
        <v>1020</v>
      </c>
      <c r="R761" s="5" t="s">
        <v>1027</v>
      </c>
      <c r="S761" s="5" t="s">
        <v>1022</v>
      </c>
      <c r="T761" s="5" t="s">
        <v>445</v>
      </c>
      <c r="U761" s="5"/>
      <c r="V761" s="5"/>
      <c r="W761" s="5"/>
      <c r="X761" s="5"/>
      <c r="Y761" s="5"/>
      <c r="Z761" s="5"/>
      <c r="AA761" s="5"/>
    </row>
    <row r="762" spans="5:27" customFormat="1">
      <c r="E762" s="88"/>
      <c r="F762" s="36" t="s">
        <v>295</v>
      </c>
      <c r="G762" s="5" t="s">
        <v>296</v>
      </c>
      <c r="H762" s="5"/>
      <c r="I762" s="62">
        <v>-693302</v>
      </c>
      <c r="J762" s="62">
        <v>-498.77841726618698</v>
      </c>
      <c r="K762" s="62">
        <v>1390</v>
      </c>
      <c r="L762" s="100" t="s">
        <v>628</v>
      </c>
      <c r="M762" s="5" t="s">
        <v>452</v>
      </c>
      <c r="N762" s="34" t="s">
        <v>464</v>
      </c>
      <c r="O762" s="5" t="s">
        <v>1019</v>
      </c>
      <c r="P762" s="5" t="s">
        <v>597</v>
      </c>
      <c r="Q762" s="5" t="s">
        <v>1020</v>
      </c>
      <c r="R762" s="5" t="s">
        <v>1027</v>
      </c>
      <c r="S762" s="5" t="s">
        <v>1022</v>
      </c>
      <c r="T762" s="5" t="s">
        <v>445</v>
      </c>
      <c r="U762" s="5"/>
      <c r="V762" s="5"/>
      <c r="W762" s="5"/>
      <c r="X762" s="5"/>
      <c r="Y762" s="5"/>
      <c r="Z762" s="5"/>
      <c r="AA762" s="5"/>
    </row>
    <row r="763" spans="5:27" customFormat="1">
      <c r="E763" s="88"/>
      <c r="F763" s="36" t="s">
        <v>295</v>
      </c>
      <c r="G763" s="5" t="s">
        <v>296</v>
      </c>
      <c r="H763" s="5"/>
      <c r="I763" s="62">
        <v>-298122</v>
      </c>
      <c r="J763" s="62">
        <v>-214.47625899280601</v>
      </c>
      <c r="K763" s="62">
        <v>1390</v>
      </c>
      <c r="L763" s="100" t="s">
        <v>628</v>
      </c>
      <c r="M763" s="5" t="s">
        <v>452</v>
      </c>
      <c r="N763" s="34" t="s">
        <v>464</v>
      </c>
      <c r="O763" s="5" t="s">
        <v>1019</v>
      </c>
      <c r="P763" s="5" t="s">
        <v>597</v>
      </c>
      <c r="Q763" s="5" t="s">
        <v>1020</v>
      </c>
      <c r="R763" s="5" t="s">
        <v>1029</v>
      </c>
      <c r="S763" s="5" t="s">
        <v>1022</v>
      </c>
      <c r="T763" s="5" t="s">
        <v>445</v>
      </c>
      <c r="U763" s="5"/>
      <c r="V763" s="5"/>
      <c r="W763" s="5"/>
      <c r="X763" s="5"/>
      <c r="Y763" s="5"/>
      <c r="Z763" s="5"/>
      <c r="AA763" s="5"/>
    </row>
    <row r="764" spans="5:27" customFormat="1">
      <c r="E764" s="88"/>
      <c r="F764" s="36" t="s">
        <v>295</v>
      </c>
      <c r="G764" s="5" t="s">
        <v>296</v>
      </c>
      <c r="H764" s="5"/>
      <c r="I764" s="62">
        <v>-103906</v>
      </c>
      <c r="J764" s="62">
        <v>-73.692198581560305</v>
      </c>
      <c r="K764" s="62">
        <v>1410</v>
      </c>
      <c r="L764" s="100" t="s">
        <v>678</v>
      </c>
      <c r="M764" s="5" t="s">
        <v>452</v>
      </c>
      <c r="N764" s="34" t="s">
        <v>464</v>
      </c>
      <c r="O764" s="5" t="s">
        <v>683</v>
      </c>
      <c r="P764" s="5" t="s">
        <v>597</v>
      </c>
      <c r="Q764" s="5" t="s">
        <v>684</v>
      </c>
      <c r="R764" s="5" t="s">
        <v>696</v>
      </c>
      <c r="S764" s="5" t="s">
        <v>685</v>
      </c>
      <c r="T764" s="5" t="s">
        <v>445</v>
      </c>
      <c r="U764" s="5"/>
      <c r="V764" s="5"/>
      <c r="W764" s="5"/>
      <c r="X764" s="5"/>
      <c r="Y764" s="5"/>
      <c r="Z764" s="5"/>
      <c r="AA764" s="5"/>
    </row>
    <row r="765" spans="5:27" customFormat="1">
      <c r="E765" s="88"/>
      <c r="F765" s="36" t="s">
        <v>295</v>
      </c>
      <c r="G765" s="5" t="s">
        <v>296</v>
      </c>
      <c r="H765" s="5"/>
      <c r="I765" s="62">
        <v>-48450</v>
      </c>
      <c r="J765" s="62">
        <v>-32.299999999999997</v>
      </c>
      <c r="K765" s="62">
        <v>1500</v>
      </c>
      <c r="L765" s="100" t="s">
        <v>858</v>
      </c>
      <c r="M765" s="5" t="s">
        <v>452</v>
      </c>
      <c r="N765" s="34" t="s">
        <v>464</v>
      </c>
      <c r="O765" s="5" t="s">
        <v>880</v>
      </c>
      <c r="P765" s="5" t="s">
        <v>597</v>
      </c>
      <c r="Q765" s="5" t="s">
        <v>881</v>
      </c>
      <c r="R765" s="5" t="s">
        <v>895</v>
      </c>
      <c r="S765" s="5" t="s">
        <v>882</v>
      </c>
      <c r="T765" s="5" t="s">
        <v>445</v>
      </c>
      <c r="U765" s="5"/>
      <c r="V765" s="5"/>
      <c r="W765" s="5"/>
      <c r="X765" s="5"/>
      <c r="Y765" s="5"/>
      <c r="Z765" s="5"/>
      <c r="AA765" s="5"/>
    </row>
    <row r="766" spans="5:27" customFormat="1">
      <c r="E766" s="88"/>
      <c r="F766" s="36" t="s">
        <v>295</v>
      </c>
      <c r="G766" s="5" t="s">
        <v>296</v>
      </c>
      <c r="H766" s="5"/>
      <c r="I766" s="62">
        <v>-36000</v>
      </c>
      <c r="J766" s="62">
        <v>-25.174825174825202</v>
      </c>
      <c r="K766" s="62">
        <v>1430</v>
      </c>
      <c r="L766" s="100" t="s">
        <v>751</v>
      </c>
      <c r="M766" s="5" t="s">
        <v>452</v>
      </c>
      <c r="N766" s="34" t="s">
        <v>464</v>
      </c>
      <c r="O766" s="5" t="s">
        <v>752</v>
      </c>
      <c r="P766" s="5" t="s">
        <v>597</v>
      </c>
      <c r="Q766" s="5" t="s">
        <v>753</v>
      </c>
      <c r="R766" s="5" t="s">
        <v>762</v>
      </c>
      <c r="S766" s="5" t="s">
        <v>755</v>
      </c>
      <c r="T766" s="5" t="s">
        <v>445</v>
      </c>
      <c r="U766" s="5"/>
      <c r="V766" s="5"/>
      <c r="W766" s="5"/>
      <c r="X766" s="5"/>
      <c r="Y766" s="5"/>
      <c r="Z766" s="5"/>
      <c r="AA766" s="5"/>
    </row>
    <row r="767" spans="5:27" customFormat="1">
      <c r="E767" s="88"/>
      <c r="F767" s="36" t="s">
        <v>295</v>
      </c>
      <c r="G767" s="5" t="s">
        <v>296</v>
      </c>
      <c r="H767" s="5"/>
      <c r="I767" s="62">
        <v>-380000</v>
      </c>
      <c r="J767" s="62">
        <v>-267.60563380281701</v>
      </c>
      <c r="K767" s="62">
        <v>1420</v>
      </c>
      <c r="L767" s="100" t="s">
        <v>1030</v>
      </c>
      <c r="M767" s="5" t="s">
        <v>452</v>
      </c>
      <c r="N767" s="34" t="s">
        <v>464</v>
      </c>
      <c r="O767" s="5" t="s">
        <v>1031</v>
      </c>
      <c r="P767" s="5" t="s">
        <v>597</v>
      </c>
      <c r="Q767" s="5" t="s">
        <v>1032</v>
      </c>
      <c r="R767" s="5" t="s">
        <v>1048</v>
      </c>
      <c r="S767" s="5" t="s">
        <v>1033</v>
      </c>
      <c r="T767" s="5" t="s">
        <v>445</v>
      </c>
      <c r="U767" s="5"/>
      <c r="V767" s="5"/>
      <c r="W767" s="5"/>
      <c r="X767" s="5"/>
      <c r="Y767" s="5"/>
      <c r="Z767" s="5"/>
      <c r="AA767" s="5"/>
    </row>
    <row r="768" spans="5:27" customFormat="1">
      <c r="E768" s="88"/>
      <c r="F768" s="36" t="s">
        <v>295</v>
      </c>
      <c r="G768" s="5" t="s">
        <v>296</v>
      </c>
      <c r="H768" s="5"/>
      <c r="I768" s="62">
        <v>-72700</v>
      </c>
      <c r="J768" s="62">
        <v>-51.197183098591601</v>
      </c>
      <c r="K768" s="62">
        <v>1420</v>
      </c>
      <c r="L768" s="100" t="s">
        <v>1030</v>
      </c>
      <c r="M768" s="5" t="s">
        <v>452</v>
      </c>
      <c r="N768" s="34" t="s">
        <v>464</v>
      </c>
      <c r="O768" s="5" t="s">
        <v>1031</v>
      </c>
      <c r="P768" s="5" t="s">
        <v>597</v>
      </c>
      <c r="Q768" s="5" t="s">
        <v>1032</v>
      </c>
      <c r="R768" s="5" t="s">
        <v>1044</v>
      </c>
      <c r="S768" s="5" t="s">
        <v>1033</v>
      </c>
      <c r="T768" s="5" t="s">
        <v>445</v>
      </c>
      <c r="U768" s="5"/>
      <c r="V768" s="5"/>
      <c r="W768" s="5"/>
      <c r="X768" s="5"/>
      <c r="Y768" s="5"/>
      <c r="Z768" s="5"/>
      <c r="AA768" s="5"/>
    </row>
    <row r="769" spans="5:27" customFormat="1">
      <c r="E769" s="88"/>
      <c r="F769" s="36" t="s">
        <v>295</v>
      </c>
      <c r="G769" s="5" t="s">
        <v>296</v>
      </c>
      <c r="H769" s="5"/>
      <c r="I769" s="62">
        <v>-76000</v>
      </c>
      <c r="J769" s="62">
        <v>-54.676258992805799</v>
      </c>
      <c r="K769" s="62">
        <v>1390</v>
      </c>
      <c r="L769" s="100" t="s">
        <v>628</v>
      </c>
      <c r="M769" s="5" t="s">
        <v>452</v>
      </c>
      <c r="N769" s="34" t="s">
        <v>464</v>
      </c>
      <c r="O769" s="5" t="s">
        <v>629</v>
      </c>
      <c r="P769" s="5" t="s">
        <v>597</v>
      </c>
      <c r="Q769" s="5" t="s">
        <v>630</v>
      </c>
      <c r="R769" s="5" t="s">
        <v>664</v>
      </c>
      <c r="S769" s="5" t="s">
        <v>632</v>
      </c>
      <c r="T769" s="5" t="s">
        <v>445</v>
      </c>
      <c r="U769" s="5"/>
      <c r="V769" s="5"/>
      <c r="W769" s="5"/>
      <c r="X769" s="5"/>
      <c r="Y769" s="5"/>
      <c r="Z769" s="5"/>
      <c r="AA769" s="5"/>
    </row>
    <row r="770" spans="5:27" customFormat="1">
      <c r="E770" s="88"/>
      <c r="F770" s="36" t="s">
        <v>295</v>
      </c>
      <c r="G770" s="5" t="s">
        <v>296</v>
      </c>
      <c r="H770" s="5"/>
      <c r="I770" s="62">
        <v>-185922</v>
      </c>
      <c r="J770" s="62">
        <v>-130.93098591549301</v>
      </c>
      <c r="K770" s="62">
        <v>1420</v>
      </c>
      <c r="L770" s="100" t="s">
        <v>1030</v>
      </c>
      <c r="M770" s="5" t="s">
        <v>452</v>
      </c>
      <c r="N770" s="34" t="s">
        <v>464</v>
      </c>
      <c r="O770" s="5" t="s">
        <v>1031</v>
      </c>
      <c r="P770" s="5" t="s">
        <v>597</v>
      </c>
      <c r="Q770" s="5" t="s">
        <v>1032</v>
      </c>
      <c r="R770" s="5" t="s">
        <v>1054</v>
      </c>
      <c r="S770" s="5" t="s">
        <v>1033</v>
      </c>
      <c r="T770" s="5" t="s">
        <v>445</v>
      </c>
      <c r="U770" s="5"/>
      <c r="V770" s="5"/>
      <c r="W770" s="5"/>
      <c r="X770" s="5"/>
      <c r="Y770" s="5"/>
      <c r="Z770" s="5"/>
      <c r="AA770" s="5"/>
    </row>
    <row r="771" spans="5:27" customFormat="1">
      <c r="E771" s="88"/>
      <c r="F771" s="36" t="s">
        <v>295</v>
      </c>
      <c r="G771" s="5" t="s">
        <v>296</v>
      </c>
      <c r="H771" s="5"/>
      <c r="I771" s="62">
        <v>-30000</v>
      </c>
      <c r="J771" s="62">
        <v>-23.076923076923102</v>
      </c>
      <c r="K771" s="62">
        <v>1300</v>
      </c>
      <c r="L771" s="100" t="s">
        <v>476</v>
      </c>
      <c r="M771" s="5" t="s">
        <v>452</v>
      </c>
      <c r="N771" s="34" t="s">
        <v>464</v>
      </c>
      <c r="O771" s="5" t="s">
        <v>477</v>
      </c>
      <c r="P771" s="5" t="s">
        <v>454</v>
      </c>
      <c r="Q771" s="5" t="s">
        <v>478</v>
      </c>
      <c r="R771" s="5" t="s">
        <v>491</v>
      </c>
      <c r="S771" s="5" t="s">
        <v>480</v>
      </c>
      <c r="T771" s="5" t="s">
        <v>445</v>
      </c>
      <c r="U771" s="5"/>
      <c r="V771" s="5"/>
      <c r="W771" s="5"/>
      <c r="X771" s="5"/>
      <c r="Y771" s="5"/>
      <c r="Z771" s="5"/>
      <c r="AA771" s="5"/>
    </row>
    <row r="772" spans="5:27" customFormat="1">
      <c r="E772" s="88"/>
      <c r="F772" s="36" t="s">
        <v>295</v>
      </c>
      <c r="G772" s="5" t="s">
        <v>296</v>
      </c>
      <c r="H772" s="5"/>
      <c r="I772" s="62">
        <v>-30000</v>
      </c>
      <c r="J772" s="62">
        <v>-21.582733812949598</v>
      </c>
      <c r="K772" s="62">
        <v>1390</v>
      </c>
      <c r="L772" s="100" t="s">
        <v>628</v>
      </c>
      <c r="M772" s="5" t="s">
        <v>452</v>
      </c>
      <c r="N772" s="34" t="s">
        <v>464</v>
      </c>
      <c r="O772" s="5" t="s">
        <v>629</v>
      </c>
      <c r="P772" s="5" t="s">
        <v>597</v>
      </c>
      <c r="Q772" s="5" t="s">
        <v>630</v>
      </c>
      <c r="R772" s="5" t="s">
        <v>491</v>
      </c>
      <c r="S772" s="5" t="s">
        <v>632</v>
      </c>
      <c r="T772" s="5" t="s">
        <v>445</v>
      </c>
      <c r="U772" s="5"/>
      <c r="V772" s="5"/>
      <c r="W772" s="5"/>
      <c r="X772" s="5"/>
      <c r="Y772" s="5"/>
      <c r="Z772" s="5"/>
      <c r="AA772" s="5"/>
    </row>
    <row r="773" spans="5:27" customFormat="1">
      <c r="E773" s="88"/>
      <c r="F773" s="36" t="s">
        <v>295</v>
      </c>
      <c r="G773" s="5" t="s">
        <v>296</v>
      </c>
      <c r="H773" s="5"/>
      <c r="I773" s="62">
        <v>-30000</v>
      </c>
      <c r="J773" s="62">
        <v>-21.2765957446809</v>
      </c>
      <c r="K773" s="62">
        <v>1410</v>
      </c>
      <c r="L773" s="100" t="s">
        <v>678</v>
      </c>
      <c r="M773" s="5" t="s">
        <v>452</v>
      </c>
      <c r="N773" s="34" t="s">
        <v>464</v>
      </c>
      <c r="O773" s="5" t="s">
        <v>683</v>
      </c>
      <c r="P773" s="5" t="s">
        <v>597</v>
      </c>
      <c r="Q773" s="5" t="s">
        <v>684</v>
      </c>
      <c r="R773" s="5" t="s">
        <v>491</v>
      </c>
      <c r="S773" s="5" t="s">
        <v>685</v>
      </c>
      <c r="T773" s="5" t="s">
        <v>445</v>
      </c>
      <c r="U773" s="5"/>
      <c r="V773" s="5"/>
      <c r="W773" s="5"/>
      <c r="X773" s="5"/>
      <c r="Y773" s="5"/>
      <c r="Z773" s="5"/>
      <c r="AA773" s="5"/>
    </row>
    <row r="774" spans="5:27" customFormat="1">
      <c r="E774" s="88"/>
      <c r="F774" s="36" t="s">
        <v>295</v>
      </c>
      <c r="G774" s="5" t="s">
        <v>296</v>
      </c>
      <c r="H774" s="5"/>
      <c r="I774" s="62">
        <v>-20000</v>
      </c>
      <c r="J774" s="62">
        <v>-13.986013986013999</v>
      </c>
      <c r="K774" s="62">
        <v>1430</v>
      </c>
      <c r="L774" s="100" t="s">
        <v>751</v>
      </c>
      <c r="M774" s="5" t="s">
        <v>452</v>
      </c>
      <c r="N774" s="34" t="s">
        <v>464</v>
      </c>
      <c r="O774" s="5" t="s">
        <v>752</v>
      </c>
      <c r="P774" s="5" t="s">
        <v>597</v>
      </c>
      <c r="Q774" s="5" t="s">
        <v>753</v>
      </c>
      <c r="R774" s="5" t="s">
        <v>491</v>
      </c>
      <c r="S774" s="5" t="s">
        <v>755</v>
      </c>
      <c r="T774" s="5" t="s">
        <v>445</v>
      </c>
      <c r="U774" s="5"/>
      <c r="V774" s="5"/>
      <c r="W774" s="5"/>
      <c r="X774" s="5"/>
      <c r="Y774" s="5"/>
      <c r="Z774" s="5"/>
      <c r="AA774" s="5"/>
    </row>
    <row r="775" spans="5:27" customFormat="1">
      <c r="E775" s="88"/>
      <c r="F775" s="36" t="s">
        <v>295</v>
      </c>
      <c r="G775" s="5" t="s">
        <v>296</v>
      </c>
      <c r="H775" s="5"/>
      <c r="I775" s="62">
        <v>-30000</v>
      </c>
      <c r="J775" s="62">
        <v>-20</v>
      </c>
      <c r="K775" s="62">
        <v>1500</v>
      </c>
      <c r="L775" s="100" t="s">
        <v>858</v>
      </c>
      <c r="M775" s="5" t="s">
        <v>452</v>
      </c>
      <c r="N775" s="34" t="s">
        <v>464</v>
      </c>
      <c r="O775" s="5" t="s">
        <v>880</v>
      </c>
      <c r="P775" s="5" t="s">
        <v>597</v>
      </c>
      <c r="Q775" s="5" t="s">
        <v>881</v>
      </c>
      <c r="R775" s="5" t="s">
        <v>491</v>
      </c>
      <c r="S775" s="5" t="s">
        <v>882</v>
      </c>
      <c r="T775" s="5" t="s">
        <v>445</v>
      </c>
      <c r="U775" s="5"/>
      <c r="V775" s="5"/>
      <c r="W775" s="5"/>
      <c r="X775" s="5"/>
      <c r="Y775" s="5"/>
      <c r="Z775" s="5"/>
      <c r="AA775" s="5"/>
    </row>
    <row r="776" spans="5:27" customFormat="1">
      <c r="E776" s="88"/>
      <c r="F776" s="36" t="s">
        <v>295</v>
      </c>
      <c r="G776" s="5" t="s">
        <v>296</v>
      </c>
      <c r="H776" s="5"/>
      <c r="I776" s="62">
        <v>-38600</v>
      </c>
      <c r="J776" s="62">
        <v>-25.733333333333299</v>
      </c>
      <c r="K776" s="62">
        <v>1500</v>
      </c>
      <c r="L776" s="100" t="s">
        <v>858</v>
      </c>
      <c r="M776" s="5" t="s">
        <v>452</v>
      </c>
      <c r="N776" s="34" t="s">
        <v>464</v>
      </c>
      <c r="O776" s="5" t="s">
        <v>880</v>
      </c>
      <c r="P776" s="5" t="s">
        <v>597</v>
      </c>
      <c r="Q776" s="5" t="s">
        <v>881</v>
      </c>
      <c r="R776" s="5" t="s">
        <v>491</v>
      </c>
      <c r="S776" s="5" t="s">
        <v>882</v>
      </c>
      <c r="T776" s="5" t="s">
        <v>445</v>
      </c>
      <c r="U776" s="5"/>
      <c r="V776" s="5"/>
      <c r="W776" s="5"/>
      <c r="X776" s="5"/>
      <c r="Y776" s="5"/>
      <c r="Z776" s="5"/>
      <c r="AA776" s="5"/>
    </row>
    <row r="777" spans="5:27" customFormat="1">
      <c r="E777" s="88"/>
      <c r="F777" s="36" t="s">
        <v>295</v>
      </c>
      <c r="G777" s="5" t="s">
        <v>296</v>
      </c>
      <c r="H777" s="5"/>
      <c r="I777" s="62">
        <v>-20000</v>
      </c>
      <c r="J777" s="62">
        <v>-14.084507042253501</v>
      </c>
      <c r="K777" s="62">
        <v>1420</v>
      </c>
      <c r="L777" s="100" t="s">
        <v>1030</v>
      </c>
      <c r="M777" s="5" t="s">
        <v>452</v>
      </c>
      <c r="N777" s="34" t="s">
        <v>464</v>
      </c>
      <c r="O777" s="5" t="s">
        <v>1031</v>
      </c>
      <c r="P777" s="5" t="s">
        <v>597</v>
      </c>
      <c r="Q777" s="5" t="s">
        <v>1032</v>
      </c>
      <c r="R777" s="5" t="s">
        <v>491</v>
      </c>
      <c r="S777" s="5" t="s">
        <v>1033</v>
      </c>
      <c r="T777" s="5" t="s">
        <v>445</v>
      </c>
      <c r="U777" s="5"/>
      <c r="V777" s="5"/>
      <c r="W777" s="5"/>
      <c r="X777" s="5"/>
      <c r="Y777" s="5"/>
      <c r="Z777" s="5"/>
      <c r="AA777" s="5"/>
    </row>
    <row r="778" spans="5:27" customFormat="1">
      <c r="E778" s="88"/>
      <c r="F778" s="36" t="s">
        <v>295</v>
      </c>
      <c r="G778" s="5" t="s">
        <v>296</v>
      </c>
      <c r="H778" s="5"/>
      <c r="I778" s="62">
        <v>-99050</v>
      </c>
      <c r="J778" s="62">
        <v>-69.753521126760603</v>
      </c>
      <c r="K778" s="62">
        <v>1420</v>
      </c>
      <c r="L778" s="100" t="s">
        <v>1030</v>
      </c>
      <c r="M778" s="5" t="s">
        <v>452</v>
      </c>
      <c r="N778" s="34" t="s">
        <v>464</v>
      </c>
      <c r="O778" s="5" t="s">
        <v>1031</v>
      </c>
      <c r="P778" s="5" t="s">
        <v>597</v>
      </c>
      <c r="Q778" s="5" t="s">
        <v>1032</v>
      </c>
      <c r="R778" s="5" t="s">
        <v>1057</v>
      </c>
      <c r="S778" s="5" t="s">
        <v>1033</v>
      </c>
      <c r="T778" s="5" t="s">
        <v>445</v>
      </c>
      <c r="U778" s="5"/>
      <c r="V778" s="5"/>
      <c r="W778" s="5"/>
      <c r="X778" s="5"/>
      <c r="Y778" s="5"/>
      <c r="Z778" s="5"/>
      <c r="AA778" s="5"/>
    </row>
    <row r="779" spans="5:27" customFormat="1">
      <c r="E779" s="88"/>
      <c r="F779" s="36" t="s">
        <v>295</v>
      </c>
      <c r="G779" s="5" t="s">
        <v>296</v>
      </c>
      <c r="H779" s="5"/>
      <c r="I779" s="62">
        <v>-33000</v>
      </c>
      <c r="J779" s="62">
        <v>-23.404255319148898</v>
      </c>
      <c r="K779" s="62">
        <v>1410</v>
      </c>
      <c r="L779" s="100" t="s">
        <v>678</v>
      </c>
      <c r="M779" s="5" t="s">
        <v>452</v>
      </c>
      <c r="N779" s="34" t="s">
        <v>464</v>
      </c>
      <c r="O779" s="5" t="s">
        <v>683</v>
      </c>
      <c r="P779" s="5" t="s">
        <v>597</v>
      </c>
      <c r="Q779" s="5" t="s">
        <v>684</v>
      </c>
      <c r="R779" s="5" t="s">
        <v>686</v>
      </c>
      <c r="S779" s="5" t="s">
        <v>685</v>
      </c>
      <c r="T779" s="5" t="s">
        <v>445</v>
      </c>
      <c r="U779" s="5"/>
      <c r="V779" s="5"/>
      <c r="W779" s="5"/>
      <c r="X779" s="5"/>
      <c r="Y779" s="5"/>
      <c r="Z779" s="5"/>
      <c r="AA779" s="5"/>
    </row>
    <row r="780" spans="5:27" customFormat="1">
      <c r="E780" s="88"/>
      <c r="F780" s="36" t="s">
        <v>295</v>
      </c>
      <c r="G780" s="5" t="s">
        <v>296</v>
      </c>
      <c r="H780" s="5"/>
      <c r="I780" s="62">
        <v>-281200</v>
      </c>
      <c r="J780" s="62">
        <v>-187.46666666666701</v>
      </c>
      <c r="K780" s="62">
        <v>1500</v>
      </c>
      <c r="L780" s="100" t="s">
        <v>858</v>
      </c>
      <c r="M780" s="5" t="s">
        <v>452</v>
      </c>
      <c r="N780" s="34" t="s">
        <v>464</v>
      </c>
      <c r="O780" s="5" t="s">
        <v>880</v>
      </c>
      <c r="P780" s="5" t="s">
        <v>597</v>
      </c>
      <c r="Q780" s="5" t="s">
        <v>881</v>
      </c>
      <c r="R780" s="5" t="s">
        <v>886</v>
      </c>
      <c r="S780" s="5" t="s">
        <v>882</v>
      </c>
      <c r="T780" s="5" t="s">
        <v>445</v>
      </c>
      <c r="U780" s="5"/>
      <c r="V780" s="5"/>
      <c r="W780" s="5"/>
      <c r="X780" s="5"/>
      <c r="Y780" s="5"/>
      <c r="Z780" s="5"/>
      <c r="AA780" s="5"/>
    </row>
    <row r="781" spans="5:27" customFormat="1">
      <c r="E781" s="88"/>
      <c r="F781" s="36" t="s">
        <v>295</v>
      </c>
      <c r="G781" s="5" t="s">
        <v>296</v>
      </c>
      <c r="H781" s="5"/>
      <c r="I781" s="62">
        <v>-73600</v>
      </c>
      <c r="J781" s="62">
        <v>-49.066666666666698</v>
      </c>
      <c r="K781" s="62">
        <v>1500</v>
      </c>
      <c r="L781" s="100" t="s">
        <v>858</v>
      </c>
      <c r="M781" s="5" t="s">
        <v>452</v>
      </c>
      <c r="N781" s="34" t="s">
        <v>464</v>
      </c>
      <c r="O781" s="5" t="s">
        <v>880</v>
      </c>
      <c r="P781" s="5" t="s">
        <v>597</v>
      </c>
      <c r="Q781" s="5" t="s">
        <v>881</v>
      </c>
      <c r="R781" s="5" t="s">
        <v>899</v>
      </c>
      <c r="S781" s="5" t="s">
        <v>882</v>
      </c>
      <c r="T781" s="5" t="s">
        <v>445</v>
      </c>
      <c r="U781" s="5"/>
      <c r="V781" s="5"/>
      <c r="W781" s="5"/>
      <c r="X781" s="5"/>
      <c r="Y781" s="5"/>
      <c r="Z781" s="5"/>
      <c r="AA781" s="5"/>
    </row>
    <row r="782" spans="5:27" customFormat="1">
      <c r="E782" s="88"/>
      <c r="F782" s="36" t="s">
        <v>295</v>
      </c>
      <c r="G782" s="5" t="s">
        <v>296</v>
      </c>
      <c r="H782" s="5"/>
      <c r="I782" s="62">
        <v>-234619</v>
      </c>
      <c r="J782" s="62">
        <v>-164.06923076923101</v>
      </c>
      <c r="K782" s="62">
        <v>1430</v>
      </c>
      <c r="L782" s="100" t="s">
        <v>751</v>
      </c>
      <c r="M782" s="5" t="s">
        <v>452</v>
      </c>
      <c r="N782" s="34" t="s">
        <v>464</v>
      </c>
      <c r="O782" s="5" t="s">
        <v>752</v>
      </c>
      <c r="P782" s="5" t="s">
        <v>597</v>
      </c>
      <c r="Q782" s="5" t="s">
        <v>753</v>
      </c>
      <c r="R782" s="5" t="s">
        <v>758</v>
      </c>
      <c r="S782" s="5" t="s">
        <v>755</v>
      </c>
      <c r="T782" s="5" t="s">
        <v>445</v>
      </c>
      <c r="U782" s="5"/>
      <c r="V782" s="5"/>
      <c r="W782" s="5"/>
      <c r="X782" s="5"/>
      <c r="Y782" s="5"/>
      <c r="Z782" s="5"/>
      <c r="AA782" s="5"/>
    </row>
    <row r="783" spans="5:27" customFormat="1">
      <c r="E783" s="88"/>
      <c r="F783" s="36" t="s">
        <v>295</v>
      </c>
      <c r="G783" s="5" t="s">
        <v>296</v>
      </c>
      <c r="H783" s="5"/>
      <c r="I783" s="62">
        <v>-123957</v>
      </c>
      <c r="J783" s="62">
        <v>-89.177697841726598</v>
      </c>
      <c r="K783" s="62">
        <v>1390</v>
      </c>
      <c r="L783" s="100" t="s">
        <v>628</v>
      </c>
      <c r="M783" s="5" t="s">
        <v>452</v>
      </c>
      <c r="N783" s="34" t="s">
        <v>464</v>
      </c>
      <c r="O783" s="5" t="s">
        <v>629</v>
      </c>
      <c r="P783" s="5" t="s">
        <v>597</v>
      </c>
      <c r="Q783" s="5" t="s">
        <v>630</v>
      </c>
      <c r="R783" s="5" t="s">
        <v>651</v>
      </c>
      <c r="S783" s="5" t="s">
        <v>632</v>
      </c>
      <c r="T783" s="5" t="s">
        <v>445</v>
      </c>
      <c r="U783" s="5"/>
      <c r="V783" s="5"/>
      <c r="W783" s="5"/>
      <c r="X783" s="5"/>
      <c r="Y783" s="5"/>
      <c r="Z783" s="5"/>
      <c r="AA783" s="5"/>
    </row>
    <row r="784" spans="5:27" customFormat="1">
      <c r="E784" s="88"/>
      <c r="F784" s="36" t="s">
        <v>295</v>
      </c>
      <c r="G784" s="5" t="s">
        <v>296</v>
      </c>
      <c r="H784" s="5"/>
      <c r="I784" s="62">
        <v>-152000</v>
      </c>
      <c r="J784" s="62">
        <v>-109.352517985612</v>
      </c>
      <c r="K784" s="62">
        <v>1390</v>
      </c>
      <c r="L784" s="100" t="s">
        <v>628</v>
      </c>
      <c r="M784" s="5" t="s">
        <v>452</v>
      </c>
      <c r="N784" s="34" t="s">
        <v>464</v>
      </c>
      <c r="O784" s="5" t="s">
        <v>629</v>
      </c>
      <c r="P784" s="5" t="s">
        <v>597</v>
      </c>
      <c r="Q784" s="5" t="s">
        <v>630</v>
      </c>
      <c r="R784" s="5" t="s">
        <v>651</v>
      </c>
      <c r="S784" s="5" t="s">
        <v>632</v>
      </c>
      <c r="T784" s="5" t="s">
        <v>445</v>
      </c>
      <c r="U784" s="5"/>
      <c r="V784" s="5"/>
      <c r="W784" s="5"/>
      <c r="X784" s="5"/>
      <c r="Y784" s="5"/>
      <c r="Z784" s="5"/>
      <c r="AA784" s="5"/>
    </row>
    <row r="785" spans="5:27" customFormat="1">
      <c r="E785" s="88"/>
      <c r="F785" s="36" t="s">
        <v>295</v>
      </c>
      <c r="G785" s="5" t="s">
        <v>296</v>
      </c>
      <c r="H785" s="5"/>
      <c r="I785" s="62">
        <v>-181420</v>
      </c>
      <c r="J785" s="62">
        <v>-126.86713286713299</v>
      </c>
      <c r="K785" s="62">
        <v>1430</v>
      </c>
      <c r="L785" s="100" t="s">
        <v>751</v>
      </c>
      <c r="M785" s="5" t="s">
        <v>452</v>
      </c>
      <c r="N785" s="34" t="s">
        <v>464</v>
      </c>
      <c r="O785" s="5" t="s">
        <v>752</v>
      </c>
      <c r="P785" s="5" t="s">
        <v>597</v>
      </c>
      <c r="Q785" s="5" t="s">
        <v>753</v>
      </c>
      <c r="R785" s="5" t="s">
        <v>651</v>
      </c>
      <c r="S785" s="5" t="s">
        <v>755</v>
      </c>
      <c r="T785" s="5" t="s">
        <v>445</v>
      </c>
      <c r="U785" s="5"/>
      <c r="V785" s="5"/>
      <c r="W785" s="5"/>
      <c r="X785" s="5"/>
      <c r="Y785" s="5"/>
      <c r="Z785" s="5"/>
      <c r="AA785" s="5"/>
    </row>
    <row r="786" spans="5:27" customFormat="1">
      <c r="E786" s="88"/>
      <c r="F786" s="36" t="s">
        <v>295</v>
      </c>
      <c r="G786" s="5" t="s">
        <v>296</v>
      </c>
      <c r="H786" s="5"/>
      <c r="I786" s="62">
        <v>-383620</v>
      </c>
      <c r="J786" s="62">
        <v>-255.74666666666701</v>
      </c>
      <c r="K786" s="62">
        <v>1500</v>
      </c>
      <c r="L786" s="100" t="s">
        <v>858</v>
      </c>
      <c r="M786" s="5" t="s">
        <v>452</v>
      </c>
      <c r="N786" s="34" t="s">
        <v>464</v>
      </c>
      <c r="O786" s="5" t="s">
        <v>880</v>
      </c>
      <c r="P786" s="5" t="s">
        <v>597</v>
      </c>
      <c r="Q786" s="5" t="s">
        <v>881</v>
      </c>
      <c r="R786" s="5" t="s">
        <v>651</v>
      </c>
      <c r="S786" s="5" t="s">
        <v>882</v>
      </c>
      <c r="T786" s="5" t="s">
        <v>445</v>
      </c>
      <c r="U786" s="5"/>
      <c r="V786" s="5"/>
      <c r="W786" s="5"/>
      <c r="X786" s="5"/>
      <c r="Y786" s="5"/>
      <c r="Z786" s="5"/>
      <c r="AA786" s="5"/>
    </row>
    <row r="787" spans="5:27" customFormat="1">
      <c r="E787" s="88"/>
      <c r="F787" s="36" t="s">
        <v>295</v>
      </c>
      <c r="G787" s="5" t="s">
        <v>296</v>
      </c>
      <c r="H787" s="5"/>
      <c r="I787" s="62">
        <v>-84377</v>
      </c>
      <c r="J787" s="62">
        <v>-59.420422535211301</v>
      </c>
      <c r="K787" s="62">
        <v>1420</v>
      </c>
      <c r="L787" s="100" t="s">
        <v>1030</v>
      </c>
      <c r="M787" s="5" t="s">
        <v>452</v>
      </c>
      <c r="N787" s="34" t="s">
        <v>464</v>
      </c>
      <c r="O787" s="5" t="s">
        <v>1031</v>
      </c>
      <c r="P787" s="5" t="s">
        <v>597</v>
      </c>
      <c r="Q787" s="5" t="s">
        <v>1032</v>
      </c>
      <c r="R787" s="5" t="s">
        <v>651</v>
      </c>
      <c r="S787" s="5" t="s">
        <v>1033</v>
      </c>
      <c r="T787" s="5" t="s">
        <v>445</v>
      </c>
      <c r="U787" s="5"/>
      <c r="V787" s="5"/>
      <c r="W787" s="5"/>
      <c r="X787" s="5"/>
      <c r="Y787" s="5"/>
      <c r="Z787" s="5"/>
      <c r="AA787" s="5"/>
    </row>
    <row r="788" spans="5:27" customFormat="1">
      <c r="E788" s="88"/>
      <c r="F788" s="36" t="s">
        <v>295</v>
      </c>
      <c r="G788" s="5" t="s">
        <v>296</v>
      </c>
      <c r="H788" s="5"/>
      <c r="I788" s="62">
        <v>-110062</v>
      </c>
      <c r="J788" s="62">
        <v>-77.508450704225396</v>
      </c>
      <c r="K788" s="62">
        <v>1420</v>
      </c>
      <c r="L788" s="100" t="s">
        <v>1030</v>
      </c>
      <c r="M788" s="5" t="s">
        <v>452</v>
      </c>
      <c r="N788" s="34" t="s">
        <v>464</v>
      </c>
      <c r="O788" s="5" t="s">
        <v>1031</v>
      </c>
      <c r="P788" s="5" t="s">
        <v>597</v>
      </c>
      <c r="Q788" s="5" t="s">
        <v>1032</v>
      </c>
      <c r="R788" s="5" t="s">
        <v>651</v>
      </c>
      <c r="S788" s="5" t="s">
        <v>1033</v>
      </c>
      <c r="T788" s="5" t="s">
        <v>445</v>
      </c>
      <c r="U788" s="5"/>
      <c r="V788" s="5"/>
      <c r="W788" s="5"/>
      <c r="X788" s="5"/>
      <c r="Y788" s="5"/>
      <c r="Z788" s="5"/>
      <c r="AA788" s="5"/>
    </row>
    <row r="789" spans="5:27" customFormat="1">
      <c r="E789" s="88"/>
      <c r="F789" s="36" t="s">
        <v>295</v>
      </c>
      <c r="G789" s="5" t="s">
        <v>296</v>
      </c>
      <c r="H789" s="5"/>
      <c r="I789" s="62">
        <v>-196000</v>
      </c>
      <c r="J789" s="62">
        <v>-138.02816901408499</v>
      </c>
      <c r="K789" s="62">
        <v>1420</v>
      </c>
      <c r="L789" s="100" t="s">
        <v>1030</v>
      </c>
      <c r="M789" s="5" t="s">
        <v>452</v>
      </c>
      <c r="N789" s="34" t="s">
        <v>464</v>
      </c>
      <c r="O789" s="5" t="s">
        <v>1031</v>
      </c>
      <c r="P789" s="5" t="s">
        <v>597</v>
      </c>
      <c r="Q789" s="5" t="s">
        <v>1032</v>
      </c>
      <c r="R789" s="5" t="s">
        <v>651</v>
      </c>
      <c r="S789" s="5" t="s">
        <v>1033</v>
      </c>
      <c r="T789" s="5" t="s">
        <v>445</v>
      </c>
      <c r="U789" s="5"/>
      <c r="V789" s="5"/>
      <c r="W789" s="5"/>
      <c r="X789" s="5"/>
      <c r="Y789" s="5"/>
      <c r="Z789" s="5"/>
      <c r="AA789" s="5"/>
    </row>
    <row r="790" spans="5:27" customFormat="1">
      <c r="E790" s="88"/>
      <c r="F790" s="36" t="s">
        <v>295</v>
      </c>
      <c r="G790" s="5" t="s">
        <v>296</v>
      </c>
      <c r="H790" s="5"/>
      <c r="I790" s="62">
        <v>-188200</v>
      </c>
      <c r="J790" s="62">
        <v>-131.608391608392</v>
      </c>
      <c r="K790" s="62">
        <v>1430</v>
      </c>
      <c r="L790" s="100" t="s">
        <v>751</v>
      </c>
      <c r="M790" s="5" t="s">
        <v>452</v>
      </c>
      <c r="N790" s="34" t="s">
        <v>464</v>
      </c>
      <c r="O790" s="5" t="s">
        <v>752</v>
      </c>
      <c r="P790" s="5" t="s">
        <v>597</v>
      </c>
      <c r="Q790" s="5" t="s">
        <v>753</v>
      </c>
      <c r="R790" s="5" t="s">
        <v>757</v>
      </c>
      <c r="S790" s="5" t="s">
        <v>755</v>
      </c>
      <c r="T790" s="5" t="s">
        <v>445</v>
      </c>
      <c r="U790" s="5"/>
      <c r="V790" s="5"/>
      <c r="W790" s="5"/>
      <c r="X790" s="5"/>
      <c r="Y790" s="5"/>
      <c r="Z790" s="5"/>
      <c r="AA790" s="5"/>
    </row>
    <row r="791" spans="5:27" customFormat="1">
      <c r="E791" s="88"/>
      <c r="F791" s="36" t="s">
        <v>295</v>
      </c>
      <c r="G791" s="5" t="s">
        <v>296</v>
      </c>
      <c r="H791" s="5"/>
      <c r="I791" s="62">
        <v>-108179</v>
      </c>
      <c r="J791" s="62">
        <v>-77.270714285714305</v>
      </c>
      <c r="K791" s="62">
        <v>1400</v>
      </c>
      <c r="L791" s="100" t="s">
        <v>834</v>
      </c>
      <c r="M791" s="5" t="s">
        <v>452</v>
      </c>
      <c r="N791" s="34" t="s">
        <v>464</v>
      </c>
      <c r="O791" s="5" t="s">
        <v>835</v>
      </c>
      <c r="P791" s="5" t="s">
        <v>597</v>
      </c>
      <c r="Q791" s="5" t="s">
        <v>836</v>
      </c>
      <c r="R791" s="5" t="s">
        <v>757</v>
      </c>
      <c r="S791" s="5" t="s">
        <v>838</v>
      </c>
      <c r="T791" s="5" t="s">
        <v>445</v>
      </c>
      <c r="U791" s="5"/>
      <c r="V791" s="5"/>
      <c r="W791" s="5"/>
      <c r="X791" s="5"/>
      <c r="Y791" s="5"/>
      <c r="Z791" s="5"/>
      <c r="AA791" s="5"/>
    </row>
    <row r="792" spans="5:27" customFormat="1">
      <c r="E792" s="88"/>
      <c r="F792" s="36" t="s">
        <v>295</v>
      </c>
      <c r="G792" s="5" t="s">
        <v>296</v>
      </c>
      <c r="H792" s="5"/>
      <c r="I792" s="62">
        <v>-227186</v>
      </c>
      <c r="J792" s="62">
        <v>-162.275714285714</v>
      </c>
      <c r="K792" s="62">
        <v>1400</v>
      </c>
      <c r="L792" s="100" t="s">
        <v>834</v>
      </c>
      <c r="M792" s="5" t="s">
        <v>452</v>
      </c>
      <c r="N792" s="34" t="s">
        <v>464</v>
      </c>
      <c r="O792" s="5" t="s">
        <v>835</v>
      </c>
      <c r="P792" s="5" t="s">
        <v>597</v>
      </c>
      <c r="Q792" s="5" t="s">
        <v>836</v>
      </c>
      <c r="R792" s="5" t="s">
        <v>757</v>
      </c>
      <c r="S792" s="5" t="s">
        <v>838</v>
      </c>
      <c r="T792" s="5" t="s">
        <v>445</v>
      </c>
      <c r="U792" s="5"/>
      <c r="V792" s="5"/>
      <c r="W792" s="5"/>
      <c r="X792" s="5"/>
      <c r="Y792" s="5"/>
      <c r="Z792" s="5"/>
      <c r="AA792" s="5"/>
    </row>
    <row r="793" spans="5:27" customFormat="1">
      <c r="E793" s="88"/>
      <c r="F793" s="36" t="s">
        <v>295</v>
      </c>
      <c r="G793" s="5" t="s">
        <v>296</v>
      </c>
      <c r="H793" s="5"/>
      <c r="I793" s="62">
        <v>-14000</v>
      </c>
      <c r="J793" s="62">
        <v>-9.3333333333333304</v>
      </c>
      <c r="K793" s="62">
        <v>1500</v>
      </c>
      <c r="L793" s="100" t="s">
        <v>858</v>
      </c>
      <c r="M793" s="5" t="s">
        <v>452</v>
      </c>
      <c r="N793" s="34" t="s">
        <v>464</v>
      </c>
      <c r="O793" s="5" t="s">
        <v>880</v>
      </c>
      <c r="P793" s="5" t="s">
        <v>597</v>
      </c>
      <c r="Q793" s="5" t="s">
        <v>881</v>
      </c>
      <c r="R793" s="5" t="s">
        <v>889</v>
      </c>
      <c r="S793" s="5" t="s">
        <v>882</v>
      </c>
      <c r="T793" s="5" t="s">
        <v>445</v>
      </c>
      <c r="U793" s="5"/>
      <c r="V793" s="5"/>
      <c r="W793" s="5"/>
      <c r="X793" s="5"/>
      <c r="Y793" s="5"/>
      <c r="Z793" s="5"/>
      <c r="AA793" s="5"/>
    </row>
    <row r="794" spans="5:27" customFormat="1">
      <c r="E794" s="88"/>
      <c r="F794" s="36" t="s">
        <v>295</v>
      </c>
      <c r="G794" s="5" t="s">
        <v>296</v>
      </c>
      <c r="H794" s="5"/>
      <c r="I794" s="62">
        <v>-46000</v>
      </c>
      <c r="J794" s="62">
        <v>-32.167832167832202</v>
      </c>
      <c r="K794" s="62">
        <v>1430</v>
      </c>
      <c r="L794" s="100" t="s">
        <v>751</v>
      </c>
      <c r="M794" s="5" t="s">
        <v>452</v>
      </c>
      <c r="N794" s="34" t="s">
        <v>464</v>
      </c>
      <c r="O794" s="5" t="s">
        <v>752</v>
      </c>
      <c r="P794" s="5" t="s">
        <v>597</v>
      </c>
      <c r="Q794" s="5" t="s">
        <v>753</v>
      </c>
      <c r="R794" s="5" t="s">
        <v>756</v>
      </c>
      <c r="S794" s="5" t="s">
        <v>755</v>
      </c>
      <c r="T794" s="5" t="s">
        <v>445</v>
      </c>
      <c r="U794" s="5"/>
      <c r="V794" s="5"/>
      <c r="W794" s="5"/>
      <c r="X794" s="5"/>
      <c r="Y794" s="5"/>
      <c r="Z794" s="5"/>
      <c r="AA794" s="5"/>
    </row>
    <row r="795" spans="5:27" customFormat="1">
      <c r="E795" s="88"/>
      <c r="F795" s="36" t="s">
        <v>295</v>
      </c>
      <c r="G795" s="5" t="s">
        <v>296</v>
      </c>
      <c r="H795" s="5"/>
      <c r="I795" s="62">
        <v>-12000</v>
      </c>
      <c r="J795" s="62">
        <v>-9.2307692307692299</v>
      </c>
      <c r="K795" s="62">
        <v>1300</v>
      </c>
      <c r="L795" s="100" t="s">
        <v>476</v>
      </c>
      <c r="M795" s="5" t="s">
        <v>452</v>
      </c>
      <c r="N795" s="34" t="s">
        <v>464</v>
      </c>
      <c r="O795" s="5" t="s">
        <v>477</v>
      </c>
      <c r="P795" s="5" t="s">
        <v>454</v>
      </c>
      <c r="Q795" s="5" t="s">
        <v>478</v>
      </c>
      <c r="R795" s="5" t="s">
        <v>479</v>
      </c>
      <c r="S795" s="5" t="s">
        <v>480</v>
      </c>
      <c r="T795" s="5" t="s">
        <v>445</v>
      </c>
      <c r="U795" s="5"/>
      <c r="V795" s="5"/>
      <c r="W795" s="5"/>
      <c r="X795" s="5"/>
      <c r="Y795" s="5"/>
      <c r="Z795" s="5"/>
      <c r="AA795" s="5"/>
    </row>
    <row r="796" spans="5:27" customFormat="1">
      <c r="E796" s="88"/>
      <c r="F796" s="36" t="s">
        <v>295</v>
      </c>
      <c r="G796" s="5" t="s">
        <v>296</v>
      </c>
      <c r="H796" s="5"/>
      <c r="I796" s="62">
        <v>-223880</v>
      </c>
      <c r="J796" s="62">
        <v>-172.21538461538501</v>
      </c>
      <c r="K796" s="62">
        <v>1300</v>
      </c>
      <c r="L796" s="100" t="s">
        <v>476</v>
      </c>
      <c r="M796" s="5" t="s">
        <v>452</v>
      </c>
      <c r="N796" s="34" t="s">
        <v>464</v>
      </c>
      <c r="O796" s="5" t="s">
        <v>477</v>
      </c>
      <c r="P796" s="5" t="s">
        <v>454</v>
      </c>
      <c r="Q796" s="5" t="s">
        <v>478</v>
      </c>
      <c r="R796" s="5" t="s">
        <v>490</v>
      </c>
      <c r="S796" s="5" t="s">
        <v>480</v>
      </c>
      <c r="T796" s="5" t="s">
        <v>445</v>
      </c>
      <c r="U796" s="5"/>
      <c r="V796" s="5"/>
      <c r="W796" s="5"/>
      <c r="X796" s="5"/>
      <c r="Y796" s="5"/>
      <c r="Z796" s="5"/>
      <c r="AA796" s="5"/>
    </row>
    <row r="797" spans="5:27" customFormat="1">
      <c r="E797" s="88"/>
      <c r="F797" s="36" t="s">
        <v>295</v>
      </c>
      <c r="G797" s="5" t="s">
        <v>296</v>
      </c>
      <c r="H797" s="5"/>
      <c r="I797" s="62">
        <v>-150000</v>
      </c>
      <c r="J797" s="62">
        <v>-115.384615384615</v>
      </c>
      <c r="K797" s="62">
        <v>1300</v>
      </c>
      <c r="L797" s="100" t="s">
        <v>476</v>
      </c>
      <c r="M797" s="5" t="s">
        <v>452</v>
      </c>
      <c r="N797" s="34" t="s">
        <v>464</v>
      </c>
      <c r="O797" s="5" t="s">
        <v>477</v>
      </c>
      <c r="P797" s="5" t="s">
        <v>454</v>
      </c>
      <c r="Q797" s="5" t="s">
        <v>478</v>
      </c>
      <c r="R797" s="5" t="s">
        <v>481</v>
      </c>
      <c r="S797" s="5" t="s">
        <v>480</v>
      </c>
      <c r="T797" s="5" t="s">
        <v>445</v>
      </c>
      <c r="U797" s="5"/>
      <c r="V797" s="5"/>
      <c r="W797" s="5"/>
      <c r="X797" s="5"/>
      <c r="Y797" s="5"/>
      <c r="Z797" s="5"/>
      <c r="AA797" s="5"/>
    </row>
    <row r="798" spans="5:27" customFormat="1">
      <c r="E798" s="88"/>
      <c r="F798" s="36" t="s">
        <v>295</v>
      </c>
      <c r="G798" s="5" t="s">
        <v>296</v>
      </c>
      <c r="H798" s="5"/>
      <c r="I798" s="62">
        <v>-300000</v>
      </c>
      <c r="J798" s="62">
        <v>-218.978102189781</v>
      </c>
      <c r="K798" s="62">
        <v>1370</v>
      </c>
      <c r="L798" s="100" t="s">
        <v>468</v>
      </c>
      <c r="M798" s="5" t="s">
        <v>452</v>
      </c>
      <c r="N798" s="34" t="s">
        <v>464</v>
      </c>
      <c r="O798" s="5" t="s">
        <v>510</v>
      </c>
      <c r="P798" s="5" t="s">
        <v>454</v>
      </c>
      <c r="Q798" s="5" t="s">
        <v>511</v>
      </c>
      <c r="R798" s="5" t="s">
        <v>517</v>
      </c>
      <c r="S798" s="5" t="s">
        <v>513</v>
      </c>
      <c r="T798" s="5" t="s">
        <v>445</v>
      </c>
      <c r="U798" s="5"/>
      <c r="V798" s="5"/>
      <c r="W798" s="5"/>
      <c r="X798" s="5"/>
      <c r="Y798" s="5"/>
      <c r="Z798" s="5"/>
      <c r="AA798" s="5"/>
    </row>
    <row r="799" spans="5:27" customFormat="1">
      <c r="E799" s="88"/>
      <c r="F799" s="36" t="s">
        <v>295</v>
      </c>
      <c r="G799" s="5" t="s">
        <v>296</v>
      </c>
      <c r="H799" s="5"/>
      <c r="I799" s="62">
        <v>-15000</v>
      </c>
      <c r="J799" s="62">
        <v>-10.791366906474799</v>
      </c>
      <c r="K799" s="62">
        <v>1390</v>
      </c>
      <c r="L799" s="100" t="s">
        <v>628</v>
      </c>
      <c r="M799" s="5" t="s">
        <v>452</v>
      </c>
      <c r="N799" s="34" t="s">
        <v>464</v>
      </c>
      <c r="O799" s="5" t="s">
        <v>629</v>
      </c>
      <c r="P799" s="5" t="s">
        <v>597</v>
      </c>
      <c r="Q799" s="5" t="s">
        <v>630</v>
      </c>
      <c r="R799" s="5" t="s">
        <v>650</v>
      </c>
      <c r="S799" s="5" t="s">
        <v>632</v>
      </c>
      <c r="T799" s="5" t="s">
        <v>445</v>
      </c>
      <c r="U799" s="5"/>
      <c r="V799" s="5"/>
      <c r="W799" s="5"/>
      <c r="X799" s="5"/>
      <c r="Y799" s="5"/>
      <c r="Z799" s="5"/>
      <c r="AA799" s="5"/>
    </row>
    <row r="800" spans="5:27" customFormat="1">
      <c r="E800" s="88"/>
      <c r="F800" s="36" t="s">
        <v>295</v>
      </c>
      <c r="G800" s="5" t="s">
        <v>296</v>
      </c>
      <c r="H800" s="5"/>
      <c r="I800" s="62">
        <v>-3600000</v>
      </c>
      <c r="J800" s="62">
        <v>-2769.23076923077</v>
      </c>
      <c r="K800" s="62">
        <v>1300</v>
      </c>
      <c r="L800" s="100" t="s">
        <v>476</v>
      </c>
      <c r="M800" s="5" t="s">
        <v>452</v>
      </c>
      <c r="N800" s="34" t="s">
        <v>464</v>
      </c>
      <c r="O800" s="5" t="s">
        <v>477</v>
      </c>
      <c r="P800" s="5" t="s">
        <v>454</v>
      </c>
      <c r="Q800" s="5" t="s">
        <v>478</v>
      </c>
      <c r="R800" s="5" t="s">
        <v>485</v>
      </c>
      <c r="S800" s="5" t="s">
        <v>480</v>
      </c>
      <c r="T800" s="5" t="s">
        <v>445</v>
      </c>
      <c r="U800" s="5"/>
      <c r="V800" s="5"/>
      <c r="W800" s="5"/>
      <c r="X800" s="5"/>
      <c r="Y800" s="5"/>
      <c r="Z800" s="5"/>
      <c r="AA800" s="5"/>
    </row>
    <row r="801" spans="5:27" customFormat="1">
      <c r="E801" s="88"/>
      <c r="F801" s="36" t="s">
        <v>295</v>
      </c>
      <c r="G801" s="5" t="s">
        <v>296</v>
      </c>
      <c r="H801" s="5"/>
      <c r="I801" s="62">
        <v>-300000</v>
      </c>
      <c r="J801" s="62">
        <v>-215.82733812949601</v>
      </c>
      <c r="K801" s="62">
        <v>1390</v>
      </c>
      <c r="L801" s="100" t="s">
        <v>628</v>
      </c>
      <c r="M801" s="5" t="s">
        <v>452</v>
      </c>
      <c r="N801" s="34" t="s">
        <v>464</v>
      </c>
      <c r="O801" s="5" t="s">
        <v>629</v>
      </c>
      <c r="P801" s="5" t="s">
        <v>597</v>
      </c>
      <c r="Q801" s="5" t="s">
        <v>630</v>
      </c>
      <c r="R801" s="5" t="s">
        <v>668</v>
      </c>
      <c r="S801" s="5" t="s">
        <v>632</v>
      </c>
      <c r="T801" s="5" t="s">
        <v>445</v>
      </c>
      <c r="U801" s="5"/>
      <c r="V801" s="5"/>
      <c r="W801" s="5"/>
      <c r="X801" s="5"/>
      <c r="Y801" s="5"/>
      <c r="Z801" s="5"/>
      <c r="AA801" s="5"/>
    </row>
    <row r="802" spans="5:27" customFormat="1">
      <c r="E802" s="88"/>
      <c r="F802" s="36" t="s">
        <v>295</v>
      </c>
      <c r="G802" s="5" t="s">
        <v>296</v>
      </c>
      <c r="H802" s="5"/>
      <c r="I802" s="62">
        <v>-120000</v>
      </c>
      <c r="J802" s="62">
        <v>-86.330935251798607</v>
      </c>
      <c r="K802" s="62">
        <v>1390</v>
      </c>
      <c r="L802" s="100" t="s">
        <v>628</v>
      </c>
      <c r="M802" s="5" t="s">
        <v>452</v>
      </c>
      <c r="N802" s="34" t="s">
        <v>464</v>
      </c>
      <c r="O802" s="5" t="s">
        <v>629</v>
      </c>
      <c r="P802" s="5" t="s">
        <v>597</v>
      </c>
      <c r="Q802" s="5" t="s">
        <v>630</v>
      </c>
      <c r="R802" s="5" t="s">
        <v>667</v>
      </c>
      <c r="S802" s="5" t="s">
        <v>632</v>
      </c>
      <c r="T802" s="5" t="s">
        <v>445</v>
      </c>
      <c r="U802" s="5"/>
      <c r="V802" s="5"/>
      <c r="W802" s="5"/>
      <c r="X802" s="5"/>
      <c r="Y802" s="5"/>
      <c r="Z802" s="5"/>
      <c r="AA802" s="5"/>
    </row>
    <row r="803" spans="5:27" customFormat="1">
      <c r="E803" s="88"/>
      <c r="F803" s="36" t="s">
        <v>295</v>
      </c>
      <c r="G803" s="5" t="s">
        <v>296</v>
      </c>
      <c r="H803" s="5"/>
      <c r="I803" s="62">
        <v>-20000</v>
      </c>
      <c r="J803" s="62">
        <v>-14.3884892086331</v>
      </c>
      <c r="K803" s="62">
        <v>1390</v>
      </c>
      <c r="L803" s="100" t="s">
        <v>628</v>
      </c>
      <c r="M803" s="5" t="s">
        <v>452</v>
      </c>
      <c r="N803" s="34" t="s">
        <v>464</v>
      </c>
      <c r="O803" s="5" t="s">
        <v>629</v>
      </c>
      <c r="P803" s="5" t="s">
        <v>597</v>
      </c>
      <c r="Q803" s="5" t="s">
        <v>630</v>
      </c>
      <c r="R803" s="5" t="s">
        <v>654</v>
      </c>
      <c r="S803" s="5" t="s">
        <v>632</v>
      </c>
      <c r="T803" s="5" t="s">
        <v>445</v>
      </c>
      <c r="U803" s="5"/>
      <c r="V803" s="5"/>
      <c r="W803" s="5"/>
      <c r="X803" s="5"/>
      <c r="Y803" s="5"/>
      <c r="Z803" s="5"/>
      <c r="AA803" s="5"/>
    </row>
    <row r="804" spans="5:27" customFormat="1">
      <c r="E804" s="88"/>
      <c r="F804" s="36" t="s">
        <v>295</v>
      </c>
      <c r="G804" s="5" t="s">
        <v>296</v>
      </c>
      <c r="H804" s="5"/>
      <c r="I804" s="62">
        <v>-150000</v>
      </c>
      <c r="J804" s="62">
        <v>-107.91366906474801</v>
      </c>
      <c r="K804" s="62">
        <v>1390</v>
      </c>
      <c r="L804" s="100" t="s">
        <v>628</v>
      </c>
      <c r="M804" s="5" t="s">
        <v>452</v>
      </c>
      <c r="N804" s="34" t="s">
        <v>464</v>
      </c>
      <c r="O804" s="5" t="s">
        <v>629</v>
      </c>
      <c r="P804" s="5" t="s">
        <v>597</v>
      </c>
      <c r="Q804" s="5" t="s">
        <v>630</v>
      </c>
      <c r="R804" s="5" t="s">
        <v>647</v>
      </c>
      <c r="S804" s="5" t="s">
        <v>632</v>
      </c>
      <c r="T804" s="5" t="s">
        <v>445</v>
      </c>
      <c r="U804" s="5"/>
      <c r="V804" s="5"/>
      <c r="W804" s="5"/>
      <c r="X804" s="5"/>
      <c r="Y804" s="5"/>
      <c r="Z804" s="5"/>
      <c r="AA804" s="5"/>
    </row>
    <row r="805" spans="5:27" customFormat="1">
      <c r="E805" s="88"/>
      <c r="F805" s="36" t="s">
        <v>295</v>
      </c>
      <c r="G805" s="5" t="s">
        <v>296</v>
      </c>
      <c r="H805" s="5"/>
      <c r="I805" s="62">
        <v>-400000</v>
      </c>
      <c r="J805" s="62">
        <v>-291.97080291970798</v>
      </c>
      <c r="K805" s="62">
        <v>1370</v>
      </c>
      <c r="L805" s="100" t="s">
        <v>468</v>
      </c>
      <c r="M805" s="5" t="s">
        <v>452</v>
      </c>
      <c r="N805" s="34" t="s">
        <v>464</v>
      </c>
      <c r="O805" s="5" t="s">
        <v>510</v>
      </c>
      <c r="P805" s="5" t="s">
        <v>454</v>
      </c>
      <c r="Q805" s="5" t="s">
        <v>511</v>
      </c>
      <c r="R805" s="5" t="s">
        <v>514</v>
      </c>
      <c r="S805" s="5" t="s">
        <v>513</v>
      </c>
      <c r="T805" s="5" t="s">
        <v>445</v>
      </c>
      <c r="U805" s="5"/>
      <c r="V805" s="5"/>
      <c r="W805" s="5"/>
      <c r="X805" s="5"/>
      <c r="Y805" s="5"/>
      <c r="Z805" s="5"/>
      <c r="AA805" s="5"/>
    </row>
    <row r="806" spans="5:27" customFormat="1">
      <c r="E806" s="88"/>
      <c r="F806" s="36" t="s">
        <v>295</v>
      </c>
      <c r="G806" s="5" t="s">
        <v>296</v>
      </c>
      <c r="H806" s="5"/>
      <c r="I806" s="62">
        <v>-10000</v>
      </c>
      <c r="J806" s="62">
        <v>-7.6923076923076898</v>
      </c>
      <c r="K806" s="62">
        <v>1300</v>
      </c>
      <c r="L806" s="100" t="s">
        <v>476</v>
      </c>
      <c r="M806" s="5" t="s">
        <v>452</v>
      </c>
      <c r="N806" s="34" t="s">
        <v>464</v>
      </c>
      <c r="O806" s="5" t="s">
        <v>477</v>
      </c>
      <c r="P806" s="5" t="s">
        <v>454</v>
      </c>
      <c r="Q806" s="5" t="s">
        <v>478</v>
      </c>
      <c r="R806" s="5" t="s">
        <v>489</v>
      </c>
      <c r="S806" s="5" t="s">
        <v>480</v>
      </c>
      <c r="T806" s="5" t="s">
        <v>445</v>
      </c>
      <c r="U806" s="5"/>
      <c r="V806" s="5"/>
      <c r="W806" s="5"/>
      <c r="X806" s="5"/>
      <c r="Y806" s="5"/>
      <c r="Z806" s="5"/>
      <c r="AA806" s="5"/>
    </row>
    <row r="807" spans="5:27" customFormat="1">
      <c r="E807" s="88"/>
      <c r="F807" s="36" t="s">
        <v>295</v>
      </c>
      <c r="G807" s="5" t="s">
        <v>296</v>
      </c>
      <c r="H807" s="5"/>
      <c r="I807" s="62">
        <v>-540000</v>
      </c>
      <c r="J807" s="62">
        <v>-380.281690140845</v>
      </c>
      <c r="K807" s="62">
        <v>1420</v>
      </c>
      <c r="L807" s="100" t="s">
        <v>1030</v>
      </c>
      <c r="M807" s="5" t="s">
        <v>452</v>
      </c>
      <c r="N807" s="34" t="s">
        <v>464</v>
      </c>
      <c r="O807" s="5" t="s">
        <v>1031</v>
      </c>
      <c r="P807" s="5" t="s">
        <v>597</v>
      </c>
      <c r="Q807" s="5" t="s">
        <v>1032</v>
      </c>
      <c r="R807" s="5" t="s">
        <v>1067</v>
      </c>
      <c r="S807" s="5" t="s">
        <v>1033</v>
      </c>
      <c r="T807" s="5" t="s">
        <v>445</v>
      </c>
      <c r="U807" s="5"/>
      <c r="V807" s="5"/>
      <c r="W807" s="5"/>
      <c r="X807" s="5"/>
      <c r="Y807" s="5"/>
      <c r="Z807" s="5"/>
      <c r="AA807" s="5"/>
    </row>
    <row r="808" spans="5:27" customFormat="1">
      <c r="E808" s="88"/>
      <c r="F808" s="36" t="s">
        <v>295</v>
      </c>
      <c r="G808" s="5" t="s">
        <v>296</v>
      </c>
      <c r="H808" s="5"/>
      <c r="I808" s="62">
        <v>-50000</v>
      </c>
      <c r="J808" s="62">
        <v>-38.461538461538503</v>
      </c>
      <c r="K808" s="62">
        <v>1300</v>
      </c>
      <c r="L808" s="100" t="s">
        <v>476</v>
      </c>
      <c r="M808" s="5" t="s">
        <v>452</v>
      </c>
      <c r="N808" s="34" t="s">
        <v>464</v>
      </c>
      <c r="O808" s="5" t="s">
        <v>477</v>
      </c>
      <c r="P808" s="5" t="s">
        <v>454</v>
      </c>
      <c r="Q808" s="5" t="s">
        <v>478</v>
      </c>
      <c r="R808" s="5" t="s">
        <v>483</v>
      </c>
      <c r="S808" s="5" t="s">
        <v>480</v>
      </c>
      <c r="T808" s="5" t="s">
        <v>445</v>
      </c>
      <c r="U808" s="5"/>
      <c r="V808" s="5"/>
      <c r="W808" s="5"/>
      <c r="X808" s="5"/>
      <c r="Y808" s="5"/>
      <c r="Z808" s="5"/>
      <c r="AA808" s="5"/>
    </row>
    <row r="809" spans="5:27" customFormat="1">
      <c r="E809" s="88"/>
      <c r="F809" s="36" t="s">
        <v>295</v>
      </c>
      <c r="G809" s="5" t="s">
        <v>296</v>
      </c>
      <c r="H809" s="5"/>
      <c r="I809" s="62">
        <v>-450000</v>
      </c>
      <c r="J809" s="62">
        <v>-316.90140845070403</v>
      </c>
      <c r="K809" s="62">
        <v>1420</v>
      </c>
      <c r="L809" s="100" t="s">
        <v>1030</v>
      </c>
      <c r="M809" s="5" t="s">
        <v>452</v>
      </c>
      <c r="N809" s="34" t="s">
        <v>464</v>
      </c>
      <c r="O809" s="5" t="s">
        <v>1031</v>
      </c>
      <c r="P809" s="5" t="s">
        <v>597</v>
      </c>
      <c r="Q809" s="5" t="s">
        <v>1032</v>
      </c>
      <c r="R809" s="5" t="s">
        <v>1065</v>
      </c>
      <c r="S809" s="5" t="s">
        <v>1033</v>
      </c>
      <c r="T809" s="5" t="s">
        <v>445</v>
      </c>
      <c r="U809" s="5"/>
      <c r="V809" s="5"/>
      <c r="W809" s="5"/>
      <c r="X809" s="5"/>
      <c r="Y809" s="5"/>
      <c r="Z809" s="5"/>
      <c r="AA809" s="5"/>
    </row>
    <row r="810" spans="5:27" customFormat="1">
      <c r="E810" s="88"/>
      <c r="F810" s="36" t="s">
        <v>295</v>
      </c>
      <c r="G810" s="5" t="s">
        <v>296</v>
      </c>
      <c r="H810" s="5"/>
      <c r="I810" s="62">
        <v>-354624</v>
      </c>
      <c r="J810" s="62">
        <v>-272.787692307692</v>
      </c>
      <c r="K810" s="62">
        <v>1300</v>
      </c>
      <c r="L810" s="100" t="s">
        <v>476</v>
      </c>
      <c r="M810" s="5" t="s">
        <v>452</v>
      </c>
      <c r="N810" s="34" t="s">
        <v>464</v>
      </c>
      <c r="O810" s="5" t="s">
        <v>477</v>
      </c>
      <c r="P810" s="5" t="s">
        <v>454</v>
      </c>
      <c r="Q810" s="5" t="s">
        <v>478</v>
      </c>
      <c r="R810" s="5" t="s">
        <v>482</v>
      </c>
      <c r="S810" s="5" t="s">
        <v>480</v>
      </c>
      <c r="T810" s="5" t="s">
        <v>445</v>
      </c>
      <c r="U810" s="5"/>
      <c r="V810" s="5"/>
      <c r="W810" s="5"/>
      <c r="X810" s="5"/>
      <c r="Y810" s="5"/>
      <c r="Z810" s="5"/>
      <c r="AA810" s="5"/>
    </row>
    <row r="811" spans="5:27" customFormat="1">
      <c r="E811" s="88"/>
      <c r="F811" s="36" t="s">
        <v>295</v>
      </c>
      <c r="G811" s="5" t="s">
        <v>296</v>
      </c>
      <c r="H811" s="5"/>
      <c r="I811" s="62">
        <v>-38000</v>
      </c>
      <c r="J811" s="62">
        <v>-29.230769230769202</v>
      </c>
      <c r="K811" s="62">
        <v>1300</v>
      </c>
      <c r="L811" s="100" t="s">
        <v>476</v>
      </c>
      <c r="M811" s="5" t="s">
        <v>452</v>
      </c>
      <c r="N811" s="34" t="s">
        <v>464</v>
      </c>
      <c r="O811" s="5" t="s">
        <v>477</v>
      </c>
      <c r="P811" s="5" t="s">
        <v>454</v>
      </c>
      <c r="Q811" s="5" t="s">
        <v>478</v>
      </c>
      <c r="R811" s="5" t="s">
        <v>486</v>
      </c>
      <c r="S811" s="5" t="s">
        <v>480</v>
      </c>
      <c r="T811" s="5" t="s">
        <v>445</v>
      </c>
      <c r="U811" s="5"/>
      <c r="V811" s="5"/>
      <c r="W811" s="5"/>
      <c r="X811" s="5"/>
      <c r="Y811" s="5"/>
      <c r="Z811" s="5"/>
      <c r="AA811" s="5"/>
    </row>
    <row r="812" spans="5:27" customFormat="1">
      <c r="E812" s="88"/>
      <c r="F812" s="36" t="s">
        <v>295</v>
      </c>
      <c r="G812" s="5" t="s">
        <v>296</v>
      </c>
      <c r="H812" s="5"/>
      <c r="I812" s="62">
        <v>-10000</v>
      </c>
      <c r="J812" s="62">
        <v>-7.6923076923076898</v>
      </c>
      <c r="K812" s="62">
        <v>1300</v>
      </c>
      <c r="L812" s="100" t="s">
        <v>476</v>
      </c>
      <c r="M812" s="5" t="s">
        <v>452</v>
      </c>
      <c r="N812" s="34" t="s">
        <v>464</v>
      </c>
      <c r="O812" s="5" t="s">
        <v>477</v>
      </c>
      <c r="P812" s="5" t="s">
        <v>454</v>
      </c>
      <c r="Q812" s="5" t="s">
        <v>478</v>
      </c>
      <c r="R812" s="5" t="s">
        <v>484</v>
      </c>
      <c r="S812" s="5" t="s">
        <v>480</v>
      </c>
      <c r="T812" s="5" t="s">
        <v>445</v>
      </c>
      <c r="U812" s="5"/>
      <c r="V812" s="5"/>
      <c r="W812" s="5"/>
      <c r="X812" s="5"/>
      <c r="Y812" s="5"/>
      <c r="Z812" s="5"/>
      <c r="AA812" s="5"/>
    </row>
    <row r="813" spans="5:27" customFormat="1">
      <c r="E813" s="88"/>
      <c r="F813" s="36" t="s">
        <v>295</v>
      </c>
      <c r="G813" s="5" t="s">
        <v>296</v>
      </c>
      <c r="H813" s="5"/>
      <c r="I813" s="62">
        <v>-34000</v>
      </c>
      <c r="J813" s="62">
        <v>-24.113475177304998</v>
      </c>
      <c r="K813" s="62">
        <v>1410</v>
      </c>
      <c r="L813" s="100" t="s">
        <v>678</v>
      </c>
      <c r="M813" s="5" t="s">
        <v>452</v>
      </c>
      <c r="N813" s="34" t="s">
        <v>464</v>
      </c>
      <c r="O813" s="5" t="s">
        <v>683</v>
      </c>
      <c r="P813" s="5" t="s">
        <v>597</v>
      </c>
      <c r="Q813" s="5" t="s">
        <v>684</v>
      </c>
      <c r="R813" s="5" t="s">
        <v>692</v>
      </c>
      <c r="S813" s="5" t="s">
        <v>685</v>
      </c>
      <c r="T813" s="5" t="s">
        <v>445</v>
      </c>
      <c r="U813" s="5"/>
      <c r="V813" s="5"/>
      <c r="W813" s="5"/>
      <c r="X813" s="5"/>
      <c r="Y813" s="5"/>
      <c r="Z813" s="5"/>
      <c r="AA813" s="5"/>
    </row>
    <row r="814" spans="5:27" customFormat="1">
      <c r="E814" s="88"/>
      <c r="F814" s="36" t="s">
        <v>295</v>
      </c>
      <c r="G814" s="5" t="s">
        <v>296</v>
      </c>
      <c r="H814" s="5"/>
      <c r="I814" s="62">
        <v>-14980</v>
      </c>
      <c r="J814" s="62">
        <v>-10.7769784172662</v>
      </c>
      <c r="K814" s="62">
        <v>1390</v>
      </c>
      <c r="L814" s="100" t="s">
        <v>628</v>
      </c>
      <c r="M814" s="5" t="s">
        <v>452</v>
      </c>
      <c r="N814" s="34" t="s">
        <v>464</v>
      </c>
      <c r="O814" s="5" t="s">
        <v>629</v>
      </c>
      <c r="P814" s="5" t="s">
        <v>597</v>
      </c>
      <c r="Q814" s="5" t="s">
        <v>630</v>
      </c>
      <c r="R814" s="5" t="s">
        <v>661</v>
      </c>
      <c r="S814" s="5" t="s">
        <v>632</v>
      </c>
      <c r="T814" s="5" t="s">
        <v>445</v>
      </c>
      <c r="U814" s="5"/>
      <c r="V814" s="5"/>
      <c r="W814" s="5"/>
      <c r="X814" s="5"/>
      <c r="Y814" s="5"/>
      <c r="Z814" s="5"/>
      <c r="AA814" s="5"/>
    </row>
    <row r="815" spans="5:27" customFormat="1">
      <c r="E815" s="88"/>
      <c r="F815" s="36" t="s">
        <v>295</v>
      </c>
      <c r="G815" s="5" t="s">
        <v>296</v>
      </c>
      <c r="H815" s="5"/>
      <c r="I815" s="62">
        <v>-5000</v>
      </c>
      <c r="J815" s="62">
        <v>-3.52112676056338</v>
      </c>
      <c r="K815" s="62">
        <v>1420</v>
      </c>
      <c r="L815" s="100" t="s">
        <v>1030</v>
      </c>
      <c r="M815" s="5" t="s">
        <v>452</v>
      </c>
      <c r="N815" s="34" t="s">
        <v>464</v>
      </c>
      <c r="O815" s="5" t="s">
        <v>1031</v>
      </c>
      <c r="P815" s="5" t="s">
        <v>597</v>
      </c>
      <c r="Q815" s="5" t="s">
        <v>1032</v>
      </c>
      <c r="R815" s="5" t="s">
        <v>1036</v>
      </c>
      <c r="S815" s="5" t="s">
        <v>1033</v>
      </c>
      <c r="T815" s="5" t="s">
        <v>445</v>
      </c>
      <c r="U815" s="5"/>
      <c r="V815" s="5"/>
      <c r="W815" s="5"/>
      <c r="X815" s="5"/>
      <c r="Y815" s="5"/>
      <c r="Z815" s="5"/>
      <c r="AA815" s="5"/>
    </row>
    <row r="816" spans="5:27" customFormat="1">
      <c r="E816" s="88"/>
      <c r="F816" s="36" t="s">
        <v>295</v>
      </c>
      <c r="G816" s="5" t="s">
        <v>296</v>
      </c>
      <c r="H816" s="5"/>
      <c r="I816" s="62">
        <v>-620000</v>
      </c>
      <c r="J816" s="62">
        <v>-446.04316546762601</v>
      </c>
      <c r="K816" s="62">
        <v>1390</v>
      </c>
      <c r="L816" s="100" t="s">
        <v>628</v>
      </c>
      <c r="M816" s="5" t="s">
        <v>452</v>
      </c>
      <c r="N816" s="34" t="s">
        <v>464</v>
      </c>
      <c r="O816" s="5" t="s">
        <v>629</v>
      </c>
      <c r="P816" s="5" t="s">
        <v>597</v>
      </c>
      <c r="Q816" s="5" t="s">
        <v>630</v>
      </c>
      <c r="R816" s="5" t="s">
        <v>648</v>
      </c>
      <c r="S816" s="5" t="s">
        <v>632</v>
      </c>
      <c r="T816" s="5" t="s">
        <v>445</v>
      </c>
      <c r="U816" s="5"/>
      <c r="V816" s="5"/>
      <c r="W816" s="5"/>
      <c r="X816" s="5"/>
      <c r="Y816" s="5"/>
      <c r="Z816" s="5"/>
      <c r="AA816" s="5"/>
    </row>
    <row r="817" spans="5:27" customFormat="1">
      <c r="E817" s="88"/>
      <c r="F817" s="36" t="s">
        <v>295</v>
      </c>
      <c r="G817" s="5" t="s">
        <v>296</v>
      </c>
      <c r="H817" s="5"/>
      <c r="I817" s="62">
        <v>-50000</v>
      </c>
      <c r="J817" s="62">
        <v>-35.460992907801398</v>
      </c>
      <c r="K817" s="62">
        <v>1410</v>
      </c>
      <c r="L817" s="100" t="s">
        <v>678</v>
      </c>
      <c r="M817" s="5" t="s">
        <v>452</v>
      </c>
      <c r="N817" s="34" t="s">
        <v>464</v>
      </c>
      <c r="O817" s="5" t="s">
        <v>683</v>
      </c>
      <c r="P817" s="5" t="s">
        <v>597</v>
      </c>
      <c r="Q817" s="5" t="s">
        <v>684</v>
      </c>
      <c r="R817" s="5" t="s">
        <v>708</v>
      </c>
      <c r="S817" s="5" t="s">
        <v>685</v>
      </c>
      <c r="T817" s="5" t="s">
        <v>445</v>
      </c>
      <c r="U817" s="5"/>
      <c r="V817" s="5"/>
      <c r="W817" s="5"/>
      <c r="X817" s="5"/>
      <c r="Y817" s="5"/>
      <c r="Z817" s="5"/>
      <c r="AA817" s="5"/>
    </row>
    <row r="818" spans="5:27" customFormat="1">
      <c r="E818" s="88"/>
      <c r="F818" s="36" t="s">
        <v>295</v>
      </c>
      <c r="G818" s="5" t="s">
        <v>296</v>
      </c>
      <c r="H818" s="5"/>
      <c r="I818" s="62">
        <v>-50000</v>
      </c>
      <c r="J818" s="62">
        <v>-35.971223021582702</v>
      </c>
      <c r="K818" s="62">
        <v>1390</v>
      </c>
      <c r="L818" s="100" t="s">
        <v>628</v>
      </c>
      <c r="M818" s="5" t="s">
        <v>452</v>
      </c>
      <c r="N818" s="34" t="s">
        <v>464</v>
      </c>
      <c r="O818" s="5" t="s">
        <v>629</v>
      </c>
      <c r="P818" s="5" t="s">
        <v>597</v>
      </c>
      <c r="Q818" s="5" t="s">
        <v>630</v>
      </c>
      <c r="R818" s="5" t="s">
        <v>644</v>
      </c>
      <c r="S818" s="5" t="s">
        <v>632</v>
      </c>
      <c r="T818" s="5" t="s">
        <v>445</v>
      </c>
      <c r="U818" s="5"/>
      <c r="V818" s="5"/>
      <c r="W818" s="5"/>
      <c r="X818" s="5"/>
      <c r="Y818" s="5"/>
      <c r="Z818" s="5"/>
      <c r="AA818" s="5"/>
    </row>
    <row r="819" spans="5:27" customFormat="1">
      <c r="E819" s="88"/>
      <c r="F819" s="36" t="s">
        <v>295</v>
      </c>
      <c r="G819" s="5" t="s">
        <v>296</v>
      </c>
      <c r="H819" s="5"/>
      <c r="I819" s="62">
        <v>-150000</v>
      </c>
      <c r="J819" s="62">
        <v>-107.91366906474801</v>
      </c>
      <c r="K819" s="62">
        <v>1390</v>
      </c>
      <c r="L819" s="100" t="s">
        <v>628</v>
      </c>
      <c r="M819" s="5" t="s">
        <v>452</v>
      </c>
      <c r="N819" s="34" t="s">
        <v>464</v>
      </c>
      <c r="O819" s="5" t="s">
        <v>629</v>
      </c>
      <c r="P819" s="5" t="s">
        <v>597</v>
      </c>
      <c r="Q819" s="5" t="s">
        <v>630</v>
      </c>
      <c r="R819" s="5" t="s">
        <v>669</v>
      </c>
      <c r="S819" s="5" t="s">
        <v>632</v>
      </c>
      <c r="T819" s="5" t="s">
        <v>445</v>
      </c>
      <c r="U819" s="5"/>
      <c r="V819" s="5"/>
      <c r="W819" s="5"/>
      <c r="X819" s="5"/>
      <c r="Y819" s="5"/>
      <c r="Z819" s="5"/>
      <c r="AA819" s="5"/>
    </row>
    <row r="820" spans="5:27" customFormat="1">
      <c r="E820" s="88"/>
      <c r="F820" s="36" t="s">
        <v>295</v>
      </c>
      <c r="G820" s="5" t="s">
        <v>296</v>
      </c>
      <c r="H820" s="5"/>
      <c r="I820" s="62">
        <v>-40600</v>
      </c>
      <c r="J820" s="62">
        <v>-28.794326241134801</v>
      </c>
      <c r="K820" s="62">
        <v>1410</v>
      </c>
      <c r="L820" s="100" t="s">
        <v>678</v>
      </c>
      <c r="M820" s="5" t="s">
        <v>452</v>
      </c>
      <c r="N820" s="34" t="s">
        <v>464</v>
      </c>
      <c r="O820" s="5" t="s">
        <v>683</v>
      </c>
      <c r="P820" s="5" t="s">
        <v>597</v>
      </c>
      <c r="Q820" s="5" t="s">
        <v>684</v>
      </c>
      <c r="R820" s="5" t="s">
        <v>704</v>
      </c>
      <c r="S820" s="5" t="s">
        <v>685</v>
      </c>
      <c r="T820" s="5" t="s">
        <v>445</v>
      </c>
      <c r="U820" s="5"/>
      <c r="V820" s="5"/>
      <c r="W820" s="5"/>
      <c r="X820" s="5"/>
      <c r="Y820" s="5"/>
      <c r="Z820" s="5"/>
      <c r="AA820" s="5"/>
    </row>
    <row r="821" spans="5:27" customFormat="1">
      <c r="E821" s="88"/>
      <c r="F821" s="36" t="s">
        <v>295</v>
      </c>
      <c r="G821" s="5" t="s">
        <v>296</v>
      </c>
      <c r="H821" s="5"/>
      <c r="I821" s="62">
        <v>-29400</v>
      </c>
      <c r="J821" s="62">
        <v>-20.704225352112701</v>
      </c>
      <c r="K821" s="62">
        <v>1420</v>
      </c>
      <c r="L821" s="100" t="s">
        <v>1030</v>
      </c>
      <c r="M821" s="5" t="s">
        <v>452</v>
      </c>
      <c r="N821" s="34" t="s">
        <v>464</v>
      </c>
      <c r="O821" s="5" t="s">
        <v>1031</v>
      </c>
      <c r="P821" s="5" t="s">
        <v>597</v>
      </c>
      <c r="Q821" s="5" t="s">
        <v>1032</v>
      </c>
      <c r="R821" s="5" t="s">
        <v>1060</v>
      </c>
      <c r="S821" s="5" t="s">
        <v>1033</v>
      </c>
      <c r="T821" s="5" t="s">
        <v>445</v>
      </c>
      <c r="U821" s="5"/>
      <c r="V821" s="5"/>
      <c r="W821" s="5"/>
      <c r="X821" s="5"/>
      <c r="Y821" s="5"/>
      <c r="Z821" s="5"/>
      <c r="AA821" s="5"/>
    </row>
    <row r="822" spans="5:27" customFormat="1">
      <c r="E822" s="88"/>
      <c r="F822" s="36" t="s">
        <v>295</v>
      </c>
      <c r="G822" s="5" t="s">
        <v>296</v>
      </c>
      <c r="H822" s="5"/>
      <c r="I822" s="62">
        <v>-38000</v>
      </c>
      <c r="J822" s="62">
        <v>-25.3333333333333</v>
      </c>
      <c r="K822" s="62">
        <v>1500</v>
      </c>
      <c r="L822" s="100" t="s">
        <v>858</v>
      </c>
      <c r="M822" s="5" t="s">
        <v>452</v>
      </c>
      <c r="N822" s="34" t="s">
        <v>464</v>
      </c>
      <c r="O822" s="5" t="s">
        <v>880</v>
      </c>
      <c r="P822" s="5" t="s">
        <v>597</v>
      </c>
      <c r="Q822" s="5" t="s">
        <v>881</v>
      </c>
      <c r="R822" s="5" t="s">
        <v>891</v>
      </c>
      <c r="S822" s="5" t="s">
        <v>882</v>
      </c>
      <c r="T822" s="5" t="s">
        <v>445</v>
      </c>
      <c r="U822" s="5"/>
      <c r="V822" s="5"/>
      <c r="W822" s="5"/>
      <c r="X822" s="5"/>
      <c r="Y822" s="5"/>
      <c r="Z822" s="5"/>
      <c r="AA822" s="5"/>
    </row>
    <row r="823" spans="5:27" customFormat="1">
      <c r="E823" s="88"/>
      <c r="F823" s="36" t="s">
        <v>295</v>
      </c>
      <c r="G823" s="5" t="s">
        <v>296</v>
      </c>
      <c r="H823" s="5"/>
      <c r="I823" s="62">
        <v>-49000</v>
      </c>
      <c r="J823" s="62">
        <v>-35.251798561151098</v>
      </c>
      <c r="K823" s="62">
        <v>1390</v>
      </c>
      <c r="L823" s="100" t="s">
        <v>628</v>
      </c>
      <c r="M823" s="5" t="s">
        <v>452</v>
      </c>
      <c r="N823" s="34" t="s">
        <v>464</v>
      </c>
      <c r="O823" s="5" t="s">
        <v>1019</v>
      </c>
      <c r="P823" s="5" t="s">
        <v>597</v>
      </c>
      <c r="Q823" s="5" t="s">
        <v>1020</v>
      </c>
      <c r="R823" s="5" t="s">
        <v>1026</v>
      </c>
      <c r="S823" s="5" t="s">
        <v>1022</v>
      </c>
      <c r="T823" s="5" t="s">
        <v>445</v>
      </c>
      <c r="U823" s="5"/>
      <c r="V823" s="5"/>
      <c r="W823" s="5"/>
      <c r="X823" s="5"/>
      <c r="Y823" s="5"/>
      <c r="Z823" s="5"/>
      <c r="AA823" s="5"/>
    </row>
    <row r="824" spans="5:27" customFormat="1">
      <c r="E824" s="88"/>
      <c r="F824" s="36" t="s">
        <v>295</v>
      </c>
      <c r="G824" s="5" t="s">
        <v>296</v>
      </c>
      <c r="H824" s="5"/>
      <c r="I824" s="62">
        <v>-4650</v>
      </c>
      <c r="J824" s="62">
        <v>-3.2978723404255299</v>
      </c>
      <c r="K824" s="62">
        <v>1410</v>
      </c>
      <c r="L824" s="100" t="s">
        <v>678</v>
      </c>
      <c r="M824" s="5" t="s">
        <v>452</v>
      </c>
      <c r="N824" s="34" t="s">
        <v>464</v>
      </c>
      <c r="O824" s="5" t="s">
        <v>683</v>
      </c>
      <c r="P824" s="5" t="s">
        <v>597</v>
      </c>
      <c r="Q824" s="5" t="s">
        <v>684</v>
      </c>
      <c r="R824" s="5" t="s">
        <v>699</v>
      </c>
      <c r="S824" s="5" t="s">
        <v>685</v>
      </c>
      <c r="T824" s="5" t="s">
        <v>445</v>
      </c>
      <c r="U824" s="5"/>
      <c r="V824" s="5"/>
      <c r="W824" s="5"/>
      <c r="X824" s="5"/>
      <c r="Y824" s="5"/>
      <c r="Z824" s="5"/>
      <c r="AA824" s="5"/>
    </row>
    <row r="825" spans="5:27" customFormat="1">
      <c r="E825" s="88"/>
      <c r="F825" s="36" t="s">
        <v>295</v>
      </c>
      <c r="G825" s="5" t="s">
        <v>296</v>
      </c>
      <c r="H825" s="5"/>
      <c r="I825" s="62">
        <v>-279000</v>
      </c>
      <c r="J825" s="62">
        <v>-203.64963503649599</v>
      </c>
      <c r="K825" s="62">
        <v>1370</v>
      </c>
      <c r="L825" s="100" t="s">
        <v>468</v>
      </c>
      <c r="M825" s="5" t="s">
        <v>452</v>
      </c>
      <c r="N825" s="34" t="s">
        <v>464</v>
      </c>
      <c r="O825" s="5" t="s">
        <v>510</v>
      </c>
      <c r="P825" s="5" t="s">
        <v>454</v>
      </c>
      <c r="Q825" s="5" t="s">
        <v>511</v>
      </c>
      <c r="R825" s="5" t="s">
        <v>516</v>
      </c>
      <c r="S825" s="5" t="s">
        <v>513</v>
      </c>
      <c r="T825" s="5" t="s">
        <v>445</v>
      </c>
      <c r="U825" s="5"/>
      <c r="V825" s="5"/>
      <c r="W825" s="5"/>
      <c r="X825" s="5"/>
      <c r="Y825" s="5"/>
      <c r="Z825" s="5"/>
      <c r="AA825" s="5"/>
    </row>
    <row r="826" spans="5:27" customFormat="1">
      <c r="E826" s="88"/>
      <c r="F826" s="36" t="s">
        <v>295</v>
      </c>
      <c r="G826" s="5" t="s">
        <v>296</v>
      </c>
      <c r="H826" s="5"/>
      <c r="I826" s="62">
        <v>-26200</v>
      </c>
      <c r="J826" s="62">
        <v>-18.848920863309399</v>
      </c>
      <c r="K826" s="62">
        <v>1390</v>
      </c>
      <c r="L826" s="100" t="s">
        <v>628</v>
      </c>
      <c r="M826" s="5" t="s">
        <v>452</v>
      </c>
      <c r="N826" s="34" t="s">
        <v>464</v>
      </c>
      <c r="O826" s="5" t="s">
        <v>629</v>
      </c>
      <c r="P826" s="5" t="s">
        <v>597</v>
      </c>
      <c r="Q826" s="5" t="s">
        <v>630</v>
      </c>
      <c r="R826" s="5" t="s">
        <v>653</v>
      </c>
      <c r="S826" s="5" t="s">
        <v>632</v>
      </c>
      <c r="T826" s="5" t="s">
        <v>445</v>
      </c>
      <c r="U826" s="5"/>
      <c r="V826" s="5"/>
      <c r="W826" s="5"/>
      <c r="X826" s="5"/>
      <c r="Y826" s="5"/>
      <c r="Z826" s="5"/>
      <c r="AA826" s="5"/>
    </row>
    <row r="827" spans="5:27" customFormat="1">
      <c r="E827" s="88"/>
      <c r="F827" s="36" t="s">
        <v>295</v>
      </c>
      <c r="G827" s="5" t="s">
        <v>296</v>
      </c>
      <c r="H827" s="5"/>
      <c r="I827" s="62">
        <v>-900</v>
      </c>
      <c r="J827" s="62">
        <v>-0.64748201438848896</v>
      </c>
      <c r="K827" s="62">
        <v>1390</v>
      </c>
      <c r="L827" s="100" t="s">
        <v>628</v>
      </c>
      <c r="M827" s="5" t="s">
        <v>452</v>
      </c>
      <c r="N827" s="34" t="s">
        <v>464</v>
      </c>
      <c r="O827" s="5" t="s">
        <v>629</v>
      </c>
      <c r="P827" s="5" t="s">
        <v>597</v>
      </c>
      <c r="Q827" s="5" t="s">
        <v>630</v>
      </c>
      <c r="R827" s="5" t="s">
        <v>660</v>
      </c>
      <c r="S827" s="5" t="s">
        <v>632</v>
      </c>
      <c r="T827" s="5" t="s">
        <v>445</v>
      </c>
      <c r="U827" s="5"/>
      <c r="V827" s="5"/>
      <c r="W827" s="5"/>
      <c r="X827" s="5"/>
      <c r="Y827" s="5"/>
      <c r="Z827" s="5"/>
      <c r="AA827" s="5"/>
    </row>
    <row r="828" spans="5:27" customFormat="1">
      <c r="E828" s="88"/>
      <c r="F828" s="36" t="s">
        <v>295</v>
      </c>
      <c r="G828" s="5" t="s">
        <v>296</v>
      </c>
      <c r="H828" s="5"/>
      <c r="I828" s="62">
        <v>-900</v>
      </c>
      <c r="J828" s="62">
        <v>-0.62937062937062904</v>
      </c>
      <c r="K828" s="62">
        <v>1430</v>
      </c>
      <c r="L828" s="100" t="s">
        <v>751</v>
      </c>
      <c r="M828" s="5" t="s">
        <v>452</v>
      </c>
      <c r="N828" s="34" t="s">
        <v>464</v>
      </c>
      <c r="O828" s="5" t="s">
        <v>752</v>
      </c>
      <c r="P828" s="5" t="s">
        <v>597</v>
      </c>
      <c r="Q828" s="5" t="s">
        <v>753</v>
      </c>
      <c r="R828" s="5" t="s">
        <v>660</v>
      </c>
      <c r="S828" s="5" t="s">
        <v>755</v>
      </c>
      <c r="T828" s="5" t="s">
        <v>445</v>
      </c>
      <c r="U828" s="5"/>
      <c r="V828" s="5"/>
      <c r="W828" s="5"/>
      <c r="X828" s="5"/>
      <c r="Y828" s="5"/>
      <c r="Z828" s="5"/>
      <c r="AA828" s="5"/>
    </row>
    <row r="829" spans="5:27" customFormat="1">
      <c r="E829" s="88"/>
      <c r="F829" s="36" t="s">
        <v>295</v>
      </c>
      <c r="G829" s="5" t="s">
        <v>296</v>
      </c>
      <c r="H829" s="5"/>
      <c r="I829" s="62">
        <v>-900</v>
      </c>
      <c r="J829" s="62">
        <v>-0.64748201438848896</v>
      </c>
      <c r="K829" s="62">
        <v>1390</v>
      </c>
      <c r="L829" s="100" t="s">
        <v>628</v>
      </c>
      <c r="M829" s="5" t="s">
        <v>452</v>
      </c>
      <c r="N829" s="34" t="s">
        <v>464</v>
      </c>
      <c r="O829" s="5" t="s">
        <v>629</v>
      </c>
      <c r="P829" s="5" t="s">
        <v>597</v>
      </c>
      <c r="Q829" s="5" t="s">
        <v>630</v>
      </c>
      <c r="R829" s="5" t="s">
        <v>637</v>
      </c>
      <c r="S829" s="5" t="s">
        <v>632</v>
      </c>
      <c r="T829" s="5" t="s">
        <v>445</v>
      </c>
      <c r="U829" s="5"/>
      <c r="V829" s="5"/>
      <c r="W829" s="5"/>
      <c r="X829" s="5"/>
      <c r="Y829" s="5"/>
      <c r="Z829" s="5"/>
      <c r="AA829" s="5"/>
    </row>
    <row r="830" spans="5:27" customFormat="1">
      <c r="E830" s="88"/>
      <c r="F830" s="36" t="s">
        <v>295</v>
      </c>
      <c r="G830" s="5" t="s">
        <v>296</v>
      </c>
      <c r="H830" s="5"/>
      <c r="I830" s="62">
        <v>-900</v>
      </c>
      <c r="J830" s="62">
        <v>-0.64748201438848896</v>
      </c>
      <c r="K830" s="62">
        <v>1390</v>
      </c>
      <c r="L830" s="100" t="s">
        <v>628</v>
      </c>
      <c r="M830" s="5" t="s">
        <v>452</v>
      </c>
      <c r="N830" s="34" t="s">
        <v>464</v>
      </c>
      <c r="O830" s="5" t="s">
        <v>629</v>
      </c>
      <c r="P830" s="5" t="s">
        <v>597</v>
      </c>
      <c r="Q830" s="5" t="s">
        <v>630</v>
      </c>
      <c r="R830" s="5" t="s">
        <v>637</v>
      </c>
      <c r="S830" s="5" t="s">
        <v>632</v>
      </c>
      <c r="T830" s="5" t="s">
        <v>445</v>
      </c>
      <c r="U830" s="5"/>
      <c r="V830" s="5"/>
      <c r="W830" s="5"/>
      <c r="X830" s="5"/>
      <c r="Y830" s="5"/>
      <c r="Z830" s="5"/>
      <c r="AA830" s="5"/>
    </row>
    <row r="831" spans="5:27" customFormat="1">
      <c r="E831" s="88"/>
      <c r="F831" s="36" t="s">
        <v>295</v>
      </c>
      <c r="G831" s="5" t="s">
        <v>296</v>
      </c>
      <c r="H831" s="5"/>
      <c r="I831" s="62">
        <v>-900</v>
      </c>
      <c r="J831" s="62">
        <v>-0.64748201438848896</v>
      </c>
      <c r="K831" s="62">
        <v>1390</v>
      </c>
      <c r="L831" s="100" t="s">
        <v>628</v>
      </c>
      <c r="M831" s="5" t="s">
        <v>452</v>
      </c>
      <c r="N831" s="34" t="s">
        <v>464</v>
      </c>
      <c r="O831" s="5" t="s">
        <v>629</v>
      </c>
      <c r="P831" s="5" t="s">
        <v>597</v>
      </c>
      <c r="Q831" s="5" t="s">
        <v>630</v>
      </c>
      <c r="R831" s="5" t="s">
        <v>637</v>
      </c>
      <c r="S831" s="5" t="s">
        <v>632</v>
      </c>
      <c r="T831" s="5" t="s">
        <v>445</v>
      </c>
      <c r="U831" s="5"/>
      <c r="V831" s="5"/>
      <c r="W831" s="5"/>
      <c r="X831" s="5"/>
      <c r="Y831" s="5"/>
      <c r="Z831" s="5"/>
      <c r="AA831" s="5"/>
    </row>
    <row r="832" spans="5:27" customFormat="1">
      <c r="E832" s="88"/>
      <c r="F832" s="36" t="s">
        <v>295</v>
      </c>
      <c r="G832" s="5" t="s">
        <v>296</v>
      </c>
      <c r="H832" s="5"/>
      <c r="I832" s="62">
        <v>-900</v>
      </c>
      <c r="J832" s="62">
        <v>-0.62937062937062904</v>
      </c>
      <c r="K832" s="62">
        <v>1430</v>
      </c>
      <c r="L832" s="100" t="s">
        <v>751</v>
      </c>
      <c r="M832" s="5" t="s">
        <v>452</v>
      </c>
      <c r="N832" s="34" t="s">
        <v>464</v>
      </c>
      <c r="O832" s="5" t="s">
        <v>752</v>
      </c>
      <c r="P832" s="5" t="s">
        <v>597</v>
      </c>
      <c r="Q832" s="5" t="s">
        <v>753</v>
      </c>
      <c r="R832" s="5" t="s">
        <v>637</v>
      </c>
      <c r="S832" s="5" t="s">
        <v>755</v>
      </c>
      <c r="T832" s="5" t="s">
        <v>445</v>
      </c>
      <c r="U832" s="5"/>
      <c r="V832" s="5"/>
      <c r="W832" s="5"/>
      <c r="X832" s="5"/>
      <c r="Y832" s="5"/>
      <c r="Z832" s="5"/>
      <c r="AA832" s="5"/>
    </row>
    <row r="833" spans="5:27" customFormat="1">
      <c r="E833" s="88"/>
      <c r="F833" s="36" t="s">
        <v>295</v>
      </c>
      <c r="G833" s="5" t="s">
        <v>296</v>
      </c>
      <c r="H833" s="5"/>
      <c r="I833" s="62">
        <v>-900</v>
      </c>
      <c r="J833" s="62">
        <v>-0.62937062937062904</v>
      </c>
      <c r="K833" s="62">
        <v>1430</v>
      </c>
      <c r="L833" s="100" t="s">
        <v>751</v>
      </c>
      <c r="M833" s="5" t="s">
        <v>452</v>
      </c>
      <c r="N833" s="34" t="s">
        <v>464</v>
      </c>
      <c r="O833" s="5" t="s">
        <v>752</v>
      </c>
      <c r="P833" s="5" t="s">
        <v>597</v>
      </c>
      <c r="Q833" s="5" t="s">
        <v>753</v>
      </c>
      <c r="R833" s="5" t="s">
        <v>637</v>
      </c>
      <c r="S833" s="5" t="s">
        <v>755</v>
      </c>
      <c r="T833" s="5" t="s">
        <v>445</v>
      </c>
      <c r="U833" s="5"/>
      <c r="V833" s="5"/>
      <c r="W833" s="5"/>
      <c r="X833" s="5"/>
      <c r="Y833" s="5"/>
      <c r="Z833" s="5"/>
      <c r="AA833" s="5"/>
    </row>
    <row r="834" spans="5:27" customFormat="1">
      <c r="E834" s="88"/>
      <c r="F834" s="36" t="s">
        <v>295</v>
      </c>
      <c r="G834" s="5" t="s">
        <v>296</v>
      </c>
      <c r="H834" s="5"/>
      <c r="I834" s="62">
        <v>-700</v>
      </c>
      <c r="J834" s="62">
        <v>-0.48951048951048998</v>
      </c>
      <c r="K834" s="62">
        <v>1430</v>
      </c>
      <c r="L834" s="100" t="s">
        <v>751</v>
      </c>
      <c r="M834" s="5" t="s">
        <v>452</v>
      </c>
      <c r="N834" s="34" t="s">
        <v>464</v>
      </c>
      <c r="O834" s="5" t="s">
        <v>752</v>
      </c>
      <c r="P834" s="5" t="s">
        <v>597</v>
      </c>
      <c r="Q834" s="5" t="s">
        <v>753</v>
      </c>
      <c r="R834" s="5" t="s">
        <v>637</v>
      </c>
      <c r="S834" s="5" t="s">
        <v>755</v>
      </c>
      <c r="T834" s="5" t="s">
        <v>445</v>
      </c>
      <c r="U834" s="5"/>
      <c r="V834" s="5"/>
      <c r="W834" s="5"/>
      <c r="X834" s="5"/>
      <c r="Y834" s="5"/>
      <c r="Z834" s="5"/>
      <c r="AA834" s="5"/>
    </row>
    <row r="835" spans="5:27" customFormat="1">
      <c r="E835" s="88"/>
      <c r="F835" s="36" t="s">
        <v>295</v>
      </c>
      <c r="G835" s="5" t="s">
        <v>296</v>
      </c>
      <c r="H835" s="5"/>
      <c r="I835" s="62">
        <v>-900</v>
      </c>
      <c r="J835" s="62">
        <v>-0.6</v>
      </c>
      <c r="K835" s="62">
        <v>1500</v>
      </c>
      <c r="L835" s="100" t="s">
        <v>858</v>
      </c>
      <c r="M835" s="5" t="s">
        <v>452</v>
      </c>
      <c r="N835" s="34" t="s">
        <v>464</v>
      </c>
      <c r="O835" s="5" t="s">
        <v>880</v>
      </c>
      <c r="P835" s="5" t="s">
        <v>597</v>
      </c>
      <c r="Q835" s="5" t="s">
        <v>881</v>
      </c>
      <c r="R835" s="5" t="s">
        <v>637</v>
      </c>
      <c r="S835" s="5" t="s">
        <v>882</v>
      </c>
      <c r="T835" s="5" t="s">
        <v>445</v>
      </c>
      <c r="U835" s="5"/>
      <c r="V835" s="5"/>
      <c r="W835" s="5"/>
      <c r="X835" s="5"/>
      <c r="Y835" s="5"/>
      <c r="Z835" s="5"/>
      <c r="AA835" s="5"/>
    </row>
    <row r="836" spans="5:27" customFormat="1">
      <c r="E836" s="88"/>
      <c r="F836" s="36" t="s">
        <v>295</v>
      </c>
      <c r="G836" s="5" t="s">
        <v>296</v>
      </c>
      <c r="H836" s="5"/>
      <c r="I836" s="62">
        <v>-700</v>
      </c>
      <c r="J836" s="62">
        <v>-0.46666666666666701</v>
      </c>
      <c r="K836" s="62">
        <v>1500</v>
      </c>
      <c r="L836" s="100" t="s">
        <v>858</v>
      </c>
      <c r="M836" s="5" t="s">
        <v>452</v>
      </c>
      <c r="N836" s="34" t="s">
        <v>464</v>
      </c>
      <c r="O836" s="5" t="s">
        <v>880</v>
      </c>
      <c r="P836" s="5" t="s">
        <v>597</v>
      </c>
      <c r="Q836" s="5" t="s">
        <v>881</v>
      </c>
      <c r="R836" s="5" t="s">
        <v>637</v>
      </c>
      <c r="S836" s="5" t="s">
        <v>882</v>
      </c>
      <c r="T836" s="5" t="s">
        <v>445</v>
      </c>
      <c r="U836" s="5"/>
      <c r="V836" s="5"/>
      <c r="W836" s="5"/>
      <c r="X836" s="5"/>
      <c r="Y836" s="5"/>
      <c r="Z836" s="5"/>
      <c r="AA836" s="5"/>
    </row>
    <row r="837" spans="5:27" customFormat="1">
      <c r="E837" s="88"/>
      <c r="F837" s="36" t="s">
        <v>295</v>
      </c>
      <c r="G837" s="5" t="s">
        <v>296</v>
      </c>
      <c r="H837" s="5"/>
      <c r="I837" s="62">
        <v>-5900</v>
      </c>
      <c r="J837" s="62">
        <v>-4.1258741258741303</v>
      </c>
      <c r="K837" s="62">
        <v>1430</v>
      </c>
      <c r="L837" s="100" t="s">
        <v>751</v>
      </c>
      <c r="M837" s="5" t="s">
        <v>452</v>
      </c>
      <c r="N837" s="34" t="s">
        <v>464</v>
      </c>
      <c r="O837" s="5" t="s">
        <v>752</v>
      </c>
      <c r="P837" s="5" t="s">
        <v>597</v>
      </c>
      <c r="Q837" s="5" t="s">
        <v>753</v>
      </c>
      <c r="R837" s="5" t="s">
        <v>761</v>
      </c>
      <c r="S837" s="5" t="s">
        <v>755</v>
      </c>
      <c r="T837" s="5" t="s">
        <v>445</v>
      </c>
      <c r="U837" s="5"/>
      <c r="V837" s="5"/>
      <c r="W837" s="5"/>
      <c r="X837" s="5"/>
      <c r="Y837" s="5"/>
      <c r="Z837" s="5"/>
      <c r="AA837" s="5"/>
    </row>
    <row r="838" spans="5:27" customFormat="1">
      <c r="E838" s="88"/>
      <c r="F838" s="36" t="s">
        <v>295</v>
      </c>
      <c r="G838" s="5" t="s">
        <v>296</v>
      </c>
      <c r="H838" s="5"/>
      <c r="I838" s="62">
        <v>-18487</v>
      </c>
      <c r="J838" s="62">
        <v>-13.3</v>
      </c>
      <c r="K838" s="62">
        <v>1390</v>
      </c>
      <c r="L838" s="100" t="s">
        <v>628</v>
      </c>
      <c r="M838" s="5" t="s">
        <v>452</v>
      </c>
      <c r="N838" s="34" t="s">
        <v>464</v>
      </c>
      <c r="O838" s="5" t="s">
        <v>629</v>
      </c>
      <c r="P838" s="5" t="s">
        <v>597</v>
      </c>
      <c r="Q838" s="5" t="s">
        <v>630</v>
      </c>
      <c r="R838" s="5" t="s">
        <v>649</v>
      </c>
      <c r="S838" s="5" t="s">
        <v>632</v>
      </c>
      <c r="T838" s="5" t="s">
        <v>445</v>
      </c>
      <c r="U838" s="5"/>
      <c r="V838" s="5"/>
      <c r="W838" s="5"/>
      <c r="X838" s="5"/>
      <c r="Y838" s="5"/>
      <c r="Z838" s="5"/>
      <c r="AA838" s="5"/>
    </row>
    <row r="839" spans="5:27" customFormat="1">
      <c r="E839" s="88"/>
      <c r="F839" s="36" t="s">
        <v>295</v>
      </c>
      <c r="G839" s="5" t="s">
        <v>296</v>
      </c>
      <c r="H839" s="5"/>
      <c r="I839" s="62">
        <v>-51013</v>
      </c>
      <c r="J839" s="62">
        <v>-36.179432624113502</v>
      </c>
      <c r="K839" s="62">
        <v>1410</v>
      </c>
      <c r="L839" s="100" t="s">
        <v>678</v>
      </c>
      <c r="M839" s="5" t="s">
        <v>452</v>
      </c>
      <c r="N839" s="34" t="s">
        <v>464</v>
      </c>
      <c r="O839" s="5" t="s">
        <v>683</v>
      </c>
      <c r="P839" s="5" t="s">
        <v>597</v>
      </c>
      <c r="Q839" s="5" t="s">
        <v>684</v>
      </c>
      <c r="R839" s="5" t="s">
        <v>690</v>
      </c>
      <c r="S839" s="5" t="s">
        <v>685</v>
      </c>
      <c r="T839" s="5" t="s">
        <v>445</v>
      </c>
      <c r="U839" s="5"/>
      <c r="V839" s="5"/>
      <c r="W839" s="5"/>
      <c r="X839" s="5"/>
      <c r="Y839" s="5"/>
      <c r="Z839" s="5"/>
      <c r="AA839" s="5"/>
    </row>
    <row r="840" spans="5:27" customFormat="1">
      <c r="E840" s="88"/>
      <c r="F840" s="36" t="s">
        <v>295</v>
      </c>
      <c r="G840" s="5" t="s">
        <v>296</v>
      </c>
      <c r="H840" s="5"/>
      <c r="I840" s="62">
        <v>-19000</v>
      </c>
      <c r="J840" s="62">
        <v>-13.286713286713301</v>
      </c>
      <c r="K840" s="62">
        <v>1430</v>
      </c>
      <c r="L840" s="100" t="s">
        <v>751</v>
      </c>
      <c r="M840" s="5" t="s">
        <v>452</v>
      </c>
      <c r="N840" s="34" t="s">
        <v>464</v>
      </c>
      <c r="O840" s="5" t="s">
        <v>752</v>
      </c>
      <c r="P840" s="5" t="s">
        <v>597</v>
      </c>
      <c r="Q840" s="5" t="s">
        <v>753</v>
      </c>
      <c r="R840" s="5" t="s">
        <v>767</v>
      </c>
      <c r="S840" s="5" t="s">
        <v>755</v>
      </c>
      <c r="T840" s="5" t="s">
        <v>445</v>
      </c>
      <c r="U840" s="5"/>
      <c r="V840" s="5"/>
      <c r="W840" s="5"/>
      <c r="X840" s="5"/>
      <c r="Y840" s="5"/>
      <c r="Z840" s="5"/>
      <c r="AA840" s="5"/>
    </row>
    <row r="841" spans="5:27" customFormat="1">
      <c r="E841" s="88"/>
      <c r="F841" s="36" t="s">
        <v>295</v>
      </c>
      <c r="G841" s="5" t="s">
        <v>296</v>
      </c>
      <c r="H841" s="5"/>
      <c r="I841" s="62">
        <v>-89990</v>
      </c>
      <c r="J841" s="62">
        <v>-63.373239436619698</v>
      </c>
      <c r="K841" s="62">
        <v>1420</v>
      </c>
      <c r="L841" s="100" t="s">
        <v>1030</v>
      </c>
      <c r="M841" s="5" t="s">
        <v>452</v>
      </c>
      <c r="N841" s="34" t="s">
        <v>464</v>
      </c>
      <c r="O841" s="5" t="s">
        <v>1031</v>
      </c>
      <c r="P841" s="5" t="s">
        <v>597</v>
      </c>
      <c r="Q841" s="5" t="s">
        <v>1032</v>
      </c>
      <c r="R841" s="5" t="s">
        <v>1062</v>
      </c>
      <c r="S841" s="5" t="s">
        <v>1033</v>
      </c>
      <c r="T841" s="5" t="s">
        <v>445</v>
      </c>
      <c r="U841" s="5"/>
      <c r="V841" s="5"/>
      <c r="W841" s="5"/>
      <c r="X841" s="5"/>
      <c r="Y841" s="5"/>
      <c r="Z841" s="5"/>
      <c r="AA841" s="5"/>
    </row>
    <row r="842" spans="5:27" customFormat="1">
      <c r="E842" s="88"/>
      <c r="F842" s="36" t="s">
        <v>295</v>
      </c>
      <c r="G842" s="5" t="s">
        <v>296</v>
      </c>
      <c r="H842" s="5"/>
      <c r="I842" s="62">
        <v>-9000</v>
      </c>
      <c r="J842" s="62">
        <v>-6.2937062937062898</v>
      </c>
      <c r="K842" s="62">
        <v>1430</v>
      </c>
      <c r="L842" s="100" t="s">
        <v>751</v>
      </c>
      <c r="M842" s="5" t="s">
        <v>452</v>
      </c>
      <c r="N842" s="34" t="s">
        <v>464</v>
      </c>
      <c r="O842" s="5" t="s">
        <v>752</v>
      </c>
      <c r="P842" s="5" t="s">
        <v>597</v>
      </c>
      <c r="Q842" s="5" t="s">
        <v>753</v>
      </c>
      <c r="R842" s="5" t="s">
        <v>772</v>
      </c>
      <c r="S842" s="5" t="s">
        <v>755</v>
      </c>
      <c r="T842" s="5" t="s">
        <v>445</v>
      </c>
      <c r="U842" s="5"/>
      <c r="V842" s="5"/>
      <c r="W842" s="5"/>
      <c r="X842" s="5"/>
      <c r="Y842" s="5"/>
      <c r="Z842" s="5"/>
      <c r="AA842" s="5"/>
    </row>
    <row r="843" spans="5:27" customFormat="1">
      <c r="E843" s="88"/>
      <c r="F843" s="36" t="s">
        <v>295</v>
      </c>
      <c r="G843" s="5" t="s">
        <v>296</v>
      </c>
      <c r="H843" s="5"/>
      <c r="I843" s="62">
        <v>-76600</v>
      </c>
      <c r="J843" s="62">
        <v>-51.066666666666698</v>
      </c>
      <c r="K843" s="62">
        <v>1500</v>
      </c>
      <c r="L843" s="100" t="s">
        <v>858</v>
      </c>
      <c r="M843" s="5" t="s">
        <v>452</v>
      </c>
      <c r="N843" s="34" t="s">
        <v>464</v>
      </c>
      <c r="O843" s="5" t="s">
        <v>880</v>
      </c>
      <c r="P843" s="5" t="s">
        <v>597</v>
      </c>
      <c r="Q843" s="5" t="s">
        <v>881</v>
      </c>
      <c r="R843" s="5" t="s">
        <v>896</v>
      </c>
      <c r="S843" s="5" t="s">
        <v>882</v>
      </c>
      <c r="T843" s="5" t="s">
        <v>445</v>
      </c>
      <c r="U843" s="5"/>
      <c r="V843" s="5"/>
      <c r="W843" s="5"/>
      <c r="X843" s="5"/>
      <c r="Y843" s="5"/>
      <c r="Z843" s="5"/>
      <c r="AA843" s="5"/>
    </row>
    <row r="844" spans="5:27" customFormat="1">
      <c r="E844" s="88"/>
      <c r="F844" s="36" t="s">
        <v>295</v>
      </c>
      <c r="G844" s="5" t="s">
        <v>296</v>
      </c>
      <c r="H844" s="5"/>
      <c r="I844" s="62">
        <v>-10000</v>
      </c>
      <c r="J844" s="62">
        <v>-7.0422535211267601</v>
      </c>
      <c r="K844" s="62">
        <v>1420</v>
      </c>
      <c r="L844" s="100" t="s">
        <v>1030</v>
      </c>
      <c r="M844" s="5" t="s">
        <v>452</v>
      </c>
      <c r="N844" s="34" t="s">
        <v>464</v>
      </c>
      <c r="O844" s="5" t="s">
        <v>1031</v>
      </c>
      <c r="P844" s="5" t="s">
        <v>597</v>
      </c>
      <c r="Q844" s="5" t="s">
        <v>1032</v>
      </c>
      <c r="R844" s="5" t="s">
        <v>1035</v>
      </c>
      <c r="S844" s="5" t="s">
        <v>1033</v>
      </c>
      <c r="T844" s="5" t="s">
        <v>445</v>
      </c>
      <c r="U844" s="5"/>
      <c r="V844" s="5"/>
      <c r="W844" s="5"/>
      <c r="X844" s="5"/>
      <c r="Y844" s="5"/>
      <c r="Z844" s="5"/>
      <c r="AA844" s="5"/>
    </row>
    <row r="845" spans="5:27" customFormat="1">
      <c r="E845" s="88"/>
      <c r="F845" s="36" t="s">
        <v>295</v>
      </c>
      <c r="G845" s="5" t="s">
        <v>296</v>
      </c>
      <c r="H845" s="5"/>
      <c r="I845" s="62">
        <v>-2000</v>
      </c>
      <c r="J845" s="62">
        <v>-1.40845070422535</v>
      </c>
      <c r="K845" s="62">
        <v>1420</v>
      </c>
      <c r="L845" s="100" t="s">
        <v>1030</v>
      </c>
      <c r="M845" s="5" t="s">
        <v>452</v>
      </c>
      <c r="N845" s="34" t="s">
        <v>464</v>
      </c>
      <c r="O845" s="5" t="s">
        <v>1031</v>
      </c>
      <c r="P845" s="5" t="s">
        <v>597</v>
      </c>
      <c r="Q845" s="5" t="s">
        <v>1032</v>
      </c>
      <c r="R845" s="5" t="s">
        <v>1070</v>
      </c>
      <c r="S845" s="5" t="s">
        <v>1033</v>
      </c>
      <c r="T845" s="5" t="s">
        <v>445</v>
      </c>
      <c r="U845" s="5"/>
      <c r="V845" s="5"/>
      <c r="W845" s="5"/>
      <c r="X845" s="5"/>
      <c r="Y845" s="5"/>
      <c r="Z845" s="5"/>
      <c r="AA845" s="5"/>
    </row>
    <row r="846" spans="5:27" customFormat="1">
      <c r="E846" s="88"/>
      <c r="F846" s="36" t="s">
        <v>295</v>
      </c>
      <c r="G846" s="5" t="s">
        <v>296</v>
      </c>
      <c r="H846" s="5"/>
      <c r="I846" s="62">
        <v>-34000</v>
      </c>
      <c r="J846" s="62">
        <v>-23.943661971830998</v>
      </c>
      <c r="K846" s="62">
        <v>1420</v>
      </c>
      <c r="L846" s="100" t="s">
        <v>1030</v>
      </c>
      <c r="M846" s="5" t="s">
        <v>452</v>
      </c>
      <c r="N846" s="34" t="s">
        <v>464</v>
      </c>
      <c r="O846" s="5" t="s">
        <v>1031</v>
      </c>
      <c r="P846" s="5" t="s">
        <v>597</v>
      </c>
      <c r="Q846" s="5" t="s">
        <v>1032</v>
      </c>
      <c r="R846" s="5" t="s">
        <v>1039</v>
      </c>
      <c r="S846" s="5" t="s">
        <v>1033</v>
      </c>
      <c r="T846" s="5" t="s">
        <v>445</v>
      </c>
      <c r="U846" s="5"/>
      <c r="V846" s="5"/>
      <c r="W846" s="5"/>
      <c r="X846" s="5"/>
      <c r="Y846" s="5"/>
      <c r="Z846" s="5"/>
      <c r="AA846" s="5"/>
    </row>
    <row r="847" spans="5:27" customFormat="1">
      <c r="E847" s="88"/>
      <c r="F847" s="36" t="s">
        <v>295</v>
      </c>
      <c r="G847" s="5" t="s">
        <v>296</v>
      </c>
      <c r="H847" s="5"/>
      <c r="I847" s="62">
        <v>-5000</v>
      </c>
      <c r="J847" s="62">
        <v>-3.4965034965034998</v>
      </c>
      <c r="K847" s="62">
        <v>1430</v>
      </c>
      <c r="L847" s="100" t="s">
        <v>751</v>
      </c>
      <c r="M847" s="5" t="s">
        <v>452</v>
      </c>
      <c r="N847" s="34" t="s">
        <v>464</v>
      </c>
      <c r="O847" s="5" t="s">
        <v>752</v>
      </c>
      <c r="P847" s="5" t="s">
        <v>597</v>
      </c>
      <c r="Q847" s="5" t="s">
        <v>753</v>
      </c>
      <c r="R847" s="5" t="s">
        <v>754</v>
      </c>
      <c r="S847" s="5" t="s">
        <v>755</v>
      </c>
      <c r="T847" s="5" t="s">
        <v>445</v>
      </c>
      <c r="U847" s="5"/>
      <c r="V847" s="5"/>
      <c r="W847" s="5"/>
      <c r="X847" s="5"/>
      <c r="Y847" s="5"/>
      <c r="Z847" s="5"/>
      <c r="AA847" s="5"/>
    </row>
    <row r="848" spans="5:27" customFormat="1">
      <c r="E848" s="88"/>
      <c r="F848" s="36" t="s">
        <v>295</v>
      </c>
      <c r="G848" s="5" t="s">
        <v>296</v>
      </c>
      <c r="H848" s="5"/>
      <c r="I848" s="62">
        <v>-2000</v>
      </c>
      <c r="J848" s="62">
        <v>-1.3986013986014001</v>
      </c>
      <c r="K848" s="62">
        <v>1430</v>
      </c>
      <c r="L848" s="100" t="s">
        <v>751</v>
      </c>
      <c r="M848" s="5" t="s">
        <v>452</v>
      </c>
      <c r="N848" s="34" t="s">
        <v>464</v>
      </c>
      <c r="O848" s="5" t="s">
        <v>752</v>
      </c>
      <c r="P848" s="5" t="s">
        <v>597</v>
      </c>
      <c r="Q848" s="5" t="s">
        <v>753</v>
      </c>
      <c r="R848" s="5" t="s">
        <v>773</v>
      </c>
      <c r="S848" s="5" t="s">
        <v>755</v>
      </c>
      <c r="T848" s="5" t="s">
        <v>445</v>
      </c>
      <c r="U848" s="5"/>
      <c r="V848" s="5"/>
      <c r="W848" s="5"/>
      <c r="X848" s="5"/>
      <c r="Y848" s="5"/>
      <c r="Z848" s="5"/>
      <c r="AA848" s="5"/>
    </row>
    <row r="849" spans="5:27" customFormat="1">
      <c r="E849" s="88"/>
      <c r="F849" s="36" t="s">
        <v>295</v>
      </c>
      <c r="G849" s="5" t="s">
        <v>296</v>
      </c>
      <c r="H849" s="5"/>
      <c r="I849" s="62">
        <v>-51500</v>
      </c>
      <c r="J849" s="62">
        <v>-37.050359712230197</v>
      </c>
      <c r="K849" s="62">
        <v>1390</v>
      </c>
      <c r="L849" s="100" t="s">
        <v>628</v>
      </c>
      <c r="M849" s="5" t="s">
        <v>452</v>
      </c>
      <c r="N849" s="34" t="s">
        <v>464</v>
      </c>
      <c r="O849" s="5" t="s">
        <v>629</v>
      </c>
      <c r="P849" s="5" t="s">
        <v>597</v>
      </c>
      <c r="Q849" s="5" t="s">
        <v>630</v>
      </c>
      <c r="R849" s="5" t="s">
        <v>655</v>
      </c>
      <c r="S849" s="5" t="s">
        <v>632</v>
      </c>
      <c r="T849" s="5" t="s">
        <v>445</v>
      </c>
      <c r="U849" s="5"/>
      <c r="V849" s="5"/>
      <c r="W849" s="5"/>
      <c r="X849" s="5"/>
      <c r="Y849" s="5"/>
      <c r="Z849" s="5"/>
      <c r="AA849" s="5"/>
    </row>
    <row r="850" spans="5:27" customFormat="1">
      <c r="E850" s="88"/>
      <c r="F850" s="36" t="s">
        <v>295</v>
      </c>
      <c r="G850" s="5" t="s">
        <v>296</v>
      </c>
      <c r="H850" s="5"/>
      <c r="I850" s="62">
        <v>-170000</v>
      </c>
      <c r="J850" s="62">
        <v>-122.302158273381</v>
      </c>
      <c r="K850" s="62">
        <v>1390</v>
      </c>
      <c r="L850" s="100" t="s">
        <v>628</v>
      </c>
      <c r="M850" s="5" t="s">
        <v>452</v>
      </c>
      <c r="N850" s="34" t="s">
        <v>464</v>
      </c>
      <c r="O850" s="5" t="s">
        <v>629</v>
      </c>
      <c r="P850" s="5" t="s">
        <v>597</v>
      </c>
      <c r="Q850" s="5" t="s">
        <v>630</v>
      </c>
      <c r="R850" s="5" t="s">
        <v>635</v>
      </c>
      <c r="S850" s="5" t="s">
        <v>632</v>
      </c>
      <c r="T850" s="5" t="s">
        <v>445</v>
      </c>
      <c r="U850" s="5"/>
      <c r="V850" s="5"/>
      <c r="W850" s="5"/>
      <c r="X850" s="5"/>
      <c r="Y850" s="5"/>
      <c r="Z850" s="5"/>
      <c r="AA850" s="5"/>
    </row>
    <row r="851" spans="5:27" customFormat="1">
      <c r="E851" s="88"/>
      <c r="F851" s="36" t="s">
        <v>295</v>
      </c>
      <c r="G851" s="5" t="s">
        <v>296</v>
      </c>
      <c r="H851" s="5"/>
      <c r="I851" s="62">
        <v>-180000</v>
      </c>
      <c r="J851" s="62">
        <v>-127.659574468085</v>
      </c>
      <c r="K851" s="62">
        <v>1410</v>
      </c>
      <c r="L851" s="100" t="s">
        <v>678</v>
      </c>
      <c r="M851" s="5" t="s">
        <v>452</v>
      </c>
      <c r="N851" s="34" t="s">
        <v>464</v>
      </c>
      <c r="O851" s="5" t="s">
        <v>683</v>
      </c>
      <c r="P851" s="5" t="s">
        <v>597</v>
      </c>
      <c r="Q851" s="5" t="s">
        <v>684</v>
      </c>
      <c r="R851" s="5" t="s">
        <v>710</v>
      </c>
      <c r="S851" s="5" t="s">
        <v>685</v>
      </c>
      <c r="T851" s="5" t="s">
        <v>445</v>
      </c>
      <c r="U851" s="5"/>
      <c r="V851" s="5"/>
      <c r="W851" s="5"/>
      <c r="X851" s="5"/>
      <c r="Y851" s="5"/>
      <c r="Z851" s="5"/>
      <c r="AA851" s="5"/>
    </row>
    <row r="852" spans="5:27" customFormat="1">
      <c r="E852" s="88"/>
      <c r="F852" s="36" t="s">
        <v>295</v>
      </c>
      <c r="G852" s="5" t="s">
        <v>296</v>
      </c>
      <c r="H852" s="5"/>
      <c r="I852" s="62">
        <v>-170000</v>
      </c>
      <c r="J852" s="62">
        <v>-122.302158273381</v>
      </c>
      <c r="K852" s="62">
        <v>1390</v>
      </c>
      <c r="L852" s="100" t="s">
        <v>628</v>
      </c>
      <c r="M852" s="5" t="s">
        <v>452</v>
      </c>
      <c r="N852" s="34" t="s">
        <v>464</v>
      </c>
      <c r="O852" s="5" t="s">
        <v>629</v>
      </c>
      <c r="P852" s="5" t="s">
        <v>597</v>
      </c>
      <c r="Q852" s="5" t="s">
        <v>630</v>
      </c>
      <c r="R852" s="5" t="s">
        <v>645</v>
      </c>
      <c r="S852" s="5" t="s">
        <v>632</v>
      </c>
      <c r="T852" s="5" t="s">
        <v>445</v>
      </c>
      <c r="U852" s="5"/>
      <c r="V852" s="5"/>
      <c r="W852" s="5"/>
      <c r="X852" s="5"/>
      <c r="Y852" s="5"/>
      <c r="Z852" s="5"/>
      <c r="AA852" s="5"/>
    </row>
    <row r="853" spans="5:27" customFormat="1">
      <c r="E853" s="88"/>
      <c r="F853" s="36" t="s">
        <v>295</v>
      </c>
      <c r="G853" s="5" t="s">
        <v>296</v>
      </c>
      <c r="H853" s="5"/>
      <c r="I853" s="62">
        <v>-47500</v>
      </c>
      <c r="J853" s="62">
        <v>-33.687943262411302</v>
      </c>
      <c r="K853" s="62">
        <v>1410</v>
      </c>
      <c r="L853" s="100" t="s">
        <v>678</v>
      </c>
      <c r="M853" s="5" t="s">
        <v>452</v>
      </c>
      <c r="N853" s="34" t="s">
        <v>464</v>
      </c>
      <c r="O853" s="5" t="s">
        <v>683</v>
      </c>
      <c r="P853" s="5" t="s">
        <v>597</v>
      </c>
      <c r="Q853" s="5" t="s">
        <v>684</v>
      </c>
      <c r="R853" s="5" t="s">
        <v>709</v>
      </c>
      <c r="S853" s="5" t="s">
        <v>685</v>
      </c>
      <c r="T853" s="5" t="s">
        <v>445</v>
      </c>
      <c r="U853" s="5"/>
      <c r="V853" s="5"/>
      <c r="W853" s="5"/>
      <c r="X853" s="5"/>
      <c r="Y853" s="5"/>
      <c r="Z853" s="5"/>
      <c r="AA853" s="5"/>
    </row>
    <row r="854" spans="5:27" customFormat="1">
      <c r="E854" s="88"/>
      <c r="F854" s="36" t="s">
        <v>295</v>
      </c>
      <c r="G854" s="5" t="s">
        <v>296</v>
      </c>
      <c r="H854" s="5"/>
      <c r="I854" s="62">
        <v>-55000</v>
      </c>
      <c r="J854" s="62">
        <v>-39.568345323740999</v>
      </c>
      <c r="K854" s="62">
        <v>1390</v>
      </c>
      <c r="L854" s="100" t="s">
        <v>628</v>
      </c>
      <c r="M854" s="5" t="s">
        <v>452</v>
      </c>
      <c r="N854" s="34" t="s">
        <v>464</v>
      </c>
      <c r="O854" s="5" t="s">
        <v>629</v>
      </c>
      <c r="P854" s="5" t="s">
        <v>597</v>
      </c>
      <c r="Q854" s="5" t="s">
        <v>630</v>
      </c>
      <c r="R854" s="5" t="s">
        <v>633</v>
      </c>
      <c r="S854" s="5" t="s">
        <v>632</v>
      </c>
      <c r="T854" s="5" t="s">
        <v>445</v>
      </c>
      <c r="U854" s="5"/>
      <c r="V854" s="5"/>
      <c r="W854" s="5"/>
      <c r="X854" s="5"/>
      <c r="Y854" s="5"/>
      <c r="Z854" s="5"/>
      <c r="AA854" s="5"/>
    </row>
    <row r="855" spans="5:27" customFormat="1">
      <c r="E855" s="88"/>
      <c r="F855" s="36" t="s">
        <v>295</v>
      </c>
      <c r="G855" s="5" t="s">
        <v>296</v>
      </c>
      <c r="H855" s="5"/>
      <c r="I855" s="62">
        <v>-5200</v>
      </c>
      <c r="J855" s="62">
        <v>-3.7410071942446002</v>
      </c>
      <c r="K855" s="62">
        <v>1390</v>
      </c>
      <c r="L855" s="100" t="s">
        <v>628</v>
      </c>
      <c r="M855" s="5" t="s">
        <v>452</v>
      </c>
      <c r="N855" s="34" t="s">
        <v>464</v>
      </c>
      <c r="O855" s="5" t="s">
        <v>629</v>
      </c>
      <c r="P855" s="5" t="s">
        <v>597</v>
      </c>
      <c r="Q855" s="5" t="s">
        <v>630</v>
      </c>
      <c r="R855" s="5" t="s">
        <v>638</v>
      </c>
      <c r="S855" s="5" t="s">
        <v>632</v>
      </c>
      <c r="T855" s="5" t="s">
        <v>445</v>
      </c>
      <c r="U855" s="5"/>
      <c r="V855" s="5"/>
      <c r="W855" s="5"/>
      <c r="X855" s="5"/>
      <c r="Y855" s="5"/>
      <c r="Z855" s="5"/>
      <c r="AA855" s="5"/>
    </row>
    <row r="856" spans="5:27" customFormat="1">
      <c r="E856" s="88"/>
      <c r="F856" s="36" t="s">
        <v>295</v>
      </c>
      <c r="G856" s="5" t="s">
        <v>296</v>
      </c>
      <c r="H856" s="5"/>
      <c r="I856" s="62">
        <v>-20000</v>
      </c>
      <c r="J856" s="62">
        <v>-14.3884892086331</v>
      </c>
      <c r="K856" s="62">
        <v>1390</v>
      </c>
      <c r="L856" s="100" t="s">
        <v>628</v>
      </c>
      <c r="M856" s="5" t="s">
        <v>452</v>
      </c>
      <c r="N856" s="34" t="s">
        <v>464</v>
      </c>
      <c r="O856" s="5" t="s">
        <v>629</v>
      </c>
      <c r="P856" s="5" t="s">
        <v>597</v>
      </c>
      <c r="Q856" s="5" t="s">
        <v>630</v>
      </c>
      <c r="R856" s="5" t="s">
        <v>640</v>
      </c>
      <c r="S856" s="5" t="s">
        <v>632</v>
      </c>
      <c r="T856" s="5" t="s">
        <v>445</v>
      </c>
      <c r="U856" s="5"/>
      <c r="V856" s="5"/>
      <c r="W856" s="5"/>
      <c r="X856" s="5"/>
      <c r="Y856" s="5"/>
      <c r="Z856" s="5"/>
      <c r="AA856" s="5"/>
    </row>
    <row r="857" spans="5:27" customFormat="1">
      <c r="E857" s="88"/>
      <c r="F857" s="36" t="s">
        <v>295</v>
      </c>
      <c r="G857" s="5" t="s">
        <v>296</v>
      </c>
      <c r="H857" s="5"/>
      <c r="I857" s="62">
        <v>-24950</v>
      </c>
      <c r="J857" s="62">
        <v>-17.5704225352113</v>
      </c>
      <c r="K857" s="62">
        <v>1420</v>
      </c>
      <c r="L857" s="100" t="s">
        <v>1030</v>
      </c>
      <c r="M857" s="5" t="s">
        <v>452</v>
      </c>
      <c r="N857" s="34" t="s">
        <v>464</v>
      </c>
      <c r="O857" s="5" t="s">
        <v>1031</v>
      </c>
      <c r="P857" s="5" t="s">
        <v>597</v>
      </c>
      <c r="Q857" s="5" t="s">
        <v>1032</v>
      </c>
      <c r="R857" s="5" t="s">
        <v>1034</v>
      </c>
      <c r="S857" s="5" t="s">
        <v>1033</v>
      </c>
      <c r="T857" s="5" t="s">
        <v>445</v>
      </c>
      <c r="U857" s="5"/>
      <c r="V857" s="5"/>
      <c r="W857" s="5"/>
      <c r="X857" s="5"/>
      <c r="Y857" s="5"/>
      <c r="Z857" s="5"/>
      <c r="AA857" s="5"/>
    </row>
    <row r="858" spans="5:27" customFormat="1">
      <c r="E858" s="88"/>
      <c r="F858" s="36" t="s">
        <v>295</v>
      </c>
      <c r="G858" s="5" t="s">
        <v>296</v>
      </c>
      <c r="H858" s="5"/>
      <c r="I858" s="62">
        <v>-40000</v>
      </c>
      <c r="J858" s="62">
        <v>-28.169014084507001</v>
      </c>
      <c r="K858" s="62">
        <v>1420</v>
      </c>
      <c r="L858" s="100" t="s">
        <v>1030</v>
      </c>
      <c r="M858" s="5" t="s">
        <v>452</v>
      </c>
      <c r="N858" s="34" t="s">
        <v>464</v>
      </c>
      <c r="O858" s="5" t="s">
        <v>1031</v>
      </c>
      <c r="P858" s="5" t="s">
        <v>597</v>
      </c>
      <c r="Q858" s="5" t="s">
        <v>1032</v>
      </c>
      <c r="R858" s="5" t="s">
        <v>1045</v>
      </c>
      <c r="S858" s="5" t="s">
        <v>1033</v>
      </c>
      <c r="T858" s="5" t="s">
        <v>445</v>
      </c>
      <c r="U858" s="5"/>
      <c r="V858" s="5"/>
      <c r="W858" s="5"/>
      <c r="X858" s="5"/>
      <c r="Y858" s="5"/>
      <c r="Z858" s="5"/>
      <c r="AA858" s="5"/>
    </row>
    <row r="859" spans="5:27" customFormat="1">
      <c r="E859" s="88"/>
      <c r="F859" s="36" t="s">
        <v>295</v>
      </c>
      <c r="G859" s="5" t="s">
        <v>296</v>
      </c>
      <c r="H859" s="5"/>
      <c r="I859" s="62">
        <v>-57000</v>
      </c>
      <c r="J859" s="62">
        <v>-41.0071942446043</v>
      </c>
      <c r="K859" s="62">
        <v>1390</v>
      </c>
      <c r="L859" s="100" t="s">
        <v>628</v>
      </c>
      <c r="M859" s="5" t="s">
        <v>452</v>
      </c>
      <c r="N859" s="34" t="s">
        <v>464</v>
      </c>
      <c r="O859" s="5" t="s">
        <v>629</v>
      </c>
      <c r="P859" s="5" t="s">
        <v>597</v>
      </c>
      <c r="Q859" s="5" t="s">
        <v>630</v>
      </c>
      <c r="R859" s="5" t="s">
        <v>646</v>
      </c>
      <c r="S859" s="5" t="s">
        <v>632</v>
      </c>
      <c r="T859" s="5" t="s">
        <v>445</v>
      </c>
      <c r="U859" s="5"/>
      <c r="V859" s="5"/>
      <c r="W859" s="5"/>
      <c r="X859" s="5"/>
      <c r="Y859" s="5"/>
      <c r="Z859" s="5"/>
      <c r="AA859" s="5"/>
    </row>
    <row r="860" spans="5:27" customFormat="1">
      <c r="E860" s="88"/>
      <c r="F860" s="36" t="s">
        <v>295</v>
      </c>
      <c r="G860" s="5" t="s">
        <v>296</v>
      </c>
      <c r="H860" s="5"/>
      <c r="I860" s="62">
        <v>-40000</v>
      </c>
      <c r="J860" s="62">
        <v>-28.7769784172662</v>
      </c>
      <c r="K860" s="62">
        <v>1390</v>
      </c>
      <c r="L860" s="100" t="s">
        <v>628</v>
      </c>
      <c r="M860" s="5" t="s">
        <v>452</v>
      </c>
      <c r="N860" s="34" t="s">
        <v>464</v>
      </c>
      <c r="O860" s="5" t="s">
        <v>629</v>
      </c>
      <c r="P860" s="5" t="s">
        <v>597</v>
      </c>
      <c r="Q860" s="5" t="s">
        <v>630</v>
      </c>
      <c r="R860" s="5" t="s">
        <v>643</v>
      </c>
      <c r="S860" s="5" t="s">
        <v>632</v>
      </c>
      <c r="T860" s="5" t="s">
        <v>445</v>
      </c>
      <c r="U860" s="5"/>
      <c r="V860" s="5"/>
      <c r="W860" s="5"/>
      <c r="X860" s="5"/>
      <c r="Y860" s="5"/>
      <c r="Z860" s="5"/>
      <c r="AA860" s="5"/>
    </row>
    <row r="861" spans="5:27" customFormat="1">
      <c r="E861" s="88"/>
      <c r="F861" s="36" t="s">
        <v>295</v>
      </c>
      <c r="G861" s="5" t="s">
        <v>296</v>
      </c>
      <c r="H861" s="5"/>
      <c r="I861" s="62">
        <v>-240000</v>
      </c>
      <c r="J861" s="62">
        <v>-160</v>
      </c>
      <c r="K861" s="62">
        <v>1500</v>
      </c>
      <c r="L861" s="100" t="s">
        <v>858</v>
      </c>
      <c r="M861" s="5" t="s">
        <v>452</v>
      </c>
      <c r="N861" s="34" t="s">
        <v>464</v>
      </c>
      <c r="O861" s="5" t="s">
        <v>880</v>
      </c>
      <c r="P861" s="5" t="s">
        <v>597</v>
      </c>
      <c r="Q861" s="5" t="s">
        <v>881</v>
      </c>
      <c r="R861" s="5" t="s">
        <v>898</v>
      </c>
      <c r="S861" s="5" t="s">
        <v>882</v>
      </c>
      <c r="T861" s="5" t="s">
        <v>445</v>
      </c>
      <c r="U861" s="5"/>
      <c r="V861" s="5"/>
      <c r="W861" s="5"/>
      <c r="X861" s="5"/>
      <c r="Y861" s="5"/>
      <c r="Z861" s="5"/>
      <c r="AA861" s="5"/>
    </row>
    <row r="862" spans="5:27" customFormat="1">
      <c r="E862" s="88"/>
      <c r="F862" s="36" t="s">
        <v>295</v>
      </c>
      <c r="G862" s="5" t="s">
        <v>296</v>
      </c>
      <c r="H862" s="5"/>
      <c r="I862" s="62">
        <v>-5120</v>
      </c>
      <c r="J862" s="62">
        <v>-3.6834532374100699</v>
      </c>
      <c r="K862" s="62">
        <v>1390</v>
      </c>
      <c r="L862" s="100" t="s">
        <v>628</v>
      </c>
      <c r="M862" s="5" t="s">
        <v>452</v>
      </c>
      <c r="N862" s="34" t="s">
        <v>464</v>
      </c>
      <c r="O862" s="5" t="s">
        <v>629</v>
      </c>
      <c r="P862" s="5" t="s">
        <v>597</v>
      </c>
      <c r="Q862" s="5" t="s">
        <v>630</v>
      </c>
      <c r="R862" s="5" t="s">
        <v>634</v>
      </c>
      <c r="S862" s="5" t="s">
        <v>632</v>
      </c>
      <c r="T862" s="5" t="s">
        <v>445</v>
      </c>
      <c r="U862" s="5"/>
      <c r="V862" s="5"/>
      <c r="W862" s="5"/>
      <c r="X862" s="5"/>
      <c r="Y862" s="5"/>
      <c r="Z862" s="5"/>
      <c r="AA862" s="5"/>
    </row>
    <row r="863" spans="5:27" customFormat="1">
      <c r="E863" s="88"/>
      <c r="F863" s="36" t="s">
        <v>295</v>
      </c>
      <c r="G863" s="5" t="s">
        <v>296</v>
      </c>
      <c r="H863" s="5"/>
      <c r="I863" s="62">
        <v>-11500</v>
      </c>
      <c r="J863" s="62">
        <v>-8.2733812949640306</v>
      </c>
      <c r="K863" s="62">
        <v>1390</v>
      </c>
      <c r="L863" s="100" t="s">
        <v>628</v>
      </c>
      <c r="M863" s="5" t="s">
        <v>452</v>
      </c>
      <c r="N863" s="34" t="s">
        <v>464</v>
      </c>
      <c r="O863" s="5" t="s">
        <v>629</v>
      </c>
      <c r="P863" s="5" t="s">
        <v>597</v>
      </c>
      <c r="Q863" s="5" t="s">
        <v>630</v>
      </c>
      <c r="R863" s="5" t="s">
        <v>634</v>
      </c>
      <c r="S863" s="5" t="s">
        <v>632</v>
      </c>
      <c r="T863" s="5" t="s">
        <v>445</v>
      </c>
      <c r="U863" s="5"/>
      <c r="V863" s="5"/>
      <c r="W863" s="5"/>
      <c r="X863" s="5"/>
      <c r="Y863" s="5"/>
      <c r="Z863" s="5"/>
      <c r="AA863" s="5"/>
    </row>
    <row r="864" spans="5:27" customFormat="1">
      <c r="E864" s="88"/>
      <c r="F864" s="36" t="s">
        <v>295</v>
      </c>
      <c r="G864" s="5" t="s">
        <v>296</v>
      </c>
      <c r="H864" s="5"/>
      <c r="I864" s="62">
        <v>-25500</v>
      </c>
      <c r="J864" s="62">
        <v>-18.345323741007199</v>
      </c>
      <c r="K864" s="62">
        <v>1390</v>
      </c>
      <c r="L864" s="100" t="s">
        <v>628</v>
      </c>
      <c r="M864" s="5" t="s">
        <v>452</v>
      </c>
      <c r="N864" s="34" t="s">
        <v>464</v>
      </c>
      <c r="O864" s="5" t="s">
        <v>629</v>
      </c>
      <c r="P864" s="5" t="s">
        <v>597</v>
      </c>
      <c r="Q864" s="5" t="s">
        <v>630</v>
      </c>
      <c r="R864" s="5" t="s">
        <v>634</v>
      </c>
      <c r="S864" s="5" t="s">
        <v>632</v>
      </c>
      <c r="T864" s="5" t="s">
        <v>445</v>
      </c>
      <c r="U864" s="5"/>
      <c r="V864" s="5"/>
      <c r="W864" s="5"/>
      <c r="X864" s="5"/>
      <c r="Y864" s="5"/>
      <c r="Z864" s="5"/>
      <c r="AA864" s="5"/>
    </row>
    <row r="865" spans="5:27" customFormat="1">
      <c r="E865" s="88"/>
      <c r="F865" s="36" t="s">
        <v>295</v>
      </c>
      <c r="G865" s="5" t="s">
        <v>296</v>
      </c>
      <c r="H865" s="5"/>
      <c r="I865" s="62">
        <v>-22500</v>
      </c>
      <c r="J865" s="62">
        <v>-15.7342657342657</v>
      </c>
      <c r="K865" s="62">
        <v>1430</v>
      </c>
      <c r="L865" s="100" t="s">
        <v>751</v>
      </c>
      <c r="M865" s="5" t="s">
        <v>452</v>
      </c>
      <c r="N865" s="34" t="s">
        <v>464</v>
      </c>
      <c r="O865" s="5" t="s">
        <v>752</v>
      </c>
      <c r="P865" s="5" t="s">
        <v>597</v>
      </c>
      <c r="Q865" s="5" t="s">
        <v>753</v>
      </c>
      <c r="R865" s="5" t="s">
        <v>634</v>
      </c>
      <c r="S865" s="5" t="s">
        <v>755</v>
      </c>
      <c r="T865" s="5" t="s">
        <v>445</v>
      </c>
      <c r="U865" s="5"/>
      <c r="V865" s="5"/>
      <c r="W865" s="5"/>
      <c r="X865" s="5"/>
      <c r="Y865" s="5"/>
      <c r="Z865" s="5"/>
      <c r="AA865" s="5"/>
    </row>
    <row r="866" spans="5:27" customFormat="1">
      <c r="E866" s="88"/>
      <c r="F866" s="36" t="s">
        <v>295</v>
      </c>
      <c r="G866" s="5" t="s">
        <v>296</v>
      </c>
      <c r="H866" s="5"/>
      <c r="I866" s="62">
        <v>-28000</v>
      </c>
      <c r="J866" s="62">
        <v>-18.6666666666667</v>
      </c>
      <c r="K866" s="62">
        <v>1500</v>
      </c>
      <c r="L866" s="100" t="s">
        <v>858</v>
      </c>
      <c r="M866" s="5" t="s">
        <v>452</v>
      </c>
      <c r="N866" s="34" t="s">
        <v>464</v>
      </c>
      <c r="O866" s="5" t="s">
        <v>880</v>
      </c>
      <c r="P866" s="5" t="s">
        <v>597</v>
      </c>
      <c r="Q866" s="5" t="s">
        <v>881</v>
      </c>
      <c r="R866" s="5" t="s">
        <v>634</v>
      </c>
      <c r="S866" s="5" t="s">
        <v>882</v>
      </c>
      <c r="T866" s="5" t="s">
        <v>445</v>
      </c>
      <c r="U866" s="5"/>
      <c r="V866" s="5"/>
      <c r="W866" s="5"/>
      <c r="X866" s="5"/>
      <c r="Y866" s="5"/>
      <c r="Z866" s="5"/>
      <c r="AA866" s="5"/>
    </row>
    <row r="867" spans="5:27" customFormat="1">
      <c r="E867" s="88"/>
      <c r="F867" s="36" t="s">
        <v>295</v>
      </c>
      <c r="G867" s="5" t="s">
        <v>296</v>
      </c>
      <c r="H867" s="5"/>
      <c r="I867" s="62">
        <v>-160100</v>
      </c>
      <c r="J867" s="62">
        <v>-115.179856115108</v>
      </c>
      <c r="K867" s="62">
        <v>1390</v>
      </c>
      <c r="L867" s="100" t="s">
        <v>628</v>
      </c>
      <c r="M867" s="5" t="s">
        <v>452</v>
      </c>
      <c r="N867" s="34" t="s">
        <v>464</v>
      </c>
      <c r="O867" s="5" t="s">
        <v>1019</v>
      </c>
      <c r="P867" s="5" t="s">
        <v>597</v>
      </c>
      <c r="Q867" s="5" t="s">
        <v>1020</v>
      </c>
      <c r="R867" s="5" t="s">
        <v>634</v>
      </c>
      <c r="S867" s="5" t="s">
        <v>1022</v>
      </c>
      <c r="T867" s="5" t="s">
        <v>445</v>
      </c>
      <c r="U867" s="5"/>
      <c r="V867" s="5"/>
      <c r="W867" s="5"/>
      <c r="X867" s="5"/>
      <c r="Y867" s="5"/>
      <c r="Z867" s="5"/>
      <c r="AA867" s="5"/>
    </row>
    <row r="868" spans="5:27" customFormat="1">
      <c r="E868" s="88"/>
      <c r="F868" s="36" t="s">
        <v>295</v>
      </c>
      <c r="G868" s="5" t="s">
        <v>296</v>
      </c>
      <c r="H868" s="5"/>
      <c r="I868" s="62">
        <v>-15000</v>
      </c>
      <c r="J868" s="62">
        <v>-10.563380281690099</v>
      </c>
      <c r="K868" s="62">
        <v>1420</v>
      </c>
      <c r="L868" s="100" t="s">
        <v>1030</v>
      </c>
      <c r="M868" s="5" t="s">
        <v>452</v>
      </c>
      <c r="N868" s="34" t="s">
        <v>464</v>
      </c>
      <c r="O868" s="5" t="s">
        <v>1031</v>
      </c>
      <c r="P868" s="5" t="s">
        <v>597</v>
      </c>
      <c r="Q868" s="5" t="s">
        <v>1032</v>
      </c>
      <c r="R868" s="5" t="s">
        <v>634</v>
      </c>
      <c r="S868" s="5" t="s">
        <v>1033</v>
      </c>
      <c r="T868" s="5" t="s">
        <v>445</v>
      </c>
      <c r="U868" s="5"/>
      <c r="V868" s="5"/>
      <c r="W868" s="5"/>
      <c r="X868" s="5"/>
      <c r="Y868" s="5"/>
      <c r="Z868" s="5"/>
      <c r="AA868" s="5"/>
    </row>
    <row r="869" spans="5:27" customFormat="1">
      <c r="E869" s="88"/>
      <c r="F869" s="36" t="s">
        <v>295</v>
      </c>
      <c r="G869" s="5" t="s">
        <v>296</v>
      </c>
      <c r="H869" s="5"/>
      <c r="I869" s="62">
        <v>-46500</v>
      </c>
      <c r="J869" s="62">
        <v>-32.746478873239397</v>
      </c>
      <c r="K869" s="62">
        <v>1420</v>
      </c>
      <c r="L869" s="100" t="s">
        <v>1030</v>
      </c>
      <c r="M869" s="5" t="s">
        <v>452</v>
      </c>
      <c r="N869" s="34" t="s">
        <v>464</v>
      </c>
      <c r="O869" s="5" t="s">
        <v>1031</v>
      </c>
      <c r="P869" s="5" t="s">
        <v>597</v>
      </c>
      <c r="Q869" s="5" t="s">
        <v>1032</v>
      </c>
      <c r="R869" s="5" t="s">
        <v>634</v>
      </c>
      <c r="S869" s="5" t="s">
        <v>1033</v>
      </c>
      <c r="T869" s="5" t="s">
        <v>445</v>
      </c>
      <c r="U869" s="5"/>
      <c r="V869" s="5"/>
      <c r="W869" s="5"/>
      <c r="X869" s="5"/>
      <c r="Y869" s="5"/>
      <c r="Z869" s="5"/>
      <c r="AA869" s="5"/>
    </row>
    <row r="870" spans="5:27" customFormat="1">
      <c r="E870" s="88"/>
      <c r="F870" s="36" t="s">
        <v>295</v>
      </c>
      <c r="G870" s="5" t="s">
        <v>296</v>
      </c>
      <c r="H870" s="5"/>
      <c r="I870" s="62">
        <v>-30600</v>
      </c>
      <c r="J870" s="62">
        <v>-21.549295774647899</v>
      </c>
      <c r="K870" s="62">
        <v>1420</v>
      </c>
      <c r="L870" s="100" t="s">
        <v>1030</v>
      </c>
      <c r="M870" s="5" t="s">
        <v>452</v>
      </c>
      <c r="N870" s="34" t="s">
        <v>464</v>
      </c>
      <c r="O870" s="5" t="s">
        <v>1031</v>
      </c>
      <c r="P870" s="5" t="s">
        <v>597</v>
      </c>
      <c r="Q870" s="5" t="s">
        <v>1032</v>
      </c>
      <c r="R870" s="5" t="s">
        <v>634</v>
      </c>
      <c r="S870" s="5" t="s">
        <v>1033</v>
      </c>
      <c r="T870" s="5" t="s">
        <v>445</v>
      </c>
      <c r="U870" s="5"/>
      <c r="V870" s="5"/>
      <c r="W870" s="5"/>
      <c r="X870" s="5"/>
      <c r="Y870" s="5"/>
      <c r="Z870" s="5"/>
      <c r="AA870" s="5"/>
    </row>
    <row r="871" spans="5:27" customFormat="1">
      <c r="E871" s="88"/>
      <c r="F871" s="36" t="s">
        <v>295</v>
      </c>
      <c r="G871" s="5" t="s">
        <v>296</v>
      </c>
      <c r="H871" s="5"/>
      <c r="I871" s="62">
        <v>-18000</v>
      </c>
      <c r="J871" s="62">
        <v>-12.6760563380282</v>
      </c>
      <c r="K871" s="62">
        <v>1420</v>
      </c>
      <c r="L871" s="100" t="s">
        <v>1030</v>
      </c>
      <c r="M871" s="5" t="s">
        <v>452</v>
      </c>
      <c r="N871" s="34" t="s">
        <v>464</v>
      </c>
      <c r="O871" s="5" t="s">
        <v>1031</v>
      </c>
      <c r="P871" s="5" t="s">
        <v>597</v>
      </c>
      <c r="Q871" s="5" t="s">
        <v>1032</v>
      </c>
      <c r="R871" s="5" t="s">
        <v>634</v>
      </c>
      <c r="S871" s="5" t="s">
        <v>1033</v>
      </c>
      <c r="T871" s="5" t="s">
        <v>445</v>
      </c>
      <c r="U871" s="5"/>
      <c r="V871" s="5"/>
      <c r="W871" s="5"/>
      <c r="X871" s="5"/>
      <c r="Y871" s="5"/>
      <c r="Z871" s="5"/>
      <c r="AA871" s="5"/>
    </row>
    <row r="872" spans="5:27" customFormat="1">
      <c r="E872" s="88"/>
      <c r="F872" s="36" t="s">
        <v>295</v>
      </c>
      <c r="G872" s="5" t="s">
        <v>296</v>
      </c>
      <c r="H872" s="5"/>
      <c r="I872" s="62">
        <v>-51500</v>
      </c>
      <c r="J872" s="62">
        <v>-36.524822695035503</v>
      </c>
      <c r="K872" s="62">
        <v>1410</v>
      </c>
      <c r="L872" s="100" t="s">
        <v>678</v>
      </c>
      <c r="M872" s="5" t="s">
        <v>452</v>
      </c>
      <c r="N872" s="34" t="s">
        <v>464</v>
      </c>
      <c r="O872" s="5" t="s">
        <v>683</v>
      </c>
      <c r="P872" s="5" t="s">
        <v>597</v>
      </c>
      <c r="Q872" s="5" t="s">
        <v>684</v>
      </c>
      <c r="R872" s="5" t="s">
        <v>706</v>
      </c>
      <c r="S872" s="5" t="s">
        <v>685</v>
      </c>
      <c r="T872" s="5" t="s">
        <v>445</v>
      </c>
      <c r="U872" s="5"/>
      <c r="V872" s="5"/>
      <c r="W872" s="5"/>
      <c r="X872" s="5"/>
      <c r="Y872" s="5"/>
      <c r="Z872" s="5"/>
      <c r="AA872" s="5"/>
    </row>
    <row r="873" spans="5:27" customFormat="1">
      <c r="E873" s="88"/>
      <c r="F873" s="36" t="s">
        <v>295</v>
      </c>
      <c r="G873" s="5" t="s">
        <v>296</v>
      </c>
      <c r="H873" s="5"/>
      <c r="I873" s="62">
        <v>-19800</v>
      </c>
      <c r="J873" s="62">
        <v>-14.1428571428571</v>
      </c>
      <c r="K873" s="62">
        <v>1400</v>
      </c>
      <c r="L873" s="100" t="s">
        <v>834</v>
      </c>
      <c r="M873" s="5" t="s">
        <v>452</v>
      </c>
      <c r="N873" s="34" t="s">
        <v>464</v>
      </c>
      <c r="O873" s="5" t="s">
        <v>835</v>
      </c>
      <c r="P873" s="5" t="s">
        <v>597</v>
      </c>
      <c r="Q873" s="5" t="s">
        <v>836</v>
      </c>
      <c r="R873" s="5" t="s">
        <v>839</v>
      </c>
      <c r="S873" s="5" t="s">
        <v>838</v>
      </c>
      <c r="T873" s="5" t="s">
        <v>445</v>
      </c>
      <c r="U873" s="5"/>
      <c r="V873" s="5"/>
      <c r="W873" s="5"/>
      <c r="X873" s="5"/>
      <c r="Y873" s="5"/>
      <c r="Z873" s="5"/>
      <c r="AA873" s="5"/>
    </row>
    <row r="874" spans="5:27" customFormat="1">
      <c r="E874" s="88"/>
      <c r="F874" s="36" t="s">
        <v>295</v>
      </c>
      <c r="G874" s="5" t="s">
        <v>296</v>
      </c>
      <c r="H874" s="5"/>
      <c r="I874" s="62">
        <v>-295562</v>
      </c>
      <c r="J874" s="62">
        <v>-206.686713286713</v>
      </c>
      <c r="K874" s="62">
        <v>1430</v>
      </c>
      <c r="L874" s="100" t="s">
        <v>751</v>
      </c>
      <c r="M874" s="5" t="s">
        <v>452</v>
      </c>
      <c r="N874" s="34" t="s">
        <v>464</v>
      </c>
      <c r="O874" s="5" t="s">
        <v>752</v>
      </c>
      <c r="P874" s="5" t="s">
        <v>597</v>
      </c>
      <c r="Q874" s="5" t="s">
        <v>753</v>
      </c>
      <c r="R874" s="5" t="s">
        <v>760</v>
      </c>
      <c r="S874" s="5" t="s">
        <v>755</v>
      </c>
      <c r="T874" s="5" t="s">
        <v>445</v>
      </c>
      <c r="U874" s="5"/>
      <c r="V874" s="5"/>
      <c r="W874" s="5"/>
      <c r="X874" s="5"/>
      <c r="Y874" s="5"/>
      <c r="Z874" s="5"/>
      <c r="AA874" s="5"/>
    </row>
    <row r="875" spans="5:27" customFormat="1">
      <c r="E875" s="88"/>
      <c r="F875" s="36" t="s">
        <v>295</v>
      </c>
      <c r="G875" s="5" t="s">
        <v>296</v>
      </c>
      <c r="H875" s="5"/>
      <c r="I875" s="62">
        <v>-548641</v>
      </c>
      <c r="J875" s="62">
        <v>-386.36690140845099</v>
      </c>
      <c r="K875" s="62">
        <v>1420</v>
      </c>
      <c r="L875" s="100" t="s">
        <v>1030</v>
      </c>
      <c r="M875" s="5" t="s">
        <v>452</v>
      </c>
      <c r="N875" s="34" t="s">
        <v>464</v>
      </c>
      <c r="O875" s="5" t="s">
        <v>1031</v>
      </c>
      <c r="P875" s="5" t="s">
        <v>597</v>
      </c>
      <c r="Q875" s="5" t="s">
        <v>1032</v>
      </c>
      <c r="R875" s="5" t="s">
        <v>760</v>
      </c>
      <c r="S875" s="5" t="s">
        <v>1033</v>
      </c>
      <c r="T875" s="5" t="s">
        <v>445</v>
      </c>
      <c r="U875" s="5"/>
      <c r="V875" s="5"/>
      <c r="W875" s="5"/>
      <c r="X875" s="5"/>
      <c r="Y875" s="5"/>
      <c r="Z875" s="5"/>
      <c r="AA875" s="5"/>
    </row>
    <row r="876" spans="5:27" customFormat="1">
      <c r="E876" s="88"/>
      <c r="F876" s="36" t="s">
        <v>295</v>
      </c>
      <c r="G876" s="5" t="s">
        <v>296</v>
      </c>
      <c r="H876" s="5"/>
      <c r="I876" s="62">
        <v>-90000</v>
      </c>
      <c r="J876" s="62">
        <v>-62.937062937062898</v>
      </c>
      <c r="K876" s="62">
        <v>1430</v>
      </c>
      <c r="L876" s="100" t="s">
        <v>751</v>
      </c>
      <c r="M876" s="5" t="s">
        <v>452</v>
      </c>
      <c r="N876" s="34" t="s">
        <v>464</v>
      </c>
      <c r="O876" s="5" t="s">
        <v>752</v>
      </c>
      <c r="P876" s="5" t="s">
        <v>597</v>
      </c>
      <c r="Q876" s="5" t="s">
        <v>753</v>
      </c>
      <c r="R876" s="5" t="s">
        <v>766</v>
      </c>
      <c r="S876" s="5" t="s">
        <v>755</v>
      </c>
      <c r="T876" s="5" t="s">
        <v>445</v>
      </c>
      <c r="U876" s="5"/>
      <c r="V876" s="5"/>
      <c r="W876" s="5"/>
      <c r="X876" s="5"/>
      <c r="Y876" s="5"/>
      <c r="Z876" s="5"/>
      <c r="AA876" s="5"/>
    </row>
    <row r="877" spans="5:27" customFormat="1">
      <c r="E877" s="88"/>
      <c r="F877" s="36" t="s">
        <v>295</v>
      </c>
      <c r="G877" s="5" t="s">
        <v>296</v>
      </c>
      <c r="H877" s="5"/>
      <c r="I877" s="62">
        <v>-70000</v>
      </c>
      <c r="J877" s="62">
        <v>-49.295774647887299</v>
      </c>
      <c r="K877" s="62">
        <v>1420</v>
      </c>
      <c r="L877" s="100" t="s">
        <v>1030</v>
      </c>
      <c r="M877" s="5" t="s">
        <v>452</v>
      </c>
      <c r="N877" s="34" t="s">
        <v>464</v>
      </c>
      <c r="O877" s="5" t="s">
        <v>1031</v>
      </c>
      <c r="P877" s="5" t="s">
        <v>597</v>
      </c>
      <c r="Q877" s="5" t="s">
        <v>1032</v>
      </c>
      <c r="R877" s="5" t="s">
        <v>1066</v>
      </c>
      <c r="S877" s="5" t="s">
        <v>1033</v>
      </c>
      <c r="T877" s="5" t="s">
        <v>445</v>
      </c>
      <c r="U877" s="5"/>
      <c r="V877" s="5"/>
      <c r="W877" s="5"/>
      <c r="X877" s="5"/>
      <c r="Y877" s="5"/>
      <c r="Z877" s="5"/>
      <c r="AA877" s="5"/>
    </row>
    <row r="878" spans="5:27" customFormat="1">
      <c r="E878" s="88"/>
      <c r="F878" s="36" t="s">
        <v>295</v>
      </c>
      <c r="G878" s="5" t="s">
        <v>296</v>
      </c>
      <c r="H878" s="5"/>
      <c r="I878" s="62">
        <v>-4400</v>
      </c>
      <c r="J878" s="62">
        <v>-3.12056737588652</v>
      </c>
      <c r="K878" s="62">
        <v>1410</v>
      </c>
      <c r="L878" s="100" t="s">
        <v>678</v>
      </c>
      <c r="M878" s="5" t="s">
        <v>452</v>
      </c>
      <c r="N878" s="34" t="s">
        <v>464</v>
      </c>
      <c r="O878" s="5" t="s">
        <v>683</v>
      </c>
      <c r="P878" s="5" t="s">
        <v>597</v>
      </c>
      <c r="Q878" s="5" t="s">
        <v>684</v>
      </c>
      <c r="R878" s="5" t="s">
        <v>702</v>
      </c>
      <c r="S878" s="5" t="s">
        <v>685</v>
      </c>
      <c r="T878" s="5" t="s">
        <v>445</v>
      </c>
      <c r="U878" s="5"/>
      <c r="V878" s="5"/>
      <c r="W878" s="5"/>
      <c r="X878" s="5"/>
      <c r="Y878" s="5"/>
      <c r="Z878" s="5"/>
      <c r="AA878" s="5"/>
    </row>
    <row r="879" spans="5:27" customFormat="1">
      <c r="E879" s="88"/>
      <c r="F879" s="36" t="s">
        <v>295</v>
      </c>
      <c r="G879" s="5" t="s">
        <v>296</v>
      </c>
      <c r="H879" s="5"/>
      <c r="I879" s="62">
        <v>-73500</v>
      </c>
      <c r="J879" s="62">
        <v>-49</v>
      </c>
      <c r="K879" s="62">
        <v>1500</v>
      </c>
      <c r="L879" s="100" t="s">
        <v>858</v>
      </c>
      <c r="M879" s="5" t="s">
        <v>452</v>
      </c>
      <c r="N879" s="34" t="s">
        <v>464</v>
      </c>
      <c r="O879" s="5" t="s">
        <v>880</v>
      </c>
      <c r="P879" s="5" t="s">
        <v>597</v>
      </c>
      <c r="Q879" s="5" t="s">
        <v>881</v>
      </c>
      <c r="R879" s="5" t="s">
        <v>888</v>
      </c>
      <c r="S879" s="5" t="s">
        <v>882</v>
      </c>
      <c r="T879" s="5" t="s">
        <v>445</v>
      </c>
      <c r="U879" s="5"/>
      <c r="V879" s="5"/>
      <c r="W879" s="5"/>
      <c r="X879" s="5"/>
      <c r="Y879" s="5"/>
      <c r="Z879" s="5"/>
      <c r="AA879" s="5"/>
    </row>
    <row r="880" spans="5:27" customFormat="1">
      <c r="E880" s="88"/>
      <c r="F880" s="36" t="s">
        <v>295</v>
      </c>
      <c r="G880" s="5" t="s">
        <v>296</v>
      </c>
      <c r="H880" s="5"/>
      <c r="I880" s="62">
        <v>-5000</v>
      </c>
      <c r="J880" s="62">
        <v>-3.5971223021582701</v>
      </c>
      <c r="K880" s="62">
        <v>1390</v>
      </c>
      <c r="L880" s="100" t="s">
        <v>628</v>
      </c>
      <c r="M880" s="5" t="s">
        <v>452</v>
      </c>
      <c r="N880" s="34" t="s">
        <v>464</v>
      </c>
      <c r="O880" s="5" t="s">
        <v>1019</v>
      </c>
      <c r="P880" s="5" t="s">
        <v>597</v>
      </c>
      <c r="Q880" s="5" t="s">
        <v>1020</v>
      </c>
      <c r="R880" s="5" t="s">
        <v>1023</v>
      </c>
      <c r="S880" s="5" t="s">
        <v>1022</v>
      </c>
      <c r="T880" s="5" t="s">
        <v>445</v>
      </c>
      <c r="U880" s="5"/>
      <c r="V880" s="5"/>
      <c r="W880" s="5"/>
      <c r="X880" s="5"/>
      <c r="Y880" s="5"/>
      <c r="Z880" s="5"/>
      <c r="AA880" s="5"/>
    </row>
    <row r="881" spans="5:27" customFormat="1">
      <c r="E881" s="88"/>
      <c r="F881" s="36" t="s">
        <v>295</v>
      </c>
      <c r="G881" s="5" t="s">
        <v>296</v>
      </c>
      <c r="H881" s="5"/>
      <c r="I881" s="62">
        <v>-12870</v>
      </c>
      <c r="J881" s="62">
        <v>-9</v>
      </c>
      <c r="K881" s="62">
        <v>1430</v>
      </c>
      <c r="L881" s="100" t="s">
        <v>751</v>
      </c>
      <c r="M881" s="5" t="s">
        <v>452</v>
      </c>
      <c r="N881" s="34" t="s">
        <v>464</v>
      </c>
      <c r="O881" s="5" t="s">
        <v>752</v>
      </c>
      <c r="P881" s="5" t="s">
        <v>597</v>
      </c>
      <c r="Q881" s="5" t="s">
        <v>753</v>
      </c>
      <c r="R881" s="5" t="s">
        <v>763</v>
      </c>
      <c r="S881" s="5" t="s">
        <v>755</v>
      </c>
      <c r="T881" s="5" t="s">
        <v>445</v>
      </c>
      <c r="U881" s="5"/>
      <c r="V881" s="5"/>
      <c r="W881" s="5"/>
      <c r="X881" s="5"/>
      <c r="Y881" s="5"/>
      <c r="Z881" s="5"/>
      <c r="AA881" s="5"/>
    </row>
    <row r="882" spans="5:27" customFormat="1">
      <c r="E882" s="88"/>
      <c r="F882" s="36" t="s">
        <v>295</v>
      </c>
      <c r="G882" s="5" t="s">
        <v>296</v>
      </c>
      <c r="H882" s="5"/>
      <c r="I882" s="62">
        <v>-20036</v>
      </c>
      <c r="J882" s="62">
        <v>-13.357333333333299</v>
      </c>
      <c r="K882" s="62">
        <v>1500</v>
      </c>
      <c r="L882" s="100" t="s">
        <v>858</v>
      </c>
      <c r="M882" s="5" t="s">
        <v>452</v>
      </c>
      <c r="N882" s="34" t="s">
        <v>464</v>
      </c>
      <c r="O882" s="5" t="s">
        <v>880</v>
      </c>
      <c r="P882" s="5" t="s">
        <v>597</v>
      </c>
      <c r="Q882" s="5" t="s">
        <v>881</v>
      </c>
      <c r="R882" s="5" t="s">
        <v>763</v>
      </c>
      <c r="S882" s="5" t="s">
        <v>882</v>
      </c>
      <c r="T882" s="5" t="s">
        <v>445</v>
      </c>
      <c r="U882" s="5"/>
      <c r="V882" s="5"/>
      <c r="W882" s="5"/>
      <c r="X882" s="5"/>
      <c r="Y882" s="5"/>
      <c r="Z882" s="5"/>
      <c r="AA882" s="5"/>
    </row>
    <row r="883" spans="5:27" customFormat="1">
      <c r="E883" s="88"/>
      <c r="F883" s="36" t="s">
        <v>295</v>
      </c>
      <c r="G883" s="5" t="s">
        <v>296</v>
      </c>
      <c r="H883" s="5"/>
      <c r="I883" s="62">
        <v>-2374000</v>
      </c>
      <c r="J883" s="62">
        <v>-1671.8309859154899</v>
      </c>
      <c r="K883" s="62">
        <v>1420</v>
      </c>
      <c r="L883" s="100" t="s">
        <v>1030</v>
      </c>
      <c r="M883" s="5" t="s">
        <v>452</v>
      </c>
      <c r="N883" s="34" t="s">
        <v>464</v>
      </c>
      <c r="O883" s="5" t="s">
        <v>1031</v>
      </c>
      <c r="P883" s="5" t="s">
        <v>597</v>
      </c>
      <c r="Q883" s="5" t="s">
        <v>1032</v>
      </c>
      <c r="R883" s="5" t="s">
        <v>1053</v>
      </c>
      <c r="S883" s="5" t="s">
        <v>1033</v>
      </c>
      <c r="T883" s="5" t="s">
        <v>445</v>
      </c>
      <c r="U883" s="5"/>
      <c r="V883" s="5"/>
      <c r="W883" s="5"/>
      <c r="X883" s="5"/>
      <c r="Y883" s="5"/>
      <c r="Z883" s="5"/>
      <c r="AA883" s="5"/>
    </row>
    <row r="884" spans="5:27" customFormat="1">
      <c r="E884" s="88"/>
      <c r="F884" s="36" t="s">
        <v>295</v>
      </c>
      <c r="G884" s="5" t="s">
        <v>296</v>
      </c>
      <c r="H884" s="5"/>
      <c r="I884" s="62">
        <v>-18000</v>
      </c>
      <c r="J884" s="62">
        <v>-12.9496402877698</v>
      </c>
      <c r="K884" s="62">
        <v>1390</v>
      </c>
      <c r="L884" s="100" t="s">
        <v>628</v>
      </c>
      <c r="M884" s="5" t="s">
        <v>452</v>
      </c>
      <c r="N884" s="34" t="s">
        <v>464</v>
      </c>
      <c r="O884" s="5" t="s">
        <v>629</v>
      </c>
      <c r="P884" s="5" t="s">
        <v>597</v>
      </c>
      <c r="Q884" s="5" t="s">
        <v>630</v>
      </c>
      <c r="R884" s="5" t="s">
        <v>639</v>
      </c>
      <c r="S884" s="5" t="s">
        <v>632</v>
      </c>
      <c r="T884" s="5" t="s">
        <v>445</v>
      </c>
      <c r="U884" s="5"/>
      <c r="V884" s="5"/>
      <c r="W884" s="5"/>
      <c r="X884" s="5"/>
      <c r="Y884" s="5"/>
      <c r="Z884" s="5"/>
      <c r="AA884" s="5"/>
    </row>
    <row r="885" spans="5:27" customFormat="1">
      <c r="E885" s="88"/>
      <c r="F885" s="36" t="s">
        <v>295</v>
      </c>
      <c r="G885" s="5" t="s">
        <v>296</v>
      </c>
      <c r="H885" s="5"/>
      <c r="I885" s="62">
        <v>-10500</v>
      </c>
      <c r="J885" s="62">
        <v>-7.5539568345323698</v>
      </c>
      <c r="K885" s="62">
        <v>1390</v>
      </c>
      <c r="L885" s="100" t="s">
        <v>628</v>
      </c>
      <c r="M885" s="5" t="s">
        <v>452</v>
      </c>
      <c r="N885" s="34" t="s">
        <v>464</v>
      </c>
      <c r="O885" s="5" t="s">
        <v>629</v>
      </c>
      <c r="P885" s="5" t="s">
        <v>597</v>
      </c>
      <c r="Q885" s="5" t="s">
        <v>630</v>
      </c>
      <c r="R885" s="5" t="s">
        <v>639</v>
      </c>
      <c r="S885" s="5" t="s">
        <v>632</v>
      </c>
      <c r="T885" s="5" t="s">
        <v>445</v>
      </c>
      <c r="U885" s="5"/>
      <c r="V885" s="5"/>
      <c r="W885" s="5"/>
      <c r="X885" s="5"/>
      <c r="Y885" s="5"/>
      <c r="Z885" s="5"/>
      <c r="AA885" s="5"/>
    </row>
    <row r="886" spans="5:27" customFormat="1">
      <c r="E886" s="88"/>
      <c r="F886" s="36" t="s">
        <v>295</v>
      </c>
      <c r="G886" s="5" t="s">
        <v>296</v>
      </c>
      <c r="H886" s="5"/>
      <c r="I886" s="62">
        <v>-39200</v>
      </c>
      <c r="J886" s="62">
        <v>-28.201438848920901</v>
      </c>
      <c r="K886" s="62">
        <v>1390</v>
      </c>
      <c r="L886" s="100" t="s">
        <v>628</v>
      </c>
      <c r="M886" s="5" t="s">
        <v>452</v>
      </c>
      <c r="N886" s="34" t="s">
        <v>464</v>
      </c>
      <c r="O886" s="5" t="s">
        <v>629</v>
      </c>
      <c r="P886" s="5" t="s">
        <v>597</v>
      </c>
      <c r="Q886" s="5" t="s">
        <v>630</v>
      </c>
      <c r="R886" s="5" t="s">
        <v>639</v>
      </c>
      <c r="S886" s="5" t="s">
        <v>632</v>
      </c>
      <c r="T886" s="5" t="s">
        <v>445</v>
      </c>
      <c r="U886" s="5"/>
      <c r="V886" s="5"/>
      <c r="W886" s="5"/>
      <c r="X886" s="5"/>
      <c r="Y886" s="5"/>
      <c r="Z886" s="5"/>
      <c r="AA886" s="5"/>
    </row>
    <row r="887" spans="5:27" customFormat="1">
      <c r="E887" s="88"/>
      <c r="F887" s="36" t="s">
        <v>295</v>
      </c>
      <c r="G887" s="5" t="s">
        <v>296</v>
      </c>
      <c r="H887" s="5"/>
      <c r="I887" s="62">
        <v>-5000</v>
      </c>
      <c r="J887" s="62">
        <v>-3.5971223021582701</v>
      </c>
      <c r="K887" s="62">
        <v>1390</v>
      </c>
      <c r="L887" s="100" t="s">
        <v>628</v>
      </c>
      <c r="M887" s="5" t="s">
        <v>452</v>
      </c>
      <c r="N887" s="34" t="s">
        <v>464</v>
      </c>
      <c r="O887" s="5" t="s">
        <v>629</v>
      </c>
      <c r="P887" s="5" t="s">
        <v>597</v>
      </c>
      <c r="Q887" s="5" t="s">
        <v>630</v>
      </c>
      <c r="R887" s="5" t="s">
        <v>639</v>
      </c>
      <c r="S887" s="5" t="s">
        <v>632</v>
      </c>
      <c r="T887" s="5" t="s">
        <v>445</v>
      </c>
      <c r="U887" s="5"/>
      <c r="V887" s="5"/>
      <c r="W887" s="5"/>
      <c r="X887" s="5"/>
      <c r="Y887" s="5"/>
      <c r="Z887" s="5"/>
      <c r="AA887" s="5"/>
    </row>
    <row r="888" spans="5:27" customFormat="1">
      <c r="E888" s="88"/>
      <c r="F888" s="36" t="s">
        <v>295</v>
      </c>
      <c r="G888" s="5" t="s">
        <v>296</v>
      </c>
      <c r="H888" s="5"/>
      <c r="I888" s="62">
        <v>-42000</v>
      </c>
      <c r="J888" s="62">
        <v>-29.370629370629398</v>
      </c>
      <c r="K888" s="62">
        <v>1430</v>
      </c>
      <c r="L888" s="100" t="s">
        <v>751</v>
      </c>
      <c r="M888" s="5" t="s">
        <v>452</v>
      </c>
      <c r="N888" s="34" t="s">
        <v>464</v>
      </c>
      <c r="O888" s="5" t="s">
        <v>752</v>
      </c>
      <c r="P888" s="5" t="s">
        <v>597</v>
      </c>
      <c r="Q888" s="5" t="s">
        <v>753</v>
      </c>
      <c r="R888" s="5" t="s">
        <v>770</v>
      </c>
      <c r="S888" s="5" t="s">
        <v>755</v>
      </c>
      <c r="T888" s="5" t="s">
        <v>445</v>
      </c>
      <c r="U888" s="5"/>
      <c r="V888" s="5"/>
      <c r="W888" s="5"/>
      <c r="X888" s="5"/>
      <c r="Y888" s="5"/>
      <c r="Z888" s="5"/>
      <c r="AA888" s="5"/>
    </row>
    <row r="889" spans="5:27" customFormat="1">
      <c r="E889" s="88"/>
      <c r="F889" s="36" t="s">
        <v>295</v>
      </c>
      <c r="G889" s="5" t="s">
        <v>296</v>
      </c>
      <c r="H889" s="5"/>
      <c r="I889" s="62">
        <v>-16195</v>
      </c>
      <c r="J889" s="62">
        <v>-11.485815602836899</v>
      </c>
      <c r="K889" s="62">
        <v>1410</v>
      </c>
      <c r="L889" s="100" t="s">
        <v>678</v>
      </c>
      <c r="M889" s="5" t="s">
        <v>452</v>
      </c>
      <c r="N889" s="34" t="s">
        <v>464</v>
      </c>
      <c r="O889" s="5" t="s">
        <v>683</v>
      </c>
      <c r="P889" s="5" t="s">
        <v>597</v>
      </c>
      <c r="Q889" s="5" t="s">
        <v>684</v>
      </c>
      <c r="R889" s="5" t="s">
        <v>697</v>
      </c>
      <c r="S889" s="5" t="s">
        <v>685</v>
      </c>
      <c r="T889" s="5" t="s">
        <v>445</v>
      </c>
      <c r="U889" s="5"/>
      <c r="V889" s="5"/>
      <c r="W889" s="5"/>
      <c r="X889" s="5"/>
      <c r="Y889" s="5"/>
      <c r="Z889" s="5"/>
      <c r="AA889" s="5"/>
    </row>
    <row r="890" spans="5:27" customFormat="1">
      <c r="E890" s="88"/>
      <c r="F890" s="36" t="s">
        <v>295</v>
      </c>
      <c r="G890" s="5" t="s">
        <v>296</v>
      </c>
      <c r="H890" s="5"/>
      <c r="I890" s="62">
        <v>1330000</v>
      </c>
      <c r="J890" s="62">
        <v>1000</v>
      </c>
      <c r="K890" s="62">
        <v>1330</v>
      </c>
      <c r="L890" s="100" t="s">
        <v>463</v>
      </c>
      <c r="M890" s="5" t="s">
        <v>452</v>
      </c>
      <c r="N890" s="34" t="s">
        <v>464</v>
      </c>
      <c r="O890" s="5" t="s">
        <v>465</v>
      </c>
      <c r="P890" s="5" t="s">
        <v>454</v>
      </c>
      <c r="Q890" s="5" t="s">
        <v>466</v>
      </c>
      <c r="R890" s="5" t="s">
        <v>466</v>
      </c>
      <c r="S890" s="5" t="s">
        <v>467</v>
      </c>
      <c r="T890" s="5" t="s">
        <v>445</v>
      </c>
      <c r="U890" s="5"/>
      <c r="V890" s="5"/>
      <c r="W890" s="5"/>
      <c r="X890" s="5"/>
      <c r="Y890" s="5"/>
      <c r="Z890" s="5"/>
      <c r="AA890" s="5"/>
    </row>
    <row r="891" spans="5:27" customFormat="1">
      <c r="E891" s="88"/>
      <c r="F891" s="36" t="s">
        <v>295</v>
      </c>
      <c r="G891" s="5" t="s">
        <v>296</v>
      </c>
      <c r="H891" s="5"/>
      <c r="I891" s="62">
        <v>650000</v>
      </c>
      <c r="J891" s="62">
        <v>500</v>
      </c>
      <c r="K891" s="62">
        <v>1300</v>
      </c>
      <c r="L891" s="100" t="s">
        <v>468</v>
      </c>
      <c r="M891" s="5" t="s">
        <v>452</v>
      </c>
      <c r="N891" s="34" t="s">
        <v>464</v>
      </c>
      <c r="O891" s="5" t="s">
        <v>469</v>
      </c>
      <c r="P891" s="5" t="s">
        <v>454</v>
      </c>
      <c r="Q891" s="5" t="s">
        <v>470</v>
      </c>
      <c r="R891" s="5" t="s">
        <v>470</v>
      </c>
      <c r="S891" s="5" t="s">
        <v>471</v>
      </c>
      <c r="T891" s="5" t="s">
        <v>445</v>
      </c>
      <c r="U891" s="5"/>
      <c r="V891" s="5"/>
      <c r="W891" s="5"/>
      <c r="X891" s="5"/>
      <c r="Y891" s="5"/>
      <c r="Z891" s="5"/>
      <c r="AA891" s="5"/>
    </row>
    <row r="892" spans="5:27" customFormat="1">
      <c r="E892" s="88"/>
      <c r="F892" s="36" t="s">
        <v>295</v>
      </c>
      <c r="G892" s="5" t="s">
        <v>296</v>
      </c>
      <c r="H892" s="5"/>
      <c r="I892" s="62">
        <v>1950000</v>
      </c>
      <c r="J892" s="62">
        <v>1500</v>
      </c>
      <c r="K892" s="62">
        <v>1300</v>
      </c>
      <c r="L892" s="100" t="s">
        <v>595</v>
      </c>
      <c r="M892" s="5" t="s">
        <v>452</v>
      </c>
      <c r="N892" s="34" t="s">
        <v>464</v>
      </c>
      <c r="O892" s="5" t="s">
        <v>596</v>
      </c>
      <c r="P892" s="5" t="s">
        <v>597</v>
      </c>
      <c r="Q892" s="5" t="s">
        <v>598</v>
      </c>
      <c r="R892" s="5" t="s">
        <v>598</v>
      </c>
      <c r="S892" s="5" t="s">
        <v>599</v>
      </c>
      <c r="T892" s="5" t="s">
        <v>445</v>
      </c>
      <c r="U892" s="5"/>
      <c r="V892" s="5"/>
      <c r="W892" s="5"/>
      <c r="X892" s="5"/>
      <c r="Y892" s="5"/>
      <c r="Z892" s="5"/>
      <c r="AA892" s="5"/>
    </row>
    <row r="893" spans="5:27" customFormat="1">
      <c r="E893" s="88"/>
      <c r="F893" s="36" t="s">
        <v>295</v>
      </c>
      <c r="G893" s="5" t="s">
        <v>296</v>
      </c>
      <c r="H893" s="5"/>
      <c r="I893" s="62">
        <v>273000</v>
      </c>
      <c r="J893" s="62">
        <v>200</v>
      </c>
      <c r="K893" s="62">
        <v>1365</v>
      </c>
      <c r="L893" s="100" t="s">
        <v>600</v>
      </c>
      <c r="M893" s="5" t="s">
        <v>452</v>
      </c>
      <c r="N893" s="34" t="s">
        <v>464</v>
      </c>
      <c r="O893" s="5" t="s">
        <v>601</v>
      </c>
      <c r="P893" s="5" t="s">
        <v>597</v>
      </c>
      <c r="Q893" s="5" t="s">
        <v>602</v>
      </c>
      <c r="R893" s="5" t="s">
        <v>602</v>
      </c>
      <c r="S893" s="5" t="s">
        <v>603</v>
      </c>
      <c r="T893" s="5" t="s">
        <v>445</v>
      </c>
      <c r="U893" s="5"/>
      <c r="V893" s="5"/>
      <c r="W893" s="5"/>
      <c r="X893" s="5"/>
      <c r="Y893" s="5"/>
      <c r="Z893" s="5"/>
      <c r="AA893" s="5"/>
    </row>
    <row r="894" spans="5:27" customFormat="1">
      <c r="E894" s="88"/>
      <c r="F894" s="36" t="s">
        <v>295</v>
      </c>
      <c r="G894" s="5" t="s">
        <v>296</v>
      </c>
      <c r="H894" s="5"/>
      <c r="I894" s="62">
        <v>1380000</v>
      </c>
      <c r="J894" s="62">
        <v>1000</v>
      </c>
      <c r="K894" s="62">
        <v>1380</v>
      </c>
      <c r="L894" s="100" t="s">
        <v>612</v>
      </c>
      <c r="M894" s="5" t="s">
        <v>452</v>
      </c>
      <c r="N894" s="34" t="s">
        <v>464</v>
      </c>
      <c r="O894" s="5" t="s">
        <v>613</v>
      </c>
      <c r="P894" s="5" t="s">
        <v>597</v>
      </c>
      <c r="Q894" s="5" t="s">
        <v>614</v>
      </c>
      <c r="R894" s="5" t="s">
        <v>614</v>
      </c>
      <c r="S894" s="5" t="s">
        <v>615</v>
      </c>
      <c r="T894" s="5" t="s">
        <v>445</v>
      </c>
      <c r="U894" s="5"/>
      <c r="V894" s="5"/>
      <c r="W894" s="5"/>
      <c r="X894" s="5"/>
      <c r="Y894" s="5"/>
      <c r="Z894" s="5"/>
      <c r="AA894" s="5"/>
    </row>
    <row r="895" spans="5:27" customFormat="1">
      <c r="E895" s="88"/>
      <c r="F895" s="36" t="s">
        <v>295</v>
      </c>
      <c r="G895" s="5" t="s">
        <v>296</v>
      </c>
      <c r="H895" s="5"/>
      <c r="I895" s="62">
        <v>426000</v>
      </c>
      <c r="J895" s="62">
        <v>300</v>
      </c>
      <c r="K895" s="62">
        <v>1420</v>
      </c>
      <c r="L895" s="100" t="s">
        <v>616</v>
      </c>
      <c r="M895" s="5" t="s">
        <v>452</v>
      </c>
      <c r="N895" s="34" t="s">
        <v>464</v>
      </c>
      <c r="O895" s="5" t="s">
        <v>617</v>
      </c>
      <c r="P895" s="5" t="s">
        <v>597</v>
      </c>
      <c r="Q895" s="5" t="s">
        <v>618</v>
      </c>
      <c r="R895" s="5" t="s">
        <v>618</v>
      </c>
      <c r="S895" s="5" t="s">
        <v>619</v>
      </c>
      <c r="T895" s="5" t="s">
        <v>445</v>
      </c>
      <c r="U895" s="5"/>
      <c r="V895" s="5"/>
      <c r="W895" s="5"/>
      <c r="X895" s="5"/>
      <c r="Y895" s="5"/>
      <c r="Z895" s="5"/>
      <c r="AA895" s="5"/>
    </row>
    <row r="896" spans="5:27" customFormat="1">
      <c r="E896" s="88"/>
      <c r="F896" s="36" t="s">
        <v>295</v>
      </c>
      <c r="G896" s="5" t="s">
        <v>296</v>
      </c>
      <c r="H896" s="5"/>
      <c r="I896" s="62">
        <v>280000</v>
      </c>
      <c r="J896" s="62">
        <v>200</v>
      </c>
      <c r="K896" s="62">
        <v>1400</v>
      </c>
      <c r="L896" s="100" t="s">
        <v>616</v>
      </c>
      <c r="M896" s="5" t="s">
        <v>452</v>
      </c>
      <c r="N896" s="34" t="s">
        <v>464</v>
      </c>
      <c r="O896" s="5" t="s">
        <v>620</v>
      </c>
      <c r="P896" s="5" t="s">
        <v>597</v>
      </c>
      <c r="Q896" s="5" t="s">
        <v>621</v>
      </c>
      <c r="R896" s="5" t="s">
        <v>621</v>
      </c>
      <c r="S896" s="5" t="s">
        <v>622</v>
      </c>
      <c r="T896" s="5" t="s">
        <v>445</v>
      </c>
      <c r="U896" s="5"/>
      <c r="V896" s="5"/>
      <c r="W896" s="5"/>
      <c r="X896" s="5"/>
      <c r="Y896" s="5"/>
      <c r="Z896" s="5"/>
      <c r="AA896" s="5"/>
    </row>
    <row r="897" spans="5:27" customFormat="1">
      <c r="E897" s="88"/>
      <c r="F897" s="36" t="s">
        <v>295</v>
      </c>
      <c r="G897" s="5" t="s">
        <v>296</v>
      </c>
      <c r="H897" s="5"/>
      <c r="I897" s="62">
        <v>6410000</v>
      </c>
      <c r="J897" s="62">
        <v>4611.5107913669099</v>
      </c>
      <c r="K897" s="62">
        <v>1390</v>
      </c>
      <c r="L897" s="100" t="s">
        <v>628</v>
      </c>
      <c r="M897" s="5" t="s">
        <v>452</v>
      </c>
      <c r="N897" s="34" t="s">
        <v>464</v>
      </c>
      <c r="O897" s="5" t="s">
        <v>787</v>
      </c>
      <c r="P897" s="5" t="s">
        <v>597</v>
      </c>
      <c r="Q897" s="5" t="s">
        <v>788</v>
      </c>
      <c r="R897" s="5" t="s">
        <v>788</v>
      </c>
      <c r="S897" s="5" t="s">
        <v>789</v>
      </c>
      <c r="T897" s="5" t="s">
        <v>445</v>
      </c>
      <c r="U897" s="5"/>
      <c r="V897" s="5"/>
      <c r="W897" s="5"/>
      <c r="X897" s="5"/>
      <c r="Y897" s="5"/>
      <c r="Z897" s="5"/>
      <c r="AA897" s="5"/>
    </row>
    <row r="898" spans="5:27" customFormat="1">
      <c r="E898" s="88"/>
      <c r="F898" s="36" t="s">
        <v>297</v>
      </c>
      <c r="G898" s="5" t="s">
        <v>298</v>
      </c>
      <c r="H898" s="5"/>
      <c r="I898" s="62">
        <v>-7800000</v>
      </c>
      <c r="J898" s="62">
        <v>-6000</v>
      </c>
      <c r="K898" s="62">
        <v>1300</v>
      </c>
      <c r="L898" s="100" t="s">
        <v>463</v>
      </c>
      <c r="M898" s="5" t="s">
        <v>452</v>
      </c>
      <c r="N898" s="34" t="s">
        <v>464</v>
      </c>
      <c r="O898" s="5" t="s">
        <v>540</v>
      </c>
      <c r="P898" s="5" t="s">
        <v>454</v>
      </c>
      <c r="Q898" s="5" t="s">
        <v>541</v>
      </c>
      <c r="R898" s="5" t="s">
        <v>542</v>
      </c>
      <c r="S898" s="5" t="s">
        <v>543</v>
      </c>
      <c r="T898" s="5" t="s">
        <v>445</v>
      </c>
      <c r="U898" s="5"/>
      <c r="V898" s="5"/>
      <c r="W898" s="5"/>
      <c r="X898" s="5"/>
      <c r="Y898" s="5"/>
      <c r="Z898" s="5"/>
      <c r="AA898" s="5"/>
    </row>
    <row r="899" spans="5:27" customFormat="1">
      <c r="E899" s="88"/>
      <c r="F899" s="36" t="s">
        <v>297</v>
      </c>
      <c r="G899" s="5" t="s">
        <v>298</v>
      </c>
      <c r="H899" s="5"/>
      <c r="I899" s="62">
        <v>-1500000</v>
      </c>
      <c r="J899" s="62">
        <v>-1000</v>
      </c>
      <c r="K899" s="62">
        <v>1500</v>
      </c>
      <c r="L899" s="100" t="s">
        <v>858</v>
      </c>
      <c r="M899" s="5" t="s">
        <v>452</v>
      </c>
      <c r="N899" s="34" t="s">
        <v>464</v>
      </c>
      <c r="O899" s="5" t="s">
        <v>859</v>
      </c>
      <c r="P899" s="5" t="s">
        <v>597</v>
      </c>
      <c r="Q899" s="5" t="s">
        <v>860</v>
      </c>
      <c r="R899" s="5" t="s">
        <v>861</v>
      </c>
      <c r="S899" s="5" t="s">
        <v>862</v>
      </c>
      <c r="T899" s="5" t="s">
        <v>445</v>
      </c>
      <c r="U899" s="5"/>
      <c r="V899" s="5"/>
      <c r="W899" s="5"/>
      <c r="X899" s="5"/>
      <c r="Y899" s="5"/>
      <c r="Z899" s="5"/>
      <c r="AA899" s="5"/>
    </row>
    <row r="900" spans="5:27" customFormat="1">
      <c r="E900" s="88"/>
      <c r="F900" s="36" t="s">
        <v>297</v>
      </c>
      <c r="G900" s="5" t="s">
        <v>298</v>
      </c>
      <c r="H900" s="5"/>
      <c r="I900" s="62">
        <v>-6503600</v>
      </c>
      <c r="J900" s="62">
        <v>-4580</v>
      </c>
      <c r="K900" s="62">
        <v>1420</v>
      </c>
      <c r="L900" s="100" t="s">
        <v>1030</v>
      </c>
      <c r="M900" s="5" t="s">
        <v>452</v>
      </c>
      <c r="N900" s="34" t="s">
        <v>464</v>
      </c>
      <c r="O900" s="5" t="s">
        <v>1071</v>
      </c>
      <c r="P900" s="5" t="s">
        <v>597</v>
      </c>
      <c r="Q900" s="5" t="s">
        <v>1072</v>
      </c>
      <c r="R900" s="5" t="s">
        <v>1073</v>
      </c>
      <c r="S900" s="5" t="s">
        <v>1074</v>
      </c>
      <c r="T900" s="5" t="s">
        <v>445</v>
      </c>
      <c r="U900" s="5"/>
      <c r="V900" s="5"/>
      <c r="W900" s="5"/>
      <c r="X900" s="5"/>
      <c r="Y900" s="5"/>
      <c r="Z900" s="5"/>
      <c r="AA900" s="5"/>
    </row>
    <row r="901" spans="5:27" customFormat="1">
      <c r="E901" s="88"/>
      <c r="F901" s="36" t="s">
        <v>297</v>
      </c>
      <c r="G901" s="5" t="s">
        <v>298</v>
      </c>
      <c r="H901" s="5"/>
      <c r="I901" s="62">
        <v>-1050000</v>
      </c>
      <c r="J901" s="62">
        <v>-700</v>
      </c>
      <c r="K901" s="62">
        <v>1500</v>
      </c>
      <c r="L901" s="100" t="s">
        <v>858</v>
      </c>
      <c r="M901" s="5" t="s">
        <v>452</v>
      </c>
      <c r="N901" s="34" t="s">
        <v>464</v>
      </c>
      <c r="O901" s="5" t="s">
        <v>859</v>
      </c>
      <c r="P901" s="5" t="s">
        <v>597</v>
      </c>
      <c r="Q901" s="5" t="s">
        <v>860</v>
      </c>
      <c r="R901" s="5" t="s">
        <v>868</v>
      </c>
      <c r="S901" s="5" t="s">
        <v>862</v>
      </c>
      <c r="T901" s="5" t="s">
        <v>445</v>
      </c>
      <c r="U901" s="5"/>
      <c r="V901" s="5"/>
      <c r="W901" s="5"/>
      <c r="X901" s="5"/>
      <c r="Y901" s="5"/>
      <c r="Z901" s="5"/>
      <c r="AA901" s="5"/>
    </row>
    <row r="902" spans="5:27" customFormat="1">
      <c r="E902" s="88"/>
      <c r="F902" s="36" t="s">
        <v>297</v>
      </c>
      <c r="G902" s="5" t="s">
        <v>298</v>
      </c>
      <c r="H902" s="5"/>
      <c r="I902" s="62">
        <v>15340000</v>
      </c>
      <c r="J902" s="62">
        <v>11800</v>
      </c>
      <c r="K902" s="62">
        <v>1300</v>
      </c>
      <c r="L902" s="100" t="s">
        <v>476</v>
      </c>
      <c r="M902" s="5" t="s">
        <v>452</v>
      </c>
      <c r="N902" s="34" t="s">
        <v>464</v>
      </c>
      <c r="O902" s="5" t="s">
        <v>561</v>
      </c>
      <c r="P902" s="5" t="s">
        <v>454</v>
      </c>
      <c r="Q902" s="5" t="s">
        <v>562</v>
      </c>
      <c r="R902" s="5" t="s">
        <v>563</v>
      </c>
      <c r="S902" s="5" t="s">
        <v>564</v>
      </c>
      <c r="T902" s="5" t="s">
        <v>445</v>
      </c>
      <c r="U902" s="5"/>
      <c r="V902" s="5"/>
      <c r="W902" s="5"/>
      <c r="X902" s="5"/>
      <c r="Y902" s="5"/>
      <c r="Z902" s="5"/>
      <c r="AA902" s="5"/>
    </row>
    <row r="903" spans="5:27" customFormat="1">
      <c r="E903" s="88"/>
      <c r="F903" s="36" t="s">
        <v>297</v>
      </c>
      <c r="G903" s="5" t="s">
        <v>298</v>
      </c>
      <c r="H903" s="5"/>
      <c r="I903" s="62">
        <v>11815000</v>
      </c>
      <c r="J903" s="62">
        <v>8500</v>
      </c>
      <c r="K903" s="62">
        <v>1390</v>
      </c>
      <c r="L903" s="100" t="s">
        <v>628</v>
      </c>
      <c r="M903" s="5" t="s">
        <v>452</v>
      </c>
      <c r="N903" s="34" t="s">
        <v>464</v>
      </c>
      <c r="O903" s="5" t="s">
        <v>790</v>
      </c>
      <c r="P903" s="5" t="s">
        <v>597</v>
      </c>
      <c r="Q903" s="5" t="s">
        <v>791</v>
      </c>
      <c r="R903" s="5" t="s">
        <v>563</v>
      </c>
      <c r="S903" s="5" t="s">
        <v>792</v>
      </c>
      <c r="T903" s="5" t="s">
        <v>445</v>
      </c>
      <c r="U903" s="5"/>
      <c r="V903" s="5"/>
      <c r="W903" s="5"/>
      <c r="X903" s="5"/>
      <c r="Y903" s="5"/>
      <c r="Z903" s="5"/>
      <c r="AA903" s="5"/>
    </row>
    <row r="904" spans="5:27" customFormat="1">
      <c r="E904" s="88"/>
      <c r="F904" s="36" t="s">
        <v>297</v>
      </c>
      <c r="G904" s="5" t="s">
        <v>298</v>
      </c>
      <c r="H904" s="5"/>
      <c r="I904" s="62">
        <v>840000</v>
      </c>
      <c r="J904" s="62">
        <v>600</v>
      </c>
      <c r="K904" s="62">
        <v>1400</v>
      </c>
      <c r="L904" s="100" t="s">
        <v>834</v>
      </c>
      <c r="M904" s="5" t="s">
        <v>452</v>
      </c>
      <c r="N904" s="34" t="s">
        <v>464</v>
      </c>
      <c r="O904" s="5" t="s">
        <v>851</v>
      </c>
      <c r="P904" s="5" t="s">
        <v>597</v>
      </c>
      <c r="Q904" s="5" t="s">
        <v>852</v>
      </c>
      <c r="R904" s="5" t="s">
        <v>563</v>
      </c>
      <c r="S904" s="5" t="s">
        <v>853</v>
      </c>
      <c r="T904" s="5" t="s">
        <v>445</v>
      </c>
      <c r="U904" s="5"/>
      <c r="V904" s="5"/>
      <c r="W904" s="5"/>
      <c r="X904" s="5"/>
      <c r="Y904" s="5"/>
      <c r="Z904" s="5"/>
      <c r="AA904" s="5"/>
    </row>
    <row r="905" spans="5:27" customFormat="1">
      <c r="E905" s="88"/>
      <c r="F905" s="36" t="s">
        <v>297</v>
      </c>
      <c r="G905" s="5" t="s">
        <v>298</v>
      </c>
      <c r="H905" s="5"/>
      <c r="I905" s="62">
        <v>6503600</v>
      </c>
      <c r="J905" s="62">
        <v>4580</v>
      </c>
      <c r="K905" s="62">
        <v>1420</v>
      </c>
      <c r="L905" s="100" t="s">
        <v>1104</v>
      </c>
      <c r="M905" s="5" t="s">
        <v>452</v>
      </c>
      <c r="N905" s="34" t="s">
        <v>464</v>
      </c>
      <c r="O905" s="5" t="s">
        <v>1105</v>
      </c>
      <c r="P905" s="5" t="s">
        <v>597</v>
      </c>
      <c r="Q905" s="5" t="s">
        <v>1106</v>
      </c>
      <c r="R905" s="5" t="s">
        <v>563</v>
      </c>
      <c r="S905" s="5" t="s">
        <v>1107</v>
      </c>
      <c r="T905" s="5" t="s">
        <v>445</v>
      </c>
      <c r="U905" s="5"/>
      <c r="V905" s="5"/>
      <c r="W905" s="5"/>
      <c r="X905" s="5"/>
      <c r="Y905" s="5"/>
      <c r="Z905" s="5"/>
      <c r="AA905" s="5"/>
    </row>
    <row r="906" spans="5:27" customFormat="1">
      <c r="E906" s="88"/>
      <c r="F906" s="36" t="s">
        <v>297</v>
      </c>
      <c r="G906" s="5" t="s">
        <v>298</v>
      </c>
      <c r="H906" s="5"/>
      <c r="I906" s="62">
        <v>750000</v>
      </c>
      <c r="J906" s="62">
        <v>500</v>
      </c>
      <c r="K906" s="62">
        <v>1500</v>
      </c>
      <c r="L906" s="100" t="s">
        <v>858</v>
      </c>
      <c r="M906" s="5" t="s">
        <v>452</v>
      </c>
      <c r="N906" s="34" t="s">
        <v>464</v>
      </c>
      <c r="O906" s="5" t="s">
        <v>900</v>
      </c>
      <c r="P906" s="5" t="s">
        <v>597</v>
      </c>
      <c r="Q906" s="5" t="s">
        <v>901</v>
      </c>
      <c r="R906" s="5" t="s">
        <v>904</v>
      </c>
      <c r="S906" s="5" t="s">
        <v>903</v>
      </c>
      <c r="T906" s="5" t="s">
        <v>445</v>
      </c>
      <c r="U906" s="5"/>
      <c r="V906" s="5"/>
      <c r="W906" s="5"/>
      <c r="X906" s="5"/>
      <c r="Y906" s="5"/>
      <c r="Z906" s="5"/>
      <c r="AA906" s="5"/>
    </row>
    <row r="907" spans="5:27" customFormat="1">
      <c r="E907" s="88"/>
      <c r="F907" s="36" t="s">
        <v>297</v>
      </c>
      <c r="G907" s="5" t="s">
        <v>298</v>
      </c>
      <c r="H907" s="5"/>
      <c r="I907" s="62">
        <v>5070000</v>
      </c>
      <c r="J907" s="62">
        <v>3380</v>
      </c>
      <c r="K907" s="62">
        <v>1500</v>
      </c>
      <c r="L907" s="100" t="s">
        <v>858</v>
      </c>
      <c r="M907" s="5" t="s">
        <v>452</v>
      </c>
      <c r="N907" s="34" t="s">
        <v>464</v>
      </c>
      <c r="O907" s="5" t="s">
        <v>900</v>
      </c>
      <c r="P907" s="5" t="s">
        <v>597</v>
      </c>
      <c r="Q907" s="5" t="s">
        <v>901</v>
      </c>
      <c r="R907" s="5" t="s">
        <v>902</v>
      </c>
      <c r="S907" s="5" t="s">
        <v>903</v>
      </c>
      <c r="T907" s="5" t="s">
        <v>445</v>
      </c>
      <c r="U907" s="5"/>
      <c r="V907" s="5"/>
      <c r="W907" s="5"/>
      <c r="X907" s="5"/>
      <c r="Y907" s="5"/>
      <c r="Z907" s="5"/>
      <c r="AA907" s="5"/>
    </row>
    <row r="908" spans="5:27" customFormat="1">
      <c r="E908" s="88"/>
      <c r="F908" s="36" t="s">
        <v>297</v>
      </c>
      <c r="G908" s="5" t="s">
        <v>298</v>
      </c>
      <c r="H908" s="5"/>
      <c r="I908" s="62">
        <v>-2860000</v>
      </c>
      <c r="J908" s="62">
        <v>-2000</v>
      </c>
      <c r="K908" s="62">
        <v>1430</v>
      </c>
      <c r="L908" s="100" t="s">
        <v>751</v>
      </c>
      <c r="M908" s="5" t="s">
        <v>452</v>
      </c>
      <c r="N908" s="34" t="s">
        <v>464</v>
      </c>
      <c r="O908" s="5" t="s">
        <v>774</v>
      </c>
      <c r="P908" s="5" t="s">
        <v>597</v>
      </c>
      <c r="Q908" s="5" t="s">
        <v>775</v>
      </c>
      <c r="R908" s="5" t="s">
        <v>776</v>
      </c>
      <c r="S908" s="5" t="s">
        <v>777</v>
      </c>
      <c r="T908" s="5" t="s">
        <v>445</v>
      </c>
      <c r="U908" s="5"/>
      <c r="V908" s="5"/>
      <c r="W908" s="5"/>
      <c r="X908" s="5"/>
      <c r="Y908" s="5"/>
      <c r="Z908" s="5"/>
      <c r="AA908" s="5"/>
    </row>
    <row r="909" spans="5:27" customFormat="1">
      <c r="E909" s="88"/>
      <c r="F909" s="36" t="s">
        <v>297</v>
      </c>
      <c r="G909" s="5" t="s">
        <v>298</v>
      </c>
      <c r="H909" s="5"/>
      <c r="I909" s="62">
        <v>-300000</v>
      </c>
      <c r="J909" s="62">
        <v>-200</v>
      </c>
      <c r="K909" s="62">
        <v>1500</v>
      </c>
      <c r="L909" s="100" t="s">
        <v>858</v>
      </c>
      <c r="M909" s="5" t="s">
        <v>452</v>
      </c>
      <c r="N909" s="34" t="s">
        <v>464</v>
      </c>
      <c r="O909" s="5" t="s">
        <v>859</v>
      </c>
      <c r="P909" s="5" t="s">
        <v>597</v>
      </c>
      <c r="Q909" s="5" t="s">
        <v>860</v>
      </c>
      <c r="R909" s="5" t="s">
        <v>865</v>
      </c>
      <c r="S909" s="5" t="s">
        <v>862</v>
      </c>
      <c r="T909" s="5" t="s">
        <v>445</v>
      </c>
      <c r="U909" s="5"/>
      <c r="V909" s="5"/>
      <c r="W909" s="5"/>
      <c r="X909" s="5"/>
      <c r="Y909" s="5"/>
      <c r="Z909" s="5"/>
      <c r="AA909" s="5"/>
    </row>
    <row r="910" spans="5:27" customFormat="1">
      <c r="E910" s="88"/>
      <c r="F910" s="36" t="s">
        <v>297</v>
      </c>
      <c r="G910" s="5" t="s">
        <v>298</v>
      </c>
      <c r="H910" s="5"/>
      <c r="I910" s="62">
        <v>-1050000</v>
      </c>
      <c r="J910" s="62">
        <v>-700</v>
      </c>
      <c r="K910" s="62">
        <v>1500</v>
      </c>
      <c r="L910" s="100" t="s">
        <v>858</v>
      </c>
      <c r="M910" s="5" t="s">
        <v>452</v>
      </c>
      <c r="N910" s="34" t="s">
        <v>464</v>
      </c>
      <c r="O910" s="5" t="s">
        <v>859</v>
      </c>
      <c r="P910" s="5" t="s">
        <v>597</v>
      </c>
      <c r="Q910" s="5" t="s">
        <v>860</v>
      </c>
      <c r="R910" s="5" t="s">
        <v>869</v>
      </c>
      <c r="S910" s="5" t="s">
        <v>862</v>
      </c>
      <c r="T910" s="5" t="s">
        <v>445</v>
      </c>
      <c r="U910" s="5"/>
      <c r="V910" s="5"/>
      <c r="W910" s="5"/>
      <c r="X910" s="5"/>
      <c r="Y910" s="5"/>
      <c r="Z910" s="5"/>
      <c r="AA910" s="5"/>
    </row>
    <row r="911" spans="5:27" customFormat="1">
      <c r="E911" s="88"/>
      <c r="F911" s="36" t="s">
        <v>297</v>
      </c>
      <c r="G911" s="5" t="s">
        <v>298</v>
      </c>
      <c r="H911" s="5"/>
      <c r="I911" s="62">
        <v>-705000</v>
      </c>
      <c r="J911" s="62">
        <v>-500</v>
      </c>
      <c r="K911" s="62">
        <v>1410</v>
      </c>
      <c r="L911" s="100" t="s">
        <v>678</v>
      </c>
      <c r="M911" s="5" t="s">
        <v>452</v>
      </c>
      <c r="N911" s="34" t="s">
        <v>464</v>
      </c>
      <c r="O911" s="5" t="s">
        <v>679</v>
      </c>
      <c r="P911" s="5" t="s">
        <v>597</v>
      </c>
      <c r="Q911" s="5" t="s">
        <v>680</v>
      </c>
      <c r="R911" s="5" t="s">
        <v>681</v>
      </c>
      <c r="S911" s="5" t="s">
        <v>682</v>
      </c>
      <c r="T911" s="5" t="s">
        <v>445</v>
      </c>
      <c r="U911" s="5"/>
      <c r="V911" s="5"/>
      <c r="W911" s="5"/>
      <c r="X911" s="5"/>
      <c r="Y911" s="5"/>
      <c r="Z911" s="5"/>
      <c r="AA911" s="5"/>
    </row>
    <row r="912" spans="5:27" customFormat="1">
      <c r="E912" s="88"/>
      <c r="F912" s="36" t="s">
        <v>297</v>
      </c>
      <c r="G912" s="5" t="s">
        <v>298</v>
      </c>
      <c r="H912" s="5"/>
      <c r="I912" s="62">
        <v>-556000</v>
      </c>
      <c r="J912" s="62">
        <v>-400</v>
      </c>
      <c r="K912" s="62">
        <v>1390</v>
      </c>
      <c r="L912" s="100" t="s">
        <v>628</v>
      </c>
      <c r="M912" s="5" t="s">
        <v>452</v>
      </c>
      <c r="N912" s="34" t="s">
        <v>464</v>
      </c>
      <c r="O912" s="5" t="s">
        <v>670</v>
      </c>
      <c r="P912" s="5" t="s">
        <v>597</v>
      </c>
      <c r="Q912" s="5" t="s">
        <v>671</v>
      </c>
      <c r="R912" s="5" t="s">
        <v>674</v>
      </c>
      <c r="S912" s="5" t="s">
        <v>673</v>
      </c>
      <c r="T912" s="5" t="s">
        <v>445</v>
      </c>
      <c r="U912" s="5"/>
      <c r="V912" s="5"/>
      <c r="W912" s="5"/>
      <c r="X912" s="5"/>
      <c r="Y912" s="5"/>
      <c r="Z912" s="5"/>
      <c r="AA912" s="5"/>
    </row>
    <row r="913" spans="5:27" customFormat="1">
      <c r="E913" s="88"/>
      <c r="F913" s="36" t="s">
        <v>297</v>
      </c>
      <c r="G913" s="5" t="s">
        <v>298</v>
      </c>
      <c r="H913" s="5"/>
      <c r="I913" s="62">
        <v>-286000</v>
      </c>
      <c r="J913" s="62">
        <v>-200</v>
      </c>
      <c r="K913" s="62">
        <v>1430</v>
      </c>
      <c r="L913" s="100" t="s">
        <v>751</v>
      </c>
      <c r="M913" s="5" t="s">
        <v>452</v>
      </c>
      <c r="N913" s="34" t="s">
        <v>464</v>
      </c>
      <c r="O913" s="5" t="s">
        <v>774</v>
      </c>
      <c r="P913" s="5" t="s">
        <v>597</v>
      </c>
      <c r="Q913" s="5" t="s">
        <v>775</v>
      </c>
      <c r="R913" s="5" t="s">
        <v>778</v>
      </c>
      <c r="S913" s="5" t="s">
        <v>777</v>
      </c>
      <c r="T913" s="5" t="s">
        <v>445</v>
      </c>
      <c r="U913" s="5"/>
      <c r="V913" s="5"/>
      <c r="W913" s="5"/>
      <c r="X913" s="5"/>
      <c r="Y913" s="5"/>
      <c r="Z913" s="5"/>
      <c r="AA913" s="5"/>
    </row>
    <row r="914" spans="5:27" customFormat="1">
      <c r="E914" s="88"/>
      <c r="F914" s="36" t="s">
        <v>297</v>
      </c>
      <c r="G914" s="5" t="s">
        <v>298</v>
      </c>
      <c r="H914" s="5"/>
      <c r="I914" s="62">
        <v>-417000</v>
      </c>
      <c r="J914" s="62">
        <v>-300</v>
      </c>
      <c r="K914" s="62">
        <v>1390</v>
      </c>
      <c r="L914" s="100" t="s">
        <v>628</v>
      </c>
      <c r="M914" s="5" t="s">
        <v>452</v>
      </c>
      <c r="N914" s="34" t="s">
        <v>464</v>
      </c>
      <c r="O914" s="5" t="s">
        <v>670</v>
      </c>
      <c r="P914" s="5" t="s">
        <v>597</v>
      </c>
      <c r="Q914" s="5" t="s">
        <v>671</v>
      </c>
      <c r="R914" s="5" t="s">
        <v>675</v>
      </c>
      <c r="S914" s="5" t="s">
        <v>673</v>
      </c>
      <c r="T914" s="5" t="s">
        <v>445</v>
      </c>
      <c r="U914" s="5"/>
      <c r="V914" s="5"/>
      <c r="W914" s="5"/>
      <c r="X914" s="5"/>
      <c r="Y914" s="5"/>
      <c r="Z914" s="5"/>
      <c r="AA914" s="5"/>
    </row>
    <row r="915" spans="5:27" customFormat="1">
      <c r="E915" s="88"/>
      <c r="F915" s="36" t="s">
        <v>297</v>
      </c>
      <c r="G915" s="5" t="s">
        <v>298</v>
      </c>
      <c r="H915" s="5"/>
      <c r="I915" s="62">
        <v>-2100000</v>
      </c>
      <c r="J915" s="62">
        <v>-1400</v>
      </c>
      <c r="K915" s="62">
        <v>1500</v>
      </c>
      <c r="L915" s="100" t="s">
        <v>858</v>
      </c>
      <c r="M915" s="5" t="s">
        <v>452</v>
      </c>
      <c r="N915" s="34" t="s">
        <v>464</v>
      </c>
      <c r="O915" s="5" t="s">
        <v>859</v>
      </c>
      <c r="P915" s="5" t="s">
        <v>597</v>
      </c>
      <c r="Q915" s="5" t="s">
        <v>860</v>
      </c>
      <c r="R915" s="5" t="s">
        <v>863</v>
      </c>
      <c r="S915" s="5" t="s">
        <v>862</v>
      </c>
      <c r="T915" s="5" t="s">
        <v>445</v>
      </c>
      <c r="U915" s="5"/>
      <c r="V915" s="5"/>
      <c r="W915" s="5"/>
      <c r="X915" s="5"/>
      <c r="Y915" s="5"/>
      <c r="Z915" s="5"/>
      <c r="AA915" s="5"/>
    </row>
    <row r="916" spans="5:27" customFormat="1">
      <c r="E916" s="88"/>
      <c r="F916" s="36" t="s">
        <v>297</v>
      </c>
      <c r="G916" s="5" t="s">
        <v>298</v>
      </c>
      <c r="H916" s="5"/>
      <c r="I916" s="62">
        <v>-556000</v>
      </c>
      <c r="J916" s="62">
        <v>-400</v>
      </c>
      <c r="K916" s="62">
        <v>1390</v>
      </c>
      <c r="L916" s="100" t="s">
        <v>628</v>
      </c>
      <c r="M916" s="5" t="s">
        <v>452</v>
      </c>
      <c r="N916" s="34" t="s">
        <v>464</v>
      </c>
      <c r="O916" s="5" t="s">
        <v>670</v>
      </c>
      <c r="P916" s="5" t="s">
        <v>597</v>
      </c>
      <c r="Q916" s="5" t="s">
        <v>671</v>
      </c>
      <c r="R916" s="5" t="s">
        <v>672</v>
      </c>
      <c r="S916" s="5" t="s">
        <v>673</v>
      </c>
      <c r="T916" s="5" t="s">
        <v>445</v>
      </c>
      <c r="U916" s="5"/>
      <c r="V916" s="5"/>
      <c r="W916" s="5"/>
      <c r="X916" s="5"/>
      <c r="Y916" s="5"/>
      <c r="Z916" s="5"/>
      <c r="AA916" s="5"/>
    </row>
    <row r="917" spans="5:27" customFormat="1">
      <c r="E917" s="88"/>
      <c r="F917" s="36" t="s">
        <v>297</v>
      </c>
      <c r="G917" s="5" t="s">
        <v>298</v>
      </c>
      <c r="H917" s="5"/>
      <c r="I917" s="62">
        <v>-556000</v>
      </c>
      <c r="J917" s="62">
        <v>-400</v>
      </c>
      <c r="K917" s="62">
        <v>1390</v>
      </c>
      <c r="L917" s="100" t="s">
        <v>628</v>
      </c>
      <c r="M917" s="5" t="s">
        <v>452</v>
      </c>
      <c r="N917" s="34" t="s">
        <v>464</v>
      </c>
      <c r="O917" s="5" t="s">
        <v>670</v>
      </c>
      <c r="P917" s="5" t="s">
        <v>597</v>
      </c>
      <c r="Q917" s="5" t="s">
        <v>671</v>
      </c>
      <c r="R917" s="5" t="s">
        <v>676</v>
      </c>
      <c r="S917" s="5" t="s">
        <v>673</v>
      </c>
      <c r="T917" s="5" t="s">
        <v>445</v>
      </c>
      <c r="U917" s="5"/>
      <c r="V917" s="5"/>
      <c r="W917" s="5"/>
      <c r="X917" s="5"/>
      <c r="Y917" s="5"/>
      <c r="Z917" s="5"/>
      <c r="AA917" s="5"/>
    </row>
    <row r="918" spans="5:27" customFormat="1">
      <c r="E918" s="88"/>
      <c r="F918" s="36" t="s">
        <v>297</v>
      </c>
      <c r="G918" s="5" t="s">
        <v>298</v>
      </c>
      <c r="H918" s="5"/>
      <c r="I918" s="62">
        <v>-2700000</v>
      </c>
      <c r="J918" s="62">
        <v>-1800</v>
      </c>
      <c r="K918" s="62">
        <v>1500</v>
      </c>
      <c r="L918" s="100" t="s">
        <v>858</v>
      </c>
      <c r="M918" s="5" t="s">
        <v>452</v>
      </c>
      <c r="N918" s="34" t="s">
        <v>464</v>
      </c>
      <c r="O918" s="5" t="s">
        <v>859</v>
      </c>
      <c r="P918" s="5" t="s">
        <v>597</v>
      </c>
      <c r="Q918" s="5" t="s">
        <v>860</v>
      </c>
      <c r="R918" s="5" t="s">
        <v>676</v>
      </c>
      <c r="S918" s="5" t="s">
        <v>862</v>
      </c>
      <c r="T918" s="5" t="s">
        <v>445</v>
      </c>
      <c r="U918" s="5"/>
      <c r="V918" s="5"/>
      <c r="W918" s="5"/>
      <c r="X918" s="5"/>
      <c r="Y918" s="5"/>
      <c r="Z918" s="5"/>
      <c r="AA918" s="5"/>
    </row>
    <row r="919" spans="5:27" customFormat="1">
      <c r="E919" s="88"/>
      <c r="F919" s="36" t="s">
        <v>297</v>
      </c>
      <c r="G919" s="5" t="s">
        <v>298</v>
      </c>
      <c r="H919" s="5"/>
      <c r="I919" s="62">
        <v>-900000</v>
      </c>
      <c r="J919" s="62">
        <v>-600</v>
      </c>
      <c r="K919" s="62">
        <v>1500</v>
      </c>
      <c r="L919" s="100" t="s">
        <v>858</v>
      </c>
      <c r="M919" s="5" t="s">
        <v>452</v>
      </c>
      <c r="N919" s="34" t="s">
        <v>464</v>
      </c>
      <c r="O919" s="5" t="s">
        <v>859</v>
      </c>
      <c r="P919" s="5" t="s">
        <v>597</v>
      </c>
      <c r="Q919" s="5" t="s">
        <v>860</v>
      </c>
      <c r="R919" s="5" t="s">
        <v>866</v>
      </c>
      <c r="S919" s="5" t="s">
        <v>862</v>
      </c>
      <c r="T919" s="5" t="s">
        <v>445</v>
      </c>
      <c r="U919" s="5"/>
      <c r="V919" s="5"/>
      <c r="W919" s="5"/>
      <c r="X919" s="5"/>
      <c r="Y919" s="5"/>
      <c r="Z919" s="5"/>
      <c r="AA919" s="5"/>
    </row>
    <row r="920" spans="5:27" customFormat="1">
      <c r="E920" s="88"/>
      <c r="F920" s="36" t="s">
        <v>297</v>
      </c>
      <c r="G920" s="5" t="s">
        <v>298</v>
      </c>
      <c r="H920" s="5"/>
      <c r="I920" s="62">
        <v>-2370000</v>
      </c>
      <c r="J920" s="62">
        <v>-1580</v>
      </c>
      <c r="K920" s="62">
        <v>1500</v>
      </c>
      <c r="L920" s="100" t="s">
        <v>858</v>
      </c>
      <c r="M920" s="5" t="s">
        <v>452</v>
      </c>
      <c r="N920" s="34" t="s">
        <v>464</v>
      </c>
      <c r="O920" s="5" t="s">
        <v>859</v>
      </c>
      <c r="P920" s="5" t="s">
        <v>597</v>
      </c>
      <c r="Q920" s="5" t="s">
        <v>860</v>
      </c>
      <c r="R920" s="5" t="s">
        <v>867</v>
      </c>
      <c r="S920" s="5" t="s">
        <v>862</v>
      </c>
      <c r="T920" s="5" t="s">
        <v>445</v>
      </c>
      <c r="U920" s="5"/>
      <c r="V920" s="5"/>
      <c r="W920" s="5"/>
      <c r="X920" s="5"/>
      <c r="Y920" s="5"/>
      <c r="Z920" s="5"/>
      <c r="AA920" s="5"/>
    </row>
    <row r="921" spans="5:27" customFormat="1">
      <c r="E921" s="88"/>
      <c r="F921" s="36" t="s">
        <v>297</v>
      </c>
      <c r="G921" s="5" t="s">
        <v>298</v>
      </c>
      <c r="H921" s="5"/>
      <c r="I921" s="62">
        <v>-695000</v>
      </c>
      <c r="J921" s="62">
        <v>-500</v>
      </c>
      <c r="K921" s="62">
        <v>1390</v>
      </c>
      <c r="L921" s="100" t="s">
        <v>628</v>
      </c>
      <c r="M921" s="5" t="s">
        <v>452</v>
      </c>
      <c r="N921" s="34" t="s">
        <v>464</v>
      </c>
      <c r="O921" s="5" t="s">
        <v>670</v>
      </c>
      <c r="P921" s="5" t="s">
        <v>597</v>
      </c>
      <c r="Q921" s="5" t="s">
        <v>671</v>
      </c>
      <c r="R921" s="5" t="s">
        <v>677</v>
      </c>
      <c r="S921" s="5" t="s">
        <v>673</v>
      </c>
      <c r="T921" s="5" t="s">
        <v>445</v>
      </c>
      <c r="U921" s="5"/>
      <c r="V921" s="5"/>
      <c r="W921" s="5"/>
      <c r="X921" s="5"/>
      <c r="Y921" s="5"/>
      <c r="Z921" s="5"/>
      <c r="AA921" s="5"/>
    </row>
    <row r="922" spans="5:27" customFormat="1">
      <c r="E922" s="88"/>
      <c r="F922" s="36" t="s">
        <v>297</v>
      </c>
      <c r="G922" s="5" t="s">
        <v>298</v>
      </c>
      <c r="H922" s="5"/>
      <c r="I922" s="62">
        <v>-2280000</v>
      </c>
      <c r="J922" s="62">
        <v>-1520</v>
      </c>
      <c r="K922" s="62">
        <v>1500</v>
      </c>
      <c r="L922" s="100" t="s">
        <v>858</v>
      </c>
      <c r="M922" s="5" t="s">
        <v>452</v>
      </c>
      <c r="N922" s="34" t="s">
        <v>464</v>
      </c>
      <c r="O922" s="5" t="s">
        <v>859</v>
      </c>
      <c r="P922" s="5" t="s">
        <v>597</v>
      </c>
      <c r="Q922" s="5" t="s">
        <v>860</v>
      </c>
      <c r="R922" s="5" t="s">
        <v>864</v>
      </c>
      <c r="S922" s="5" t="s">
        <v>862</v>
      </c>
      <c r="T922" s="5" t="s">
        <v>445</v>
      </c>
      <c r="U922" s="5"/>
      <c r="V922" s="5"/>
      <c r="W922" s="5"/>
      <c r="X922" s="5"/>
      <c r="Y922" s="5"/>
      <c r="Z922" s="5"/>
      <c r="AA922" s="5"/>
    </row>
    <row r="923" spans="5:27" customFormat="1">
      <c r="E923" s="88"/>
      <c r="F923" s="36" t="s">
        <v>297</v>
      </c>
      <c r="G923" s="5" t="s">
        <v>298</v>
      </c>
      <c r="H923" s="5"/>
      <c r="I923" s="62">
        <v>-1330000</v>
      </c>
      <c r="J923" s="62">
        <v>-1000</v>
      </c>
      <c r="K923" s="62">
        <v>1330</v>
      </c>
      <c r="L923" s="100" t="s">
        <v>463</v>
      </c>
      <c r="M923" s="5" t="s">
        <v>452</v>
      </c>
      <c r="N923" s="34" t="s">
        <v>464</v>
      </c>
      <c r="O923" s="5" t="s">
        <v>465</v>
      </c>
      <c r="P923" s="5" t="s">
        <v>454</v>
      </c>
      <c r="Q923" s="5" t="s">
        <v>466</v>
      </c>
      <c r="R923" s="5" t="s">
        <v>466</v>
      </c>
      <c r="S923" s="5" t="s">
        <v>467</v>
      </c>
      <c r="T923" s="5" t="s">
        <v>445</v>
      </c>
      <c r="U923" s="5"/>
      <c r="V923" s="5"/>
      <c r="W923" s="5"/>
      <c r="X923" s="5"/>
      <c r="Y923" s="5"/>
      <c r="Z923" s="5"/>
      <c r="AA923" s="5"/>
    </row>
    <row r="924" spans="5:27" customFormat="1">
      <c r="E924" s="88"/>
      <c r="F924" s="36" t="s">
        <v>297</v>
      </c>
      <c r="G924" s="5" t="s">
        <v>298</v>
      </c>
      <c r="H924" s="5"/>
      <c r="I924" s="62">
        <v>-650000</v>
      </c>
      <c r="J924" s="62">
        <v>-500</v>
      </c>
      <c r="K924" s="62">
        <v>1300</v>
      </c>
      <c r="L924" s="100" t="s">
        <v>468</v>
      </c>
      <c r="M924" s="5" t="s">
        <v>452</v>
      </c>
      <c r="N924" s="34" t="s">
        <v>464</v>
      </c>
      <c r="O924" s="5" t="s">
        <v>469</v>
      </c>
      <c r="P924" s="5" t="s">
        <v>454</v>
      </c>
      <c r="Q924" s="5" t="s">
        <v>470</v>
      </c>
      <c r="R924" s="5" t="s">
        <v>470</v>
      </c>
      <c r="S924" s="5" t="s">
        <v>471</v>
      </c>
      <c r="T924" s="5" t="s">
        <v>445</v>
      </c>
      <c r="U924" s="5"/>
      <c r="V924" s="5"/>
      <c r="W924" s="5"/>
      <c r="X924" s="5"/>
      <c r="Y924" s="5"/>
      <c r="Z924" s="5"/>
      <c r="AA924" s="5"/>
    </row>
    <row r="925" spans="5:27" customFormat="1">
      <c r="E925" s="88"/>
      <c r="F925" s="36" t="s">
        <v>297</v>
      </c>
      <c r="G925" s="5" t="s">
        <v>298</v>
      </c>
      <c r="H925" s="5"/>
      <c r="I925" s="62">
        <v>-1950000</v>
      </c>
      <c r="J925" s="62">
        <v>-1500</v>
      </c>
      <c r="K925" s="62">
        <v>1300</v>
      </c>
      <c r="L925" s="100" t="s">
        <v>595</v>
      </c>
      <c r="M925" s="5" t="s">
        <v>452</v>
      </c>
      <c r="N925" s="34" t="s">
        <v>464</v>
      </c>
      <c r="O925" s="5" t="s">
        <v>596</v>
      </c>
      <c r="P925" s="5" t="s">
        <v>597</v>
      </c>
      <c r="Q925" s="5" t="s">
        <v>598</v>
      </c>
      <c r="R925" s="5" t="s">
        <v>598</v>
      </c>
      <c r="S925" s="5" t="s">
        <v>599</v>
      </c>
      <c r="T925" s="5" t="s">
        <v>445</v>
      </c>
      <c r="U925" s="5"/>
      <c r="V925" s="5"/>
      <c r="W925" s="5"/>
      <c r="X925" s="5"/>
      <c r="Y925" s="5"/>
      <c r="Z925" s="5"/>
      <c r="AA925" s="5"/>
    </row>
    <row r="926" spans="5:27" customFormat="1">
      <c r="E926" s="88"/>
      <c r="F926" s="36" t="s">
        <v>297</v>
      </c>
      <c r="G926" s="5" t="s">
        <v>298</v>
      </c>
      <c r="H926" s="5"/>
      <c r="I926" s="62">
        <v>-273000</v>
      </c>
      <c r="J926" s="62">
        <v>-200</v>
      </c>
      <c r="K926" s="62">
        <v>1365</v>
      </c>
      <c r="L926" s="100" t="s">
        <v>600</v>
      </c>
      <c r="M926" s="5" t="s">
        <v>452</v>
      </c>
      <c r="N926" s="34" t="s">
        <v>464</v>
      </c>
      <c r="O926" s="5" t="s">
        <v>601</v>
      </c>
      <c r="P926" s="5" t="s">
        <v>597</v>
      </c>
      <c r="Q926" s="5" t="s">
        <v>602</v>
      </c>
      <c r="R926" s="5" t="s">
        <v>602</v>
      </c>
      <c r="S926" s="5" t="s">
        <v>603</v>
      </c>
      <c r="T926" s="5" t="s">
        <v>445</v>
      </c>
      <c r="U926" s="5"/>
      <c r="V926" s="5"/>
      <c r="W926" s="5"/>
      <c r="X926" s="5"/>
      <c r="Y926" s="5"/>
      <c r="Z926" s="5"/>
      <c r="AA926" s="5"/>
    </row>
    <row r="927" spans="5:27" customFormat="1">
      <c r="E927" s="88"/>
      <c r="F927" s="36" t="s">
        <v>297</v>
      </c>
      <c r="G927" s="5" t="s">
        <v>298</v>
      </c>
      <c r="H927" s="5"/>
      <c r="I927" s="62">
        <v>-1380000</v>
      </c>
      <c r="J927" s="62">
        <v>-1000</v>
      </c>
      <c r="K927" s="62">
        <v>1380</v>
      </c>
      <c r="L927" s="100" t="s">
        <v>612</v>
      </c>
      <c r="M927" s="5" t="s">
        <v>452</v>
      </c>
      <c r="N927" s="34" t="s">
        <v>464</v>
      </c>
      <c r="O927" s="5" t="s">
        <v>613</v>
      </c>
      <c r="P927" s="5" t="s">
        <v>597</v>
      </c>
      <c r="Q927" s="5" t="s">
        <v>614</v>
      </c>
      <c r="R927" s="5" t="s">
        <v>614</v>
      </c>
      <c r="S927" s="5" t="s">
        <v>615</v>
      </c>
      <c r="T927" s="5" t="s">
        <v>445</v>
      </c>
      <c r="U927" s="5"/>
      <c r="V927" s="5"/>
      <c r="W927" s="5"/>
      <c r="X927" s="5"/>
      <c r="Y927" s="5"/>
      <c r="Z927" s="5"/>
      <c r="AA927" s="5"/>
    </row>
    <row r="928" spans="5:27" customFormat="1">
      <c r="E928" s="88"/>
      <c r="F928" s="36" t="s">
        <v>297</v>
      </c>
      <c r="G928" s="5" t="s">
        <v>298</v>
      </c>
      <c r="H928" s="5"/>
      <c r="I928" s="62">
        <v>-426000</v>
      </c>
      <c r="J928" s="62">
        <v>-300</v>
      </c>
      <c r="K928" s="62">
        <v>1420</v>
      </c>
      <c r="L928" s="100" t="s">
        <v>616</v>
      </c>
      <c r="M928" s="5" t="s">
        <v>452</v>
      </c>
      <c r="N928" s="34" t="s">
        <v>464</v>
      </c>
      <c r="O928" s="5" t="s">
        <v>617</v>
      </c>
      <c r="P928" s="5" t="s">
        <v>597</v>
      </c>
      <c r="Q928" s="5" t="s">
        <v>618</v>
      </c>
      <c r="R928" s="5" t="s">
        <v>618</v>
      </c>
      <c r="S928" s="5" t="s">
        <v>619</v>
      </c>
      <c r="T928" s="5" t="s">
        <v>445</v>
      </c>
      <c r="U928" s="5"/>
      <c r="V928" s="5"/>
      <c r="W928" s="5"/>
      <c r="X928" s="5"/>
      <c r="Y928" s="5"/>
      <c r="Z928" s="5"/>
      <c r="AA928" s="5"/>
    </row>
    <row r="929" spans="5:27" customFormat="1">
      <c r="E929" s="88"/>
      <c r="F929" s="36" t="s">
        <v>297</v>
      </c>
      <c r="G929" s="5" t="s">
        <v>298</v>
      </c>
      <c r="H929" s="5"/>
      <c r="I929" s="62">
        <v>-280000</v>
      </c>
      <c r="J929" s="62">
        <v>-200</v>
      </c>
      <c r="K929" s="62">
        <v>1400</v>
      </c>
      <c r="L929" s="100" t="s">
        <v>616</v>
      </c>
      <c r="M929" s="5" t="s">
        <v>452</v>
      </c>
      <c r="N929" s="34" t="s">
        <v>464</v>
      </c>
      <c r="O929" s="5" t="s">
        <v>620</v>
      </c>
      <c r="P929" s="5" t="s">
        <v>597</v>
      </c>
      <c r="Q929" s="5" t="s">
        <v>621</v>
      </c>
      <c r="R929" s="5" t="s">
        <v>621</v>
      </c>
      <c r="S929" s="5" t="s">
        <v>622</v>
      </c>
      <c r="T929" s="5" t="s">
        <v>445</v>
      </c>
      <c r="U929" s="5"/>
      <c r="V929" s="5"/>
      <c r="W929" s="5"/>
      <c r="X929" s="5"/>
      <c r="Y929" s="5"/>
      <c r="Z929" s="5"/>
      <c r="AA929" s="5"/>
    </row>
    <row r="930" spans="5:27" customFormat="1">
      <c r="E930" s="88"/>
      <c r="F930" s="36" t="s">
        <v>299</v>
      </c>
      <c r="G930" s="5" t="s">
        <v>300</v>
      </c>
      <c r="H930" s="5"/>
      <c r="I930" s="62">
        <v>-3742700</v>
      </c>
      <c r="J930" s="62">
        <v>-2879</v>
      </c>
      <c r="K930" s="62">
        <v>1300</v>
      </c>
      <c r="L930" s="100" t="s">
        <v>441</v>
      </c>
      <c r="M930" s="5"/>
      <c r="N930" s="34" t="s">
        <v>464</v>
      </c>
      <c r="O930" s="5"/>
      <c r="P930" s="5"/>
      <c r="Q930" s="5" t="s">
        <v>593</v>
      </c>
      <c r="R930" s="5" t="s">
        <v>593</v>
      </c>
      <c r="S930" s="5" t="s">
        <v>594</v>
      </c>
      <c r="T930" s="5" t="s">
        <v>445</v>
      </c>
      <c r="U930" s="5"/>
      <c r="V930" s="5"/>
      <c r="W930" s="5"/>
      <c r="X930" s="5"/>
      <c r="Y930" s="5"/>
      <c r="Z930" s="5"/>
      <c r="AA930" s="5"/>
    </row>
    <row r="931" spans="5:27" customFormat="1">
      <c r="E931" s="88"/>
      <c r="F931" s="36" t="s">
        <v>301</v>
      </c>
      <c r="G931" s="5" t="s">
        <v>302</v>
      </c>
      <c r="H931" s="5"/>
      <c r="I931" s="62">
        <v>369000</v>
      </c>
      <c r="J931" s="62">
        <v>259.85915492957702</v>
      </c>
      <c r="K931" s="62">
        <v>1420</v>
      </c>
      <c r="L931" s="100" t="s">
        <v>472</v>
      </c>
      <c r="M931" s="5" t="s">
        <v>452</v>
      </c>
      <c r="N931" s="34" t="s">
        <v>464</v>
      </c>
      <c r="O931" s="5" t="s">
        <v>544</v>
      </c>
      <c r="P931" s="5" t="s">
        <v>454</v>
      </c>
      <c r="Q931" s="5" t="s">
        <v>545</v>
      </c>
      <c r="R931" s="5" t="s">
        <v>550</v>
      </c>
      <c r="S931" s="5" t="s">
        <v>547</v>
      </c>
      <c r="T931" s="5" t="s">
        <v>445</v>
      </c>
      <c r="U931" s="5"/>
      <c r="V931" s="5"/>
      <c r="W931" s="5"/>
      <c r="X931" s="5"/>
      <c r="Y931" s="5"/>
      <c r="Z931" s="5"/>
      <c r="AA931" s="5"/>
    </row>
    <row r="932" spans="5:27" customFormat="1">
      <c r="E932" s="88"/>
      <c r="F932" s="36" t="s">
        <v>303</v>
      </c>
      <c r="G932" s="5" t="s">
        <v>304</v>
      </c>
      <c r="H932" s="5"/>
      <c r="I932" s="62">
        <v>-1218240</v>
      </c>
      <c r="J932" s="62">
        <v>-864</v>
      </c>
      <c r="K932" s="62">
        <v>1410</v>
      </c>
      <c r="L932" s="100" t="s">
        <v>604</v>
      </c>
      <c r="M932" s="5" t="s">
        <v>452</v>
      </c>
      <c r="N932" s="34" t="s">
        <v>464</v>
      </c>
      <c r="O932" s="5" t="s">
        <v>797</v>
      </c>
      <c r="P932" s="5" t="s">
        <v>597</v>
      </c>
      <c r="Q932" s="5" t="s">
        <v>798</v>
      </c>
      <c r="R932" s="5" t="s">
        <v>801</v>
      </c>
      <c r="S932" s="5" t="s">
        <v>800</v>
      </c>
      <c r="T932" s="5" t="s">
        <v>445</v>
      </c>
      <c r="U932" s="5"/>
      <c r="V932" s="5"/>
      <c r="W932" s="5"/>
      <c r="X932" s="5"/>
      <c r="Y932" s="5"/>
      <c r="Z932" s="5"/>
      <c r="AA932" s="5"/>
    </row>
    <row r="933" spans="5:27" customFormat="1">
      <c r="E933" s="88"/>
      <c r="F933" s="36" t="s">
        <v>303</v>
      </c>
      <c r="G933" s="5" t="s">
        <v>304</v>
      </c>
      <c r="H933" s="5"/>
      <c r="I933" s="62">
        <v>-3000000</v>
      </c>
      <c r="J933" s="62">
        <v>-2000</v>
      </c>
      <c r="K933" s="62">
        <v>1500</v>
      </c>
      <c r="L933" s="100" t="s">
        <v>914</v>
      </c>
      <c r="M933" s="5" t="s">
        <v>452</v>
      </c>
      <c r="N933" s="34" t="s">
        <v>464</v>
      </c>
      <c r="O933" s="5" t="s">
        <v>963</v>
      </c>
      <c r="P933" s="5" t="s">
        <v>597</v>
      </c>
      <c r="Q933" s="5" t="s">
        <v>964</v>
      </c>
      <c r="R933" s="5" t="s">
        <v>969</v>
      </c>
      <c r="S933" s="5" t="s">
        <v>966</v>
      </c>
      <c r="T933" s="5" t="s">
        <v>445</v>
      </c>
      <c r="U933" s="5"/>
      <c r="V933" s="5"/>
      <c r="W933" s="5"/>
      <c r="X933" s="5"/>
      <c r="Y933" s="5"/>
      <c r="Z933" s="5"/>
      <c r="AA933" s="5"/>
    </row>
    <row r="934" spans="5:27" customFormat="1">
      <c r="E934" s="88"/>
      <c r="F934" s="36" t="s">
        <v>303</v>
      </c>
      <c r="G934" s="5" t="s">
        <v>304</v>
      </c>
      <c r="H934" s="5"/>
      <c r="I934" s="62">
        <v>144407575</v>
      </c>
      <c r="J934" s="62">
        <v>111082.75</v>
      </c>
      <c r="K934" s="62">
        <v>1300</v>
      </c>
      <c r="L934" s="100" t="s">
        <v>441</v>
      </c>
      <c r="M934" s="5"/>
      <c r="N934" s="34" t="s">
        <v>464</v>
      </c>
      <c r="O934" s="5"/>
      <c r="P934" s="5"/>
      <c r="Q934" s="5" t="s">
        <v>591</v>
      </c>
      <c r="R934" s="5" t="s">
        <v>591</v>
      </c>
      <c r="S934" s="5" t="s">
        <v>592</v>
      </c>
      <c r="T934" s="5" t="s">
        <v>445</v>
      </c>
      <c r="U934" s="5"/>
      <c r="V934" s="5"/>
      <c r="W934" s="5"/>
      <c r="X934" s="5"/>
      <c r="Y934" s="5"/>
      <c r="Z934" s="5"/>
      <c r="AA934" s="5"/>
    </row>
    <row r="935" spans="5:27" customFormat="1">
      <c r="E935" s="88"/>
      <c r="F935" s="36" t="s">
        <v>305</v>
      </c>
      <c r="G935" s="5" t="s">
        <v>306</v>
      </c>
      <c r="H935" s="5"/>
      <c r="I935" s="62">
        <v>36150400</v>
      </c>
      <c r="J935" s="62">
        <v>27808</v>
      </c>
      <c r="K935" s="62">
        <v>1300</v>
      </c>
      <c r="L935" s="100" t="s">
        <v>472</v>
      </c>
      <c r="M935" s="5" t="s">
        <v>452</v>
      </c>
      <c r="N935" s="34" t="s">
        <v>442</v>
      </c>
      <c r="O935" s="5" t="s">
        <v>551</v>
      </c>
      <c r="P935" s="5" t="s">
        <v>454</v>
      </c>
      <c r="Q935" s="5" t="s">
        <v>552</v>
      </c>
      <c r="R935" s="5" t="s">
        <v>555</v>
      </c>
      <c r="S935" s="5" t="s">
        <v>554</v>
      </c>
      <c r="T935" s="5" t="s">
        <v>445</v>
      </c>
      <c r="U935" s="5"/>
      <c r="V935" s="5"/>
      <c r="W935" s="5"/>
      <c r="X935" s="5"/>
      <c r="Y935" s="5"/>
      <c r="Z935" s="5"/>
      <c r="AA935" s="5"/>
    </row>
    <row r="936" spans="5:27" customFormat="1">
      <c r="E936" s="88"/>
      <c r="F936" s="36" t="s">
        <v>305</v>
      </c>
      <c r="G936" s="5" t="s">
        <v>306</v>
      </c>
      <c r="H936" s="5"/>
      <c r="I936" s="62">
        <v>-2760000</v>
      </c>
      <c r="J936" s="62">
        <v>-2123.0769230769201</v>
      </c>
      <c r="K936" s="62">
        <v>1300</v>
      </c>
      <c r="L936" s="100" t="s">
        <v>451</v>
      </c>
      <c r="M936" s="5" t="s">
        <v>452</v>
      </c>
      <c r="N936" s="34" t="s">
        <v>464</v>
      </c>
      <c r="O936" s="5" t="s">
        <v>574</v>
      </c>
      <c r="P936" s="5" t="s">
        <v>454</v>
      </c>
      <c r="Q936" s="5" t="s">
        <v>575</v>
      </c>
      <c r="R936" s="5" t="s">
        <v>576</v>
      </c>
      <c r="S936" s="5" t="s">
        <v>577</v>
      </c>
      <c r="T936" s="5" t="s">
        <v>445</v>
      </c>
      <c r="U936" s="5"/>
      <c r="V936" s="5"/>
      <c r="W936" s="5"/>
      <c r="X936" s="5"/>
      <c r="Y936" s="5"/>
      <c r="Z936" s="5"/>
      <c r="AA936" s="5"/>
    </row>
    <row r="937" spans="5:27" customFormat="1">
      <c r="E937" s="88"/>
      <c r="F937" s="36" t="s">
        <v>305</v>
      </c>
      <c r="G937" s="5" t="s">
        <v>306</v>
      </c>
      <c r="H937" s="5"/>
      <c r="I937" s="62">
        <v>-15340000</v>
      </c>
      <c r="J937" s="62">
        <v>-11800</v>
      </c>
      <c r="K937" s="62">
        <v>1300</v>
      </c>
      <c r="L937" s="100" t="s">
        <v>451</v>
      </c>
      <c r="M937" s="5" t="s">
        <v>452</v>
      </c>
      <c r="N937" s="34" t="s">
        <v>464</v>
      </c>
      <c r="O937" s="5" t="s">
        <v>568</v>
      </c>
      <c r="P937" s="5" t="s">
        <v>454</v>
      </c>
      <c r="Q937" s="5" t="s">
        <v>569</v>
      </c>
      <c r="R937" s="5" t="s">
        <v>573</v>
      </c>
      <c r="S937" s="5" t="s">
        <v>571</v>
      </c>
      <c r="T937" s="5" t="s">
        <v>445</v>
      </c>
      <c r="U937" s="5"/>
      <c r="V937" s="5"/>
      <c r="W937" s="5"/>
      <c r="X937" s="5"/>
      <c r="Y937" s="5"/>
      <c r="Z937" s="5"/>
      <c r="AA937" s="5"/>
    </row>
    <row r="938" spans="5:27" customFormat="1">
      <c r="E938" s="88"/>
      <c r="F938" s="36" t="s">
        <v>305</v>
      </c>
      <c r="G938" s="5" t="s">
        <v>306</v>
      </c>
      <c r="H938" s="5"/>
      <c r="I938" s="62">
        <v>1625000</v>
      </c>
      <c r="J938" s="62">
        <v>1250</v>
      </c>
      <c r="K938" s="62">
        <v>1300</v>
      </c>
      <c r="L938" s="100" t="s">
        <v>472</v>
      </c>
      <c r="M938" s="5" t="s">
        <v>452</v>
      </c>
      <c r="N938" s="34" t="s">
        <v>464</v>
      </c>
      <c r="O938" s="5" t="s">
        <v>551</v>
      </c>
      <c r="P938" s="5" t="s">
        <v>454</v>
      </c>
      <c r="Q938" s="5" t="s">
        <v>552</v>
      </c>
      <c r="R938" s="5" t="s">
        <v>556</v>
      </c>
      <c r="S938" s="5" t="s">
        <v>554</v>
      </c>
      <c r="T938" s="5" t="s">
        <v>445</v>
      </c>
      <c r="U938" s="5"/>
      <c r="V938" s="5"/>
      <c r="W938" s="5"/>
      <c r="X938" s="5"/>
      <c r="Y938" s="5"/>
      <c r="Z938" s="5"/>
      <c r="AA938" s="5"/>
    </row>
    <row r="939" spans="5:27" customFormat="1">
      <c r="E939" s="88"/>
      <c r="F939" s="36" t="s">
        <v>305</v>
      </c>
      <c r="G939" s="5" t="s">
        <v>306</v>
      </c>
      <c r="H939" s="5"/>
      <c r="I939" s="62">
        <v>509522</v>
      </c>
      <c r="J939" s="62">
        <v>391.94</v>
      </c>
      <c r="K939" s="62">
        <v>1300</v>
      </c>
      <c r="L939" s="100" t="s">
        <v>459</v>
      </c>
      <c r="M939" s="5" t="s">
        <v>452</v>
      </c>
      <c r="N939" s="34" t="s">
        <v>464</v>
      </c>
      <c r="O939" s="5" t="s">
        <v>505</v>
      </c>
      <c r="P939" s="5" t="s">
        <v>454</v>
      </c>
      <c r="Q939" s="5" t="s">
        <v>506</v>
      </c>
      <c r="R939" s="5" t="s">
        <v>509</v>
      </c>
      <c r="S939" s="5" t="s">
        <v>508</v>
      </c>
      <c r="T939" s="5" t="s">
        <v>445</v>
      </c>
      <c r="U939" s="5"/>
      <c r="V939" s="5"/>
      <c r="W939" s="5"/>
      <c r="X939" s="5"/>
      <c r="Y939" s="5"/>
      <c r="Z939" s="5"/>
      <c r="AA939" s="5"/>
    </row>
    <row r="940" spans="5:27" customFormat="1">
      <c r="E940" s="88"/>
      <c r="F940" s="36" t="s">
        <v>446</v>
      </c>
      <c r="G940" s="5" t="s">
        <v>447</v>
      </c>
      <c r="H940" s="5"/>
      <c r="I940" s="62">
        <v>4935000</v>
      </c>
      <c r="J940" s="62">
        <v>3500</v>
      </c>
      <c r="K940" s="62">
        <v>1410</v>
      </c>
      <c r="L940" s="100" t="s">
        <v>604</v>
      </c>
      <c r="M940" s="5" t="s">
        <v>452</v>
      </c>
      <c r="N940" s="34" t="s">
        <v>442</v>
      </c>
      <c r="O940" s="5" t="s">
        <v>714</v>
      </c>
      <c r="P940" s="5" t="s">
        <v>597</v>
      </c>
      <c r="Q940" s="5" t="s">
        <v>715</v>
      </c>
      <c r="R940" s="5" t="s">
        <v>724</v>
      </c>
      <c r="S940" s="5" t="s">
        <v>717</v>
      </c>
      <c r="T940" s="5" t="s">
        <v>445</v>
      </c>
      <c r="U940" s="5"/>
      <c r="V940" s="5"/>
      <c r="W940" s="5"/>
      <c r="X940" s="5"/>
      <c r="Y940" s="5"/>
      <c r="Z940" s="5"/>
      <c r="AA940" s="5"/>
    </row>
    <row r="941" spans="5:27" customFormat="1">
      <c r="E941" s="88"/>
      <c r="F941" s="36" t="s">
        <v>309</v>
      </c>
      <c r="G941" s="5" t="s">
        <v>310</v>
      </c>
      <c r="H941" s="5"/>
      <c r="I941" s="62">
        <v>-1425000</v>
      </c>
      <c r="J941" s="62">
        <v>-950</v>
      </c>
      <c r="K941" s="62">
        <v>1500</v>
      </c>
      <c r="L941" s="100" t="s">
        <v>914</v>
      </c>
      <c r="M941" s="5" t="s">
        <v>452</v>
      </c>
      <c r="N941" s="34" t="s">
        <v>464</v>
      </c>
      <c r="O941" s="5" t="s">
        <v>963</v>
      </c>
      <c r="P941" s="5" t="s">
        <v>597</v>
      </c>
      <c r="Q941" s="5" t="s">
        <v>964</v>
      </c>
      <c r="R941" s="5" t="s">
        <v>971</v>
      </c>
      <c r="S941" s="5" t="s">
        <v>966</v>
      </c>
      <c r="T941" s="5" t="s">
        <v>445</v>
      </c>
      <c r="U941" s="5"/>
      <c r="V941" s="5"/>
      <c r="W941" s="5"/>
      <c r="X941" s="5"/>
      <c r="Y941" s="5"/>
      <c r="Z941" s="5"/>
      <c r="AA941" s="5"/>
    </row>
    <row r="942" spans="5:27" customFormat="1">
      <c r="E942" s="88"/>
      <c r="F942" s="36" t="s">
        <v>309</v>
      </c>
      <c r="G942" s="5" t="s">
        <v>310</v>
      </c>
      <c r="H942" s="5"/>
      <c r="I942" s="62">
        <v>-2792250</v>
      </c>
      <c r="J942" s="62">
        <v>-1912.5</v>
      </c>
      <c r="K942" s="62">
        <v>1460</v>
      </c>
      <c r="L942" s="100" t="s">
        <v>985</v>
      </c>
      <c r="M942" s="5" t="s">
        <v>452</v>
      </c>
      <c r="N942" s="34" t="s">
        <v>464</v>
      </c>
      <c r="O942" s="5" t="s">
        <v>1111</v>
      </c>
      <c r="P942" s="5" t="s">
        <v>597</v>
      </c>
      <c r="Q942" s="5" t="s">
        <v>1112</v>
      </c>
      <c r="R942" s="5" t="s">
        <v>1117</v>
      </c>
      <c r="S942" s="5" t="s">
        <v>1114</v>
      </c>
      <c r="T942" s="5" t="s">
        <v>445</v>
      </c>
      <c r="U942" s="5"/>
      <c r="V942" s="5"/>
      <c r="W942" s="5"/>
      <c r="X942" s="5"/>
      <c r="Y942" s="5"/>
      <c r="Z942" s="5"/>
      <c r="AA942" s="5"/>
    </row>
    <row r="943" spans="5:27" customFormat="1">
      <c r="E943" s="88"/>
      <c r="F943" s="36" t="s">
        <v>309</v>
      </c>
      <c r="G943" s="5" t="s">
        <v>310</v>
      </c>
      <c r="H943" s="5"/>
      <c r="I943" s="62">
        <v>-1750000</v>
      </c>
      <c r="J943" s="62">
        <v>-1250</v>
      </c>
      <c r="K943" s="62">
        <v>1400</v>
      </c>
      <c r="L943" s="100" t="s">
        <v>854</v>
      </c>
      <c r="M943" s="5" t="s">
        <v>452</v>
      </c>
      <c r="N943" s="34" t="s">
        <v>464</v>
      </c>
      <c r="O943" s="5" t="s">
        <v>905</v>
      </c>
      <c r="P943" s="5" t="s">
        <v>597</v>
      </c>
      <c r="Q943" s="5" t="s">
        <v>906</v>
      </c>
      <c r="R943" s="5" t="s">
        <v>913</v>
      </c>
      <c r="S943" s="5" t="s">
        <v>908</v>
      </c>
      <c r="T943" s="5" t="s">
        <v>445</v>
      </c>
      <c r="U943" s="5"/>
      <c r="V943" s="5"/>
      <c r="W943" s="5"/>
      <c r="X943" s="5"/>
      <c r="Y943" s="5"/>
      <c r="Z943" s="5"/>
      <c r="AA943" s="5"/>
    </row>
    <row r="944" spans="5:27" customFormat="1">
      <c r="E944" s="88"/>
      <c r="F944" s="36" t="s">
        <v>309</v>
      </c>
      <c r="G944" s="5" t="s">
        <v>310</v>
      </c>
      <c r="H944" s="5"/>
      <c r="I944" s="62">
        <v>-2396800</v>
      </c>
      <c r="J944" s="62">
        <v>-1712</v>
      </c>
      <c r="K944" s="62">
        <v>1400</v>
      </c>
      <c r="L944" s="100" t="s">
        <v>854</v>
      </c>
      <c r="M944" s="5" t="s">
        <v>452</v>
      </c>
      <c r="N944" s="34" t="s">
        <v>464</v>
      </c>
      <c r="O944" s="5" t="s">
        <v>905</v>
      </c>
      <c r="P944" s="5" t="s">
        <v>597</v>
      </c>
      <c r="Q944" s="5" t="s">
        <v>906</v>
      </c>
      <c r="R944" s="5" t="s">
        <v>910</v>
      </c>
      <c r="S944" s="5" t="s">
        <v>908</v>
      </c>
      <c r="T944" s="5" t="s">
        <v>445</v>
      </c>
      <c r="U944" s="5"/>
      <c r="V944" s="5"/>
      <c r="W944" s="5"/>
      <c r="X944" s="5"/>
      <c r="Y944" s="5"/>
      <c r="Z944" s="5"/>
      <c r="AA944" s="5"/>
    </row>
    <row r="945" spans="5:27" customFormat="1">
      <c r="E945" s="88"/>
      <c r="F945" s="36" t="s">
        <v>309</v>
      </c>
      <c r="G945" s="5" t="s">
        <v>310</v>
      </c>
      <c r="H945" s="5"/>
      <c r="I945" s="62">
        <v>-1358500</v>
      </c>
      <c r="J945" s="62">
        <v>-950</v>
      </c>
      <c r="K945" s="62">
        <v>1430</v>
      </c>
      <c r="L945" s="100" t="s">
        <v>854</v>
      </c>
      <c r="M945" s="5" t="s">
        <v>452</v>
      </c>
      <c r="N945" s="34" t="s">
        <v>464</v>
      </c>
      <c r="O945" s="5" t="s">
        <v>905</v>
      </c>
      <c r="P945" s="5" t="s">
        <v>597</v>
      </c>
      <c r="Q945" s="5" t="s">
        <v>906</v>
      </c>
      <c r="R945" s="5" t="s">
        <v>912</v>
      </c>
      <c r="S945" s="5" t="s">
        <v>908</v>
      </c>
      <c r="T945" s="5" t="s">
        <v>445</v>
      </c>
      <c r="U945" s="5"/>
      <c r="V945" s="5"/>
      <c r="W945" s="5"/>
      <c r="X945" s="5"/>
      <c r="Y945" s="5"/>
      <c r="Z945" s="5"/>
      <c r="AA945" s="5"/>
    </row>
    <row r="946" spans="5:27" customFormat="1">
      <c r="E946" s="88"/>
      <c r="F946" s="36" t="s">
        <v>309</v>
      </c>
      <c r="G946" s="5" t="s">
        <v>310</v>
      </c>
      <c r="H946" s="5"/>
      <c r="I946" s="62">
        <v>-2717000</v>
      </c>
      <c r="J946" s="62">
        <v>-1900</v>
      </c>
      <c r="K946" s="62">
        <v>1430</v>
      </c>
      <c r="L946" s="100" t="s">
        <v>854</v>
      </c>
      <c r="M946" s="5" t="s">
        <v>452</v>
      </c>
      <c r="N946" s="34" t="s">
        <v>464</v>
      </c>
      <c r="O946" s="5" t="s">
        <v>905</v>
      </c>
      <c r="P946" s="5" t="s">
        <v>597</v>
      </c>
      <c r="Q946" s="5" t="s">
        <v>906</v>
      </c>
      <c r="R946" s="5" t="s">
        <v>907</v>
      </c>
      <c r="S946" s="5" t="s">
        <v>908</v>
      </c>
      <c r="T946" s="5" t="s">
        <v>445</v>
      </c>
      <c r="U946" s="5"/>
      <c r="V946" s="5"/>
      <c r="W946" s="5"/>
      <c r="X946" s="5"/>
      <c r="Y946" s="5"/>
      <c r="Z946" s="5"/>
      <c r="AA946" s="5"/>
    </row>
    <row r="947" spans="5:27" customFormat="1">
      <c r="E947" s="88"/>
      <c r="F947" s="36" t="s">
        <v>309</v>
      </c>
      <c r="G947" s="5" t="s">
        <v>310</v>
      </c>
      <c r="H947" s="5"/>
      <c r="I947" s="62">
        <v>-1014700</v>
      </c>
      <c r="J947" s="62">
        <v>-730</v>
      </c>
      <c r="K947" s="62">
        <v>1390</v>
      </c>
      <c r="L947" s="100" t="s">
        <v>604</v>
      </c>
      <c r="M947" s="5" t="s">
        <v>452</v>
      </c>
      <c r="N947" s="34" t="s">
        <v>464</v>
      </c>
      <c r="O947" s="5" t="s">
        <v>797</v>
      </c>
      <c r="P947" s="5" t="s">
        <v>597</v>
      </c>
      <c r="Q947" s="5" t="s">
        <v>798</v>
      </c>
      <c r="R947" s="5" t="s">
        <v>807</v>
      </c>
      <c r="S947" s="5" t="s">
        <v>800</v>
      </c>
      <c r="T947" s="5" t="s">
        <v>445</v>
      </c>
      <c r="U947" s="5"/>
      <c r="V947" s="5"/>
      <c r="W947" s="5"/>
      <c r="X947" s="5"/>
      <c r="Y947" s="5"/>
      <c r="Z947" s="5"/>
      <c r="AA947" s="5"/>
    </row>
    <row r="948" spans="5:27" customFormat="1">
      <c r="E948" s="88"/>
      <c r="F948" s="36" t="s">
        <v>309</v>
      </c>
      <c r="G948" s="5" t="s">
        <v>310</v>
      </c>
      <c r="H948" s="5"/>
      <c r="I948" s="62">
        <v>-3109800</v>
      </c>
      <c r="J948" s="62">
        <v>-2190</v>
      </c>
      <c r="K948" s="62">
        <v>1420</v>
      </c>
      <c r="L948" s="100" t="s">
        <v>1030</v>
      </c>
      <c r="M948" s="5" t="s">
        <v>452</v>
      </c>
      <c r="N948" s="34" t="s">
        <v>464</v>
      </c>
      <c r="O948" s="5" t="s">
        <v>1144</v>
      </c>
      <c r="P948" s="5" t="s">
        <v>597</v>
      </c>
      <c r="Q948" s="5" t="s">
        <v>1145</v>
      </c>
      <c r="R948" s="5" t="s">
        <v>1149</v>
      </c>
      <c r="S948" s="5" t="s">
        <v>1147</v>
      </c>
      <c r="T948" s="5" t="s">
        <v>445</v>
      </c>
      <c r="U948" s="5"/>
      <c r="V948" s="5"/>
      <c r="W948" s="5"/>
      <c r="X948" s="5"/>
      <c r="Y948" s="5"/>
      <c r="Z948" s="5"/>
      <c r="AA948" s="5"/>
    </row>
    <row r="949" spans="5:27" customFormat="1">
      <c r="E949" s="88"/>
      <c r="F949" s="36" t="s">
        <v>309</v>
      </c>
      <c r="G949" s="5" t="s">
        <v>310</v>
      </c>
      <c r="H949" s="5"/>
      <c r="I949" s="62">
        <v>-3109800</v>
      </c>
      <c r="J949" s="62">
        <v>-2190</v>
      </c>
      <c r="K949" s="62">
        <v>1420</v>
      </c>
      <c r="L949" s="100" t="s">
        <v>623</v>
      </c>
      <c r="M949" s="5" t="s">
        <v>452</v>
      </c>
      <c r="N949" s="34" t="s">
        <v>464</v>
      </c>
      <c r="O949" s="5" t="s">
        <v>779</v>
      </c>
      <c r="P949" s="5" t="s">
        <v>597</v>
      </c>
      <c r="Q949" s="5" t="s">
        <v>780</v>
      </c>
      <c r="R949" s="5" t="s">
        <v>781</v>
      </c>
      <c r="S949" s="5" t="s">
        <v>782</v>
      </c>
      <c r="T949" s="5" t="s">
        <v>445</v>
      </c>
      <c r="U949" s="5"/>
      <c r="V949" s="5"/>
      <c r="W949" s="5"/>
      <c r="X949" s="5"/>
      <c r="Y949" s="5"/>
      <c r="Z949" s="5"/>
      <c r="AA949" s="5"/>
    </row>
    <row r="950" spans="5:27" customFormat="1">
      <c r="E950" s="88"/>
      <c r="F950" s="36" t="s">
        <v>309</v>
      </c>
      <c r="G950" s="5" t="s">
        <v>310</v>
      </c>
      <c r="H950" s="5"/>
      <c r="I950" s="62">
        <v>-2668535</v>
      </c>
      <c r="J950" s="62">
        <v>-1879.25</v>
      </c>
      <c r="K950" s="62">
        <v>1420</v>
      </c>
      <c r="L950" s="100" t="s">
        <v>1013</v>
      </c>
      <c r="M950" s="5" t="s">
        <v>452</v>
      </c>
      <c r="N950" s="34" t="s">
        <v>464</v>
      </c>
      <c r="O950" s="5" t="s">
        <v>1124</v>
      </c>
      <c r="P950" s="5" t="s">
        <v>597</v>
      </c>
      <c r="Q950" s="5" t="s">
        <v>1125</v>
      </c>
      <c r="R950" s="5" t="s">
        <v>1126</v>
      </c>
      <c r="S950" s="5" t="s">
        <v>1127</v>
      </c>
      <c r="T950" s="5" t="s">
        <v>445</v>
      </c>
      <c r="U950" s="5"/>
      <c r="V950" s="5"/>
      <c r="W950" s="5"/>
      <c r="X950" s="5"/>
      <c r="Y950" s="5"/>
      <c r="Z950" s="5"/>
      <c r="AA950" s="5"/>
    </row>
    <row r="951" spans="5:27" customFormat="1">
      <c r="E951" s="88"/>
      <c r="F951" s="36" t="s">
        <v>309</v>
      </c>
      <c r="G951" s="5" t="s">
        <v>310</v>
      </c>
      <c r="H951" s="5"/>
      <c r="I951" s="62">
        <v>-2792250</v>
      </c>
      <c r="J951" s="62">
        <v>-1912.5</v>
      </c>
      <c r="K951" s="62">
        <v>1460</v>
      </c>
      <c r="L951" s="100" t="s">
        <v>914</v>
      </c>
      <c r="M951" s="5" t="s">
        <v>452</v>
      </c>
      <c r="N951" s="34" t="s">
        <v>464</v>
      </c>
      <c r="O951" s="5" t="s">
        <v>972</v>
      </c>
      <c r="P951" s="5" t="s">
        <v>597</v>
      </c>
      <c r="Q951" s="5" t="s">
        <v>973</v>
      </c>
      <c r="R951" s="5" t="s">
        <v>983</v>
      </c>
      <c r="S951" s="5" t="s">
        <v>975</v>
      </c>
      <c r="T951" s="5" t="s">
        <v>445</v>
      </c>
      <c r="U951" s="5"/>
      <c r="V951" s="5"/>
      <c r="W951" s="5"/>
      <c r="X951" s="5"/>
      <c r="Y951" s="5"/>
      <c r="Z951" s="5"/>
      <c r="AA951" s="5"/>
    </row>
    <row r="952" spans="5:27" customFormat="1">
      <c r="E952" s="88"/>
      <c r="F952" s="36" t="s">
        <v>309</v>
      </c>
      <c r="G952" s="5" t="s">
        <v>310</v>
      </c>
      <c r="H952" s="5"/>
      <c r="I952" s="62">
        <v>-2643750</v>
      </c>
      <c r="J952" s="62">
        <v>-1875</v>
      </c>
      <c r="K952" s="62">
        <v>1410</v>
      </c>
      <c r="L952" s="100" t="s">
        <v>813</v>
      </c>
      <c r="M952" s="5" t="s">
        <v>452</v>
      </c>
      <c r="N952" s="34" t="s">
        <v>464</v>
      </c>
      <c r="O952" s="5" t="s">
        <v>843</v>
      </c>
      <c r="P952" s="5" t="s">
        <v>597</v>
      </c>
      <c r="Q952" s="5" t="s">
        <v>844</v>
      </c>
      <c r="R952" s="5" t="s">
        <v>845</v>
      </c>
      <c r="S952" s="5" t="s">
        <v>846</v>
      </c>
      <c r="T952" s="5" t="s">
        <v>445</v>
      </c>
      <c r="U952" s="5"/>
      <c r="V952" s="5"/>
      <c r="W952" s="5"/>
      <c r="X952" s="5"/>
      <c r="Y952" s="5"/>
      <c r="Z952" s="5"/>
      <c r="AA952" s="5"/>
    </row>
    <row r="953" spans="5:27" customFormat="1">
      <c r="E953" s="88"/>
      <c r="F953" s="36" t="s">
        <v>309</v>
      </c>
      <c r="G953" s="5" t="s">
        <v>310</v>
      </c>
      <c r="H953" s="5"/>
      <c r="I953" s="62">
        <v>-1331250</v>
      </c>
      <c r="J953" s="62">
        <v>-937.5</v>
      </c>
      <c r="K953" s="62">
        <v>1420</v>
      </c>
      <c r="L953" s="100" t="s">
        <v>472</v>
      </c>
      <c r="M953" s="5" t="s">
        <v>452</v>
      </c>
      <c r="N953" s="34" t="s">
        <v>464</v>
      </c>
      <c r="O953" s="5" t="s">
        <v>578</v>
      </c>
      <c r="P953" s="5" t="s">
        <v>454</v>
      </c>
      <c r="Q953" s="5" t="s">
        <v>579</v>
      </c>
      <c r="R953" s="5" t="s">
        <v>583</v>
      </c>
      <c r="S953" s="5" t="s">
        <v>581</v>
      </c>
      <c r="T953" s="5" t="s">
        <v>445</v>
      </c>
      <c r="U953" s="5"/>
      <c r="V953" s="5"/>
      <c r="W953" s="5"/>
      <c r="X953" s="5"/>
      <c r="Y953" s="5"/>
      <c r="Z953" s="5"/>
      <c r="AA953" s="5"/>
    </row>
    <row r="954" spans="5:27" customFormat="1">
      <c r="E954" s="88"/>
      <c r="F954" s="36" t="s">
        <v>309</v>
      </c>
      <c r="G954" s="5" t="s">
        <v>310</v>
      </c>
      <c r="H954" s="5"/>
      <c r="I954" s="62">
        <v>-909694.6</v>
      </c>
      <c r="J954" s="62">
        <v>-640.63</v>
      </c>
      <c r="K954" s="62">
        <v>1420</v>
      </c>
      <c r="L954" s="100" t="s">
        <v>989</v>
      </c>
      <c r="M954" s="5" t="s">
        <v>452</v>
      </c>
      <c r="N954" s="34" t="s">
        <v>464</v>
      </c>
      <c r="O954" s="5" t="s">
        <v>1136</v>
      </c>
      <c r="P954" s="5" t="s">
        <v>597</v>
      </c>
      <c r="Q954" s="5" t="s">
        <v>1137</v>
      </c>
      <c r="R954" s="5" t="s">
        <v>1142</v>
      </c>
      <c r="S954" s="5" t="s">
        <v>1139</v>
      </c>
      <c r="T954" s="5" t="s">
        <v>445</v>
      </c>
      <c r="U954" s="5"/>
      <c r="V954" s="5"/>
      <c r="W954" s="5"/>
      <c r="X954" s="5"/>
      <c r="Y954" s="5"/>
      <c r="Z954" s="5"/>
      <c r="AA954" s="5"/>
    </row>
    <row r="955" spans="5:27" customFormat="1">
      <c r="E955" s="88"/>
      <c r="F955" s="36" t="s">
        <v>309</v>
      </c>
      <c r="G955" s="5" t="s">
        <v>310</v>
      </c>
      <c r="H955" s="5"/>
      <c r="I955" s="62">
        <v>-3976000</v>
      </c>
      <c r="J955" s="62">
        <v>-2800</v>
      </c>
      <c r="K955" s="62">
        <v>1420</v>
      </c>
      <c r="L955" s="100" t="s">
        <v>623</v>
      </c>
      <c r="M955" s="5" t="s">
        <v>452</v>
      </c>
      <c r="N955" s="34" t="s">
        <v>464</v>
      </c>
      <c r="O955" s="5" t="s">
        <v>779</v>
      </c>
      <c r="P955" s="5" t="s">
        <v>597</v>
      </c>
      <c r="Q955" s="5" t="s">
        <v>780</v>
      </c>
      <c r="R955" s="5" t="s">
        <v>783</v>
      </c>
      <c r="S955" s="5" t="s">
        <v>782</v>
      </c>
      <c r="T955" s="5" t="s">
        <v>445</v>
      </c>
      <c r="U955" s="5"/>
      <c r="V955" s="5"/>
      <c r="W955" s="5"/>
      <c r="X955" s="5"/>
      <c r="Y955" s="5"/>
      <c r="Z955" s="5"/>
      <c r="AA955" s="5"/>
    </row>
    <row r="956" spans="5:27" customFormat="1">
      <c r="E956" s="88"/>
      <c r="F956" s="36" t="s">
        <v>309</v>
      </c>
      <c r="G956" s="5" t="s">
        <v>310</v>
      </c>
      <c r="H956" s="5"/>
      <c r="I956" s="62">
        <v>-1304250</v>
      </c>
      <c r="J956" s="62">
        <v>-925</v>
      </c>
      <c r="K956" s="62">
        <v>1410</v>
      </c>
      <c r="L956" s="100" t="s">
        <v>604</v>
      </c>
      <c r="M956" s="5" t="s">
        <v>452</v>
      </c>
      <c r="N956" s="34" t="s">
        <v>464</v>
      </c>
      <c r="O956" s="5" t="s">
        <v>797</v>
      </c>
      <c r="P956" s="5" t="s">
        <v>597</v>
      </c>
      <c r="Q956" s="5" t="s">
        <v>798</v>
      </c>
      <c r="R956" s="5" t="s">
        <v>799</v>
      </c>
      <c r="S956" s="5" t="s">
        <v>800</v>
      </c>
      <c r="T956" s="5" t="s">
        <v>445</v>
      </c>
      <c r="U956" s="5"/>
      <c r="V956" s="5"/>
      <c r="W956" s="5"/>
      <c r="X956" s="5"/>
      <c r="Y956" s="5"/>
      <c r="Z956" s="5"/>
      <c r="AA956" s="5"/>
    </row>
    <row r="957" spans="5:27" customFormat="1">
      <c r="E957" s="88"/>
      <c r="F957" s="36" t="s">
        <v>309</v>
      </c>
      <c r="G957" s="5" t="s">
        <v>310</v>
      </c>
      <c r="H957" s="5"/>
      <c r="I957" s="62">
        <v>-5381800</v>
      </c>
      <c r="J957" s="62">
        <v>-3790</v>
      </c>
      <c r="K957" s="62">
        <v>1420</v>
      </c>
      <c r="L957" s="100" t="s">
        <v>1013</v>
      </c>
      <c r="M957" s="5" t="s">
        <v>452</v>
      </c>
      <c r="N957" s="34" t="s">
        <v>464</v>
      </c>
      <c r="O957" s="5" t="s">
        <v>1124</v>
      </c>
      <c r="P957" s="5" t="s">
        <v>597</v>
      </c>
      <c r="Q957" s="5" t="s">
        <v>1125</v>
      </c>
      <c r="R957" s="5" t="s">
        <v>1129</v>
      </c>
      <c r="S957" s="5" t="s">
        <v>1127</v>
      </c>
      <c r="T957" s="5" t="s">
        <v>445</v>
      </c>
      <c r="U957" s="5"/>
      <c r="V957" s="5"/>
      <c r="W957" s="5"/>
      <c r="X957" s="5"/>
      <c r="Y957" s="5"/>
      <c r="Z957" s="5"/>
      <c r="AA957" s="5"/>
    </row>
    <row r="958" spans="5:27" customFormat="1">
      <c r="E958" s="88"/>
      <c r="F958" s="36" t="s">
        <v>309</v>
      </c>
      <c r="G958" s="5" t="s">
        <v>310</v>
      </c>
      <c r="H958" s="5"/>
      <c r="I958" s="62">
        <v>-1277500</v>
      </c>
      <c r="J958" s="62">
        <v>-875</v>
      </c>
      <c r="K958" s="62">
        <v>1460</v>
      </c>
      <c r="L958" s="100" t="s">
        <v>985</v>
      </c>
      <c r="M958" s="5" t="s">
        <v>452</v>
      </c>
      <c r="N958" s="34" t="s">
        <v>464</v>
      </c>
      <c r="O958" s="5" t="s">
        <v>1111</v>
      </c>
      <c r="P958" s="5" t="s">
        <v>597</v>
      </c>
      <c r="Q958" s="5" t="s">
        <v>1112</v>
      </c>
      <c r="R958" s="5" t="s">
        <v>1119</v>
      </c>
      <c r="S958" s="5" t="s">
        <v>1114</v>
      </c>
      <c r="T958" s="5" t="s">
        <v>445</v>
      </c>
      <c r="U958" s="5"/>
      <c r="V958" s="5"/>
      <c r="W958" s="5"/>
      <c r="X958" s="5"/>
      <c r="Y958" s="5"/>
      <c r="Z958" s="5"/>
      <c r="AA958" s="5"/>
    </row>
    <row r="959" spans="5:27" customFormat="1">
      <c r="E959" s="88"/>
      <c r="F959" s="36" t="s">
        <v>309</v>
      </c>
      <c r="G959" s="5" t="s">
        <v>310</v>
      </c>
      <c r="H959" s="5"/>
      <c r="I959" s="62">
        <v>-1242500</v>
      </c>
      <c r="J959" s="62">
        <v>-875</v>
      </c>
      <c r="K959" s="62">
        <v>1420</v>
      </c>
      <c r="L959" s="100" t="s">
        <v>1013</v>
      </c>
      <c r="M959" s="5" t="s">
        <v>452</v>
      </c>
      <c r="N959" s="34" t="s">
        <v>464</v>
      </c>
      <c r="O959" s="5" t="s">
        <v>1124</v>
      </c>
      <c r="P959" s="5" t="s">
        <v>597</v>
      </c>
      <c r="Q959" s="5" t="s">
        <v>1125</v>
      </c>
      <c r="R959" s="5" t="s">
        <v>1131</v>
      </c>
      <c r="S959" s="5" t="s">
        <v>1127</v>
      </c>
      <c r="T959" s="5" t="s">
        <v>445</v>
      </c>
      <c r="U959" s="5"/>
      <c r="V959" s="5"/>
      <c r="W959" s="5"/>
      <c r="X959" s="5"/>
      <c r="Y959" s="5"/>
      <c r="Z959" s="5"/>
      <c r="AA959" s="5"/>
    </row>
    <row r="960" spans="5:27" customFormat="1">
      <c r="E960" s="88"/>
      <c r="F960" s="36" t="s">
        <v>309</v>
      </c>
      <c r="G960" s="5" t="s">
        <v>310</v>
      </c>
      <c r="H960" s="5"/>
      <c r="I960" s="62">
        <v>-1242500</v>
      </c>
      <c r="J960" s="62">
        <v>-875</v>
      </c>
      <c r="K960" s="62">
        <v>1420</v>
      </c>
      <c r="L960" s="100" t="s">
        <v>1013</v>
      </c>
      <c r="M960" s="5" t="s">
        <v>452</v>
      </c>
      <c r="N960" s="34" t="s">
        <v>464</v>
      </c>
      <c r="O960" s="5" t="s">
        <v>1124</v>
      </c>
      <c r="P960" s="5" t="s">
        <v>597</v>
      </c>
      <c r="Q960" s="5" t="s">
        <v>1125</v>
      </c>
      <c r="R960" s="5" t="s">
        <v>1130</v>
      </c>
      <c r="S960" s="5" t="s">
        <v>1127</v>
      </c>
      <c r="T960" s="5" t="s">
        <v>445</v>
      </c>
      <c r="U960" s="5"/>
      <c r="V960" s="5"/>
      <c r="W960" s="5"/>
      <c r="X960" s="5"/>
      <c r="Y960" s="5"/>
      <c r="Z960" s="5"/>
      <c r="AA960" s="5"/>
    </row>
    <row r="961" spans="5:27" customFormat="1">
      <c r="E961" s="88"/>
      <c r="F961" s="36" t="s">
        <v>309</v>
      </c>
      <c r="G961" s="5" t="s">
        <v>310</v>
      </c>
      <c r="H961" s="5"/>
      <c r="I961" s="62">
        <v>-1277500</v>
      </c>
      <c r="J961" s="62">
        <v>-875</v>
      </c>
      <c r="K961" s="62">
        <v>1460</v>
      </c>
      <c r="L961" s="100" t="s">
        <v>985</v>
      </c>
      <c r="M961" s="5" t="s">
        <v>452</v>
      </c>
      <c r="N961" s="34" t="s">
        <v>464</v>
      </c>
      <c r="O961" s="5" t="s">
        <v>1111</v>
      </c>
      <c r="P961" s="5" t="s">
        <v>597</v>
      </c>
      <c r="Q961" s="5" t="s">
        <v>1112</v>
      </c>
      <c r="R961" s="5" t="s">
        <v>1116</v>
      </c>
      <c r="S961" s="5" t="s">
        <v>1114</v>
      </c>
      <c r="T961" s="5" t="s">
        <v>445</v>
      </c>
      <c r="U961" s="5"/>
      <c r="V961" s="5"/>
      <c r="W961" s="5"/>
      <c r="X961" s="5"/>
      <c r="Y961" s="5"/>
      <c r="Z961" s="5"/>
      <c r="AA961" s="5"/>
    </row>
    <row r="962" spans="5:27" customFormat="1">
      <c r="E962" s="88"/>
      <c r="F962" s="36" t="s">
        <v>309</v>
      </c>
      <c r="G962" s="5" t="s">
        <v>310</v>
      </c>
      <c r="H962" s="5"/>
      <c r="I962" s="62">
        <v>-1335975</v>
      </c>
      <c r="J962" s="62">
        <v>-947.5</v>
      </c>
      <c r="K962" s="62">
        <v>1410</v>
      </c>
      <c r="L962" s="100" t="s">
        <v>604</v>
      </c>
      <c r="M962" s="5" t="s">
        <v>452</v>
      </c>
      <c r="N962" s="34" t="s">
        <v>464</v>
      </c>
      <c r="O962" s="5" t="s">
        <v>797</v>
      </c>
      <c r="P962" s="5" t="s">
        <v>597</v>
      </c>
      <c r="Q962" s="5" t="s">
        <v>798</v>
      </c>
      <c r="R962" s="5" t="s">
        <v>803</v>
      </c>
      <c r="S962" s="5" t="s">
        <v>800</v>
      </c>
      <c r="T962" s="5" t="s">
        <v>445</v>
      </c>
      <c r="U962" s="5"/>
      <c r="V962" s="5"/>
      <c r="W962" s="5"/>
      <c r="X962" s="5"/>
      <c r="Y962" s="5"/>
      <c r="Z962" s="5"/>
      <c r="AA962" s="5"/>
    </row>
    <row r="963" spans="5:27" customFormat="1">
      <c r="E963" s="88"/>
      <c r="F963" s="36" t="s">
        <v>309</v>
      </c>
      <c r="G963" s="5" t="s">
        <v>310</v>
      </c>
      <c r="H963" s="5"/>
      <c r="I963" s="62">
        <v>-3478450</v>
      </c>
      <c r="J963" s="62">
        <v>-2382.5</v>
      </c>
      <c r="K963" s="62">
        <v>1460</v>
      </c>
      <c r="L963" s="100" t="s">
        <v>914</v>
      </c>
      <c r="M963" s="5" t="s">
        <v>452</v>
      </c>
      <c r="N963" s="34" t="s">
        <v>464</v>
      </c>
      <c r="O963" s="5" t="s">
        <v>972</v>
      </c>
      <c r="P963" s="5" t="s">
        <v>597</v>
      </c>
      <c r="Q963" s="5" t="s">
        <v>973</v>
      </c>
      <c r="R963" s="5" t="s">
        <v>980</v>
      </c>
      <c r="S963" s="5" t="s">
        <v>975</v>
      </c>
      <c r="T963" s="5" t="s">
        <v>445</v>
      </c>
      <c r="U963" s="5"/>
      <c r="V963" s="5"/>
      <c r="W963" s="5"/>
      <c r="X963" s="5"/>
      <c r="Y963" s="5"/>
      <c r="Z963" s="5"/>
      <c r="AA963" s="5"/>
    </row>
    <row r="964" spans="5:27" customFormat="1">
      <c r="E964" s="88"/>
      <c r="F964" s="36" t="s">
        <v>309</v>
      </c>
      <c r="G964" s="5" t="s">
        <v>310</v>
      </c>
      <c r="H964" s="5"/>
      <c r="I964" s="62">
        <v>-1335975</v>
      </c>
      <c r="J964" s="62">
        <v>-947.5</v>
      </c>
      <c r="K964" s="62">
        <v>1410</v>
      </c>
      <c r="L964" s="100" t="s">
        <v>604</v>
      </c>
      <c r="M964" s="5" t="s">
        <v>452</v>
      </c>
      <c r="N964" s="34" t="s">
        <v>464</v>
      </c>
      <c r="O964" s="5" t="s">
        <v>797</v>
      </c>
      <c r="P964" s="5" t="s">
        <v>597</v>
      </c>
      <c r="Q964" s="5" t="s">
        <v>798</v>
      </c>
      <c r="R964" s="5" t="s">
        <v>802</v>
      </c>
      <c r="S964" s="5" t="s">
        <v>800</v>
      </c>
      <c r="T964" s="5" t="s">
        <v>445</v>
      </c>
      <c r="U964" s="5"/>
      <c r="V964" s="5"/>
      <c r="W964" s="5"/>
      <c r="X964" s="5"/>
      <c r="Y964" s="5"/>
      <c r="Z964" s="5"/>
      <c r="AA964" s="5"/>
    </row>
    <row r="965" spans="5:27" customFormat="1">
      <c r="E965" s="88"/>
      <c r="F965" s="36" t="s">
        <v>309</v>
      </c>
      <c r="G965" s="5" t="s">
        <v>310</v>
      </c>
      <c r="H965" s="5"/>
      <c r="I965" s="62">
        <v>-2190350</v>
      </c>
      <c r="J965" s="62">
        <v>-1542.5</v>
      </c>
      <c r="K965" s="62">
        <v>1420</v>
      </c>
      <c r="L965" s="100" t="s">
        <v>1030</v>
      </c>
      <c r="M965" s="5" t="s">
        <v>452</v>
      </c>
      <c r="N965" s="34" t="s">
        <v>464</v>
      </c>
      <c r="O965" s="5" t="s">
        <v>1144</v>
      </c>
      <c r="P965" s="5" t="s">
        <v>597</v>
      </c>
      <c r="Q965" s="5" t="s">
        <v>1145</v>
      </c>
      <c r="R965" s="5" t="s">
        <v>1148</v>
      </c>
      <c r="S965" s="5" t="s">
        <v>1147</v>
      </c>
      <c r="T965" s="5" t="s">
        <v>445</v>
      </c>
      <c r="U965" s="5"/>
      <c r="V965" s="5"/>
      <c r="W965" s="5"/>
      <c r="X965" s="5"/>
      <c r="Y965" s="5"/>
      <c r="Z965" s="5"/>
      <c r="AA965" s="5"/>
    </row>
    <row r="966" spans="5:27" customFormat="1">
      <c r="E966" s="88"/>
      <c r="F966" s="36" t="s">
        <v>309</v>
      </c>
      <c r="G966" s="5" t="s">
        <v>310</v>
      </c>
      <c r="H966" s="5"/>
      <c r="I966" s="62">
        <v>-2137100</v>
      </c>
      <c r="J966" s="62">
        <v>-1505</v>
      </c>
      <c r="K966" s="62">
        <v>1420</v>
      </c>
      <c r="L966" s="100" t="s">
        <v>1030</v>
      </c>
      <c r="M966" s="5" t="s">
        <v>452</v>
      </c>
      <c r="N966" s="34" t="s">
        <v>464</v>
      </c>
      <c r="O966" s="5" t="s">
        <v>1144</v>
      </c>
      <c r="P966" s="5" t="s">
        <v>597</v>
      </c>
      <c r="Q966" s="5" t="s">
        <v>1145</v>
      </c>
      <c r="R966" s="5" t="s">
        <v>1150</v>
      </c>
      <c r="S966" s="5" t="s">
        <v>1147</v>
      </c>
      <c r="T966" s="5" t="s">
        <v>445</v>
      </c>
      <c r="U966" s="5"/>
      <c r="V966" s="5"/>
      <c r="W966" s="5"/>
      <c r="X966" s="5"/>
      <c r="Y966" s="5"/>
      <c r="Z966" s="5"/>
      <c r="AA966" s="5"/>
    </row>
    <row r="967" spans="5:27" customFormat="1">
      <c r="E967" s="88"/>
      <c r="F967" s="36" t="s">
        <v>309</v>
      </c>
      <c r="G967" s="5" t="s">
        <v>310</v>
      </c>
      <c r="H967" s="5"/>
      <c r="I967" s="62">
        <v>-3212000</v>
      </c>
      <c r="J967" s="62">
        <v>-2200</v>
      </c>
      <c r="K967" s="62">
        <v>1460</v>
      </c>
      <c r="L967" s="100" t="s">
        <v>985</v>
      </c>
      <c r="M967" s="5" t="s">
        <v>452</v>
      </c>
      <c r="N967" s="34" t="s">
        <v>464</v>
      </c>
      <c r="O967" s="5" t="s">
        <v>1111</v>
      </c>
      <c r="P967" s="5" t="s">
        <v>597</v>
      </c>
      <c r="Q967" s="5" t="s">
        <v>1112</v>
      </c>
      <c r="R967" s="5" t="s">
        <v>1113</v>
      </c>
      <c r="S967" s="5" t="s">
        <v>1114</v>
      </c>
      <c r="T967" s="5" t="s">
        <v>445</v>
      </c>
      <c r="U967" s="5"/>
      <c r="V967" s="5"/>
      <c r="W967" s="5"/>
      <c r="X967" s="5"/>
      <c r="Y967" s="5"/>
      <c r="Z967" s="5"/>
      <c r="AA967" s="5"/>
    </row>
    <row r="968" spans="5:27" customFormat="1">
      <c r="E968" s="88"/>
      <c r="F968" s="36" t="s">
        <v>309</v>
      </c>
      <c r="G968" s="5" t="s">
        <v>310</v>
      </c>
      <c r="H968" s="5"/>
      <c r="I968" s="62">
        <v>-3115000</v>
      </c>
      <c r="J968" s="62">
        <v>-2225</v>
      </c>
      <c r="K968" s="62">
        <v>1400</v>
      </c>
      <c r="L968" s="100" t="s">
        <v>854</v>
      </c>
      <c r="M968" s="5" t="s">
        <v>452</v>
      </c>
      <c r="N968" s="34" t="s">
        <v>464</v>
      </c>
      <c r="O968" s="5" t="s">
        <v>905</v>
      </c>
      <c r="P968" s="5" t="s">
        <v>597</v>
      </c>
      <c r="Q968" s="5" t="s">
        <v>906</v>
      </c>
      <c r="R968" s="5" t="s">
        <v>909</v>
      </c>
      <c r="S968" s="5" t="s">
        <v>908</v>
      </c>
      <c r="T968" s="5" t="s">
        <v>445</v>
      </c>
      <c r="U968" s="5"/>
      <c r="V968" s="5"/>
      <c r="W968" s="5"/>
      <c r="X968" s="5"/>
      <c r="Y968" s="5"/>
      <c r="Z968" s="5"/>
      <c r="AA968" s="5"/>
    </row>
    <row r="969" spans="5:27" customFormat="1">
      <c r="E969" s="88"/>
      <c r="F969" s="36" t="s">
        <v>309</v>
      </c>
      <c r="G969" s="5" t="s">
        <v>310</v>
      </c>
      <c r="H969" s="5"/>
      <c r="I969" s="62">
        <v>-2185500</v>
      </c>
      <c r="J969" s="62">
        <v>-1550</v>
      </c>
      <c r="K969" s="62">
        <v>1410</v>
      </c>
      <c r="L969" s="100" t="s">
        <v>604</v>
      </c>
      <c r="M969" s="5" t="s">
        <v>452</v>
      </c>
      <c r="N969" s="34" t="s">
        <v>464</v>
      </c>
      <c r="O969" s="5" t="s">
        <v>797</v>
      </c>
      <c r="P969" s="5" t="s">
        <v>597</v>
      </c>
      <c r="Q969" s="5" t="s">
        <v>798</v>
      </c>
      <c r="R969" s="5" t="s">
        <v>804</v>
      </c>
      <c r="S969" s="5" t="s">
        <v>800</v>
      </c>
      <c r="T969" s="5" t="s">
        <v>445</v>
      </c>
      <c r="U969" s="5"/>
      <c r="V969" s="5"/>
      <c r="W969" s="5"/>
      <c r="X969" s="5"/>
      <c r="Y969" s="5"/>
      <c r="Z969" s="5"/>
      <c r="AA969" s="5"/>
    </row>
    <row r="970" spans="5:27" customFormat="1">
      <c r="E970" s="88"/>
      <c r="F970" s="36" t="s">
        <v>309</v>
      </c>
      <c r="G970" s="5" t="s">
        <v>310</v>
      </c>
      <c r="H970" s="5"/>
      <c r="I970" s="62">
        <v>-2556000</v>
      </c>
      <c r="J970" s="62">
        <v>-1800</v>
      </c>
      <c r="K970" s="62">
        <v>1420</v>
      </c>
      <c r="L970" s="100" t="s">
        <v>989</v>
      </c>
      <c r="M970" s="5" t="s">
        <v>452</v>
      </c>
      <c r="N970" s="34" t="s">
        <v>464</v>
      </c>
      <c r="O970" s="5" t="s">
        <v>1136</v>
      </c>
      <c r="P970" s="5" t="s">
        <v>597</v>
      </c>
      <c r="Q970" s="5" t="s">
        <v>1137</v>
      </c>
      <c r="R970" s="5" t="s">
        <v>1140</v>
      </c>
      <c r="S970" s="5" t="s">
        <v>1139</v>
      </c>
      <c r="T970" s="5" t="s">
        <v>445</v>
      </c>
      <c r="U970" s="5"/>
      <c r="V970" s="5"/>
      <c r="W970" s="5"/>
      <c r="X970" s="5"/>
      <c r="Y970" s="5"/>
      <c r="Z970" s="5"/>
      <c r="AA970" s="5"/>
    </row>
    <row r="971" spans="5:27" customFormat="1">
      <c r="E971" s="88"/>
      <c r="F971" s="36" t="s">
        <v>309</v>
      </c>
      <c r="G971" s="5" t="s">
        <v>310</v>
      </c>
      <c r="H971" s="5"/>
      <c r="I971" s="62">
        <v>-767819</v>
      </c>
      <c r="J971" s="62">
        <v>-590.63</v>
      </c>
      <c r="K971" s="62">
        <v>1300</v>
      </c>
      <c r="L971" s="100" t="s">
        <v>451</v>
      </c>
      <c r="M971" s="5" t="s">
        <v>452</v>
      </c>
      <c r="N971" s="34" t="s">
        <v>464</v>
      </c>
      <c r="O971" s="5" t="s">
        <v>568</v>
      </c>
      <c r="P971" s="5" t="s">
        <v>454</v>
      </c>
      <c r="Q971" s="5" t="s">
        <v>569</v>
      </c>
      <c r="R971" s="5" t="s">
        <v>572</v>
      </c>
      <c r="S971" s="5" t="s">
        <v>571</v>
      </c>
      <c r="T971" s="5" t="s">
        <v>445</v>
      </c>
      <c r="U971" s="5"/>
      <c r="V971" s="5"/>
      <c r="W971" s="5"/>
      <c r="X971" s="5"/>
      <c r="Y971" s="5"/>
      <c r="Z971" s="5"/>
      <c r="AA971" s="5"/>
    </row>
    <row r="972" spans="5:27" customFormat="1">
      <c r="E972" s="88"/>
      <c r="F972" s="36" t="s">
        <v>309</v>
      </c>
      <c r="G972" s="5" t="s">
        <v>310</v>
      </c>
      <c r="H972" s="5"/>
      <c r="I972" s="62">
        <v>-3070750</v>
      </c>
      <c r="J972" s="62">
        <v>-2162.5</v>
      </c>
      <c r="K972" s="62">
        <v>1420</v>
      </c>
      <c r="L972" s="100" t="s">
        <v>1013</v>
      </c>
      <c r="M972" s="5" t="s">
        <v>452</v>
      </c>
      <c r="N972" s="34" t="s">
        <v>464</v>
      </c>
      <c r="O972" s="5" t="s">
        <v>1124</v>
      </c>
      <c r="P972" s="5" t="s">
        <v>597</v>
      </c>
      <c r="Q972" s="5" t="s">
        <v>1125</v>
      </c>
      <c r="R972" s="5" t="s">
        <v>1128</v>
      </c>
      <c r="S972" s="5" t="s">
        <v>1127</v>
      </c>
      <c r="T972" s="5" t="s">
        <v>445</v>
      </c>
      <c r="U972" s="5"/>
      <c r="V972" s="5"/>
      <c r="W972" s="5"/>
      <c r="X972" s="5"/>
      <c r="Y972" s="5"/>
      <c r="Z972" s="5"/>
      <c r="AA972" s="5"/>
    </row>
    <row r="973" spans="5:27" customFormat="1">
      <c r="E973" s="88"/>
      <c r="F973" s="36" t="s">
        <v>309</v>
      </c>
      <c r="G973" s="5" t="s">
        <v>310</v>
      </c>
      <c r="H973" s="5"/>
      <c r="I973" s="62">
        <v>-1491000</v>
      </c>
      <c r="J973" s="62">
        <v>-1050</v>
      </c>
      <c r="K973" s="62">
        <v>1420</v>
      </c>
      <c r="L973" s="100" t="s">
        <v>623</v>
      </c>
      <c r="M973" s="5" t="s">
        <v>452</v>
      </c>
      <c r="N973" s="34" t="s">
        <v>464</v>
      </c>
      <c r="O973" s="5" t="s">
        <v>779</v>
      </c>
      <c r="P973" s="5" t="s">
        <v>597</v>
      </c>
      <c r="Q973" s="5" t="s">
        <v>780</v>
      </c>
      <c r="R973" s="5" t="s">
        <v>785</v>
      </c>
      <c r="S973" s="5" t="s">
        <v>782</v>
      </c>
      <c r="T973" s="5" t="s">
        <v>445</v>
      </c>
      <c r="U973" s="5"/>
      <c r="V973" s="5"/>
      <c r="W973" s="5"/>
      <c r="X973" s="5"/>
      <c r="Y973" s="5"/>
      <c r="Z973" s="5"/>
      <c r="AA973" s="5"/>
    </row>
    <row r="974" spans="5:27" customFormat="1">
      <c r="E974" s="88"/>
      <c r="F974" s="36" t="s">
        <v>309</v>
      </c>
      <c r="G974" s="5" t="s">
        <v>310</v>
      </c>
      <c r="H974" s="5"/>
      <c r="I974" s="62">
        <v>-573870</v>
      </c>
      <c r="J974" s="62">
        <v>-407</v>
      </c>
      <c r="K974" s="62">
        <v>1410</v>
      </c>
      <c r="L974" s="100" t="s">
        <v>608</v>
      </c>
      <c r="M974" s="5" t="s">
        <v>452</v>
      </c>
      <c r="N974" s="34" t="s">
        <v>464</v>
      </c>
      <c r="O974" s="5" t="s">
        <v>809</v>
      </c>
      <c r="P974" s="5" t="s">
        <v>597</v>
      </c>
      <c r="Q974" s="5" t="s">
        <v>810</v>
      </c>
      <c r="R974" s="5" t="s">
        <v>811</v>
      </c>
      <c r="S974" s="5" t="s">
        <v>812</v>
      </c>
      <c r="T974" s="5" t="s">
        <v>445</v>
      </c>
      <c r="U974" s="5"/>
      <c r="V974" s="5"/>
      <c r="W974" s="5"/>
      <c r="X974" s="5"/>
      <c r="Y974" s="5"/>
      <c r="Z974" s="5"/>
      <c r="AA974" s="5"/>
    </row>
    <row r="975" spans="5:27" customFormat="1">
      <c r="E975" s="88"/>
      <c r="F975" s="36" t="s">
        <v>309</v>
      </c>
      <c r="G975" s="5" t="s">
        <v>310</v>
      </c>
      <c r="H975" s="5"/>
      <c r="I975" s="62">
        <v>-835900</v>
      </c>
      <c r="J975" s="62">
        <v>-643</v>
      </c>
      <c r="K975" s="62">
        <v>1300</v>
      </c>
      <c r="L975" s="100" t="s">
        <v>451</v>
      </c>
      <c r="M975" s="5" t="s">
        <v>452</v>
      </c>
      <c r="N975" s="34" t="s">
        <v>464</v>
      </c>
      <c r="O975" s="5" t="s">
        <v>568</v>
      </c>
      <c r="P975" s="5" t="s">
        <v>454</v>
      </c>
      <c r="Q975" s="5" t="s">
        <v>569</v>
      </c>
      <c r="R975" s="5" t="s">
        <v>570</v>
      </c>
      <c r="S975" s="5" t="s">
        <v>571</v>
      </c>
      <c r="T975" s="5" t="s">
        <v>445</v>
      </c>
      <c r="U975" s="5"/>
      <c r="V975" s="5"/>
      <c r="W975" s="5"/>
      <c r="X975" s="5"/>
      <c r="Y975" s="5"/>
      <c r="Z975" s="5"/>
      <c r="AA975" s="5"/>
    </row>
    <row r="976" spans="5:27" customFormat="1">
      <c r="E976" s="88"/>
      <c r="F976" s="36" t="s">
        <v>309</v>
      </c>
      <c r="G976" s="5" t="s">
        <v>310</v>
      </c>
      <c r="H976" s="5"/>
      <c r="I976" s="62">
        <v>-816500</v>
      </c>
      <c r="J976" s="62">
        <v>-575</v>
      </c>
      <c r="K976" s="62">
        <v>1420</v>
      </c>
      <c r="L976" s="100" t="s">
        <v>623</v>
      </c>
      <c r="M976" s="5" t="s">
        <v>452</v>
      </c>
      <c r="N976" s="34" t="s">
        <v>464</v>
      </c>
      <c r="O976" s="5" t="s">
        <v>779</v>
      </c>
      <c r="P976" s="5" t="s">
        <v>597</v>
      </c>
      <c r="Q976" s="5" t="s">
        <v>780</v>
      </c>
      <c r="R976" s="5" t="s">
        <v>786</v>
      </c>
      <c r="S976" s="5" t="s">
        <v>782</v>
      </c>
      <c r="T976" s="5" t="s">
        <v>445</v>
      </c>
      <c r="U976" s="5"/>
      <c r="V976" s="5"/>
      <c r="W976" s="5"/>
      <c r="X976" s="5"/>
      <c r="Y976" s="5"/>
      <c r="Z976" s="5"/>
      <c r="AA976" s="5"/>
    </row>
    <row r="977" spans="5:27" customFormat="1">
      <c r="E977" s="88"/>
      <c r="F977" s="36" t="s">
        <v>309</v>
      </c>
      <c r="G977" s="5" t="s">
        <v>310</v>
      </c>
      <c r="H977" s="5"/>
      <c r="I977" s="62">
        <v>-617500</v>
      </c>
      <c r="J977" s="62">
        <v>-475</v>
      </c>
      <c r="K977" s="62">
        <v>1300</v>
      </c>
      <c r="L977" s="100" t="s">
        <v>459</v>
      </c>
      <c r="M977" s="5" t="s">
        <v>452</v>
      </c>
      <c r="N977" s="34" t="s">
        <v>464</v>
      </c>
      <c r="O977" s="5" t="s">
        <v>557</v>
      </c>
      <c r="P977" s="5" t="s">
        <v>454</v>
      </c>
      <c r="Q977" s="5" t="s">
        <v>558</v>
      </c>
      <c r="R977" s="5" t="s">
        <v>559</v>
      </c>
      <c r="S977" s="5" t="s">
        <v>560</v>
      </c>
      <c r="T977" s="5" t="s">
        <v>445</v>
      </c>
      <c r="U977" s="5"/>
      <c r="V977" s="5"/>
      <c r="W977" s="5"/>
      <c r="X977" s="5"/>
      <c r="Y977" s="5"/>
      <c r="Z977" s="5"/>
      <c r="AA977" s="5"/>
    </row>
    <row r="978" spans="5:27" customFormat="1">
      <c r="E978" s="88"/>
      <c r="F978" s="36" t="s">
        <v>309</v>
      </c>
      <c r="G978" s="5" t="s">
        <v>310</v>
      </c>
      <c r="H978" s="5"/>
      <c r="I978" s="62">
        <v>-6645600</v>
      </c>
      <c r="J978" s="62">
        <v>-4680</v>
      </c>
      <c r="K978" s="62">
        <v>1420</v>
      </c>
      <c r="L978" s="100" t="s">
        <v>472</v>
      </c>
      <c r="M978" s="5" t="s">
        <v>452</v>
      </c>
      <c r="N978" s="34" t="s">
        <v>464</v>
      </c>
      <c r="O978" s="5" t="s">
        <v>578</v>
      </c>
      <c r="P978" s="5" t="s">
        <v>454</v>
      </c>
      <c r="Q978" s="5" t="s">
        <v>579</v>
      </c>
      <c r="R978" s="5" t="s">
        <v>585</v>
      </c>
      <c r="S978" s="5" t="s">
        <v>581</v>
      </c>
      <c r="T978" s="5" t="s">
        <v>445</v>
      </c>
      <c r="U978" s="5"/>
      <c r="V978" s="5"/>
      <c r="W978" s="5"/>
      <c r="X978" s="5"/>
      <c r="Y978" s="5"/>
      <c r="Z978" s="5"/>
      <c r="AA978" s="5"/>
    </row>
    <row r="979" spans="5:27" customFormat="1">
      <c r="E979" s="88"/>
      <c r="F979" s="36" t="s">
        <v>309</v>
      </c>
      <c r="G979" s="5" t="s">
        <v>310</v>
      </c>
      <c r="H979" s="5"/>
      <c r="I979" s="62">
        <v>-2326500</v>
      </c>
      <c r="J979" s="62">
        <v>-1650</v>
      </c>
      <c r="K979" s="62">
        <v>1410</v>
      </c>
      <c r="L979" s="100" t="s">
        <v>604</v>
      </c>
      <c r="M979" s="5" t="s">
        <v>452</v>
      </c>
      <c r="N979" s="34" t="s">
        <v>464</v>
      </c>
      <c r="O979" s="5" t="s">
        <v>797</v>
      </c>
      <c r="P979" s="5" t="s">
        <v>597</v>
      </c>
      <c r="Q979" s="5" t="s">
        <v>798</v>
      </c>
      <c r="R979" s="5" t="s">
        <v>805</v>
      </c>
      <c r="S979" s="5" t="s">
        <v>800</v>
      </c>
      <c r="T979" s="5" t="s">
        <v>445</v>
      </c>
      <c r="U979" s="5"/>
      <c r="V979" s="5"/>
      <c r="W979" s="5"/>
      <c r="X979" s="5"/>
      <c r="Y979" s="5"/>
      <c r="Z979" s="5"/>
      <c r="AA979" s="5"/>
    </row>
    <row r="980" spans="5:27" customFormat="1">
      <c r="E980" s="88"/>
      <c r="F980" s="36" t="s">
        <v>309</v>
      </c>
      <c r="G980" s="5" t="s">
        <v>310</v>
      </c>
      <c r="H980" s="5"/>
      <c r="I980" s="62">
        <v>-2769000</v>
      </c>
      <c r="J980" s="62">
        <v>-1950</v>
      </c>
      <c r="K980" s="62">
        <v>1420</v>
      </c>
      <c r="L980" s="100" t="s">
        <v>472</v>
      </c>
      <c r="M980" s="5" t="s">
        <v>452</v>
      </c>
      <c r="N980" s="34" t="s">
        <v>464</v>
      </c>
      <c r="O980" s="5" t="s">
        <v>578</v>
      </c>
      <c r="P980" s="5" t="s">
        <v>454</v>
      </c>
      <c r="Q980" s="5" t="s">
        <v>579</v>
      </c>
      <c r="R980" s="5" t="s">
        <v>584</v>
      </c>
      <c r="S980" s="5" t="s">
        <v>581</v>
      </c>
      <c r="T980" s="5" t="s">
        <v>445</v>
      </c>
      <c r="U980" s="5"/>
      <c r="V980" s="5"/>
      <c r="W980" s="5"/>
      <c r="X980" s="5"/>
      <c r="Y980" s="5"/>
      <c r="Z980" s="5"/>
      <c r="AA980" s="5"/>
    </row>
    <row r="981" spans="5:27" customFormat="1">
      <c r="E981" s="88"/>
      <c r="F981" s="36" t="s">
        <v>309</v>
      </c>
      <c r="G981" s="5" t="s">
        <v>310</v>
      </c>
      <c r="H981" s="5"/>
      <c r="I981" s="62">
        <v>-4047000</v>
      </c>
      <c r="J981" s="62">
        <v>-2850</v>
      </c>
      <c r="K981" s="62">
        <v>1420</v>
      </c>
      <c r="L981" s="100" t="s">
        <v>623</v>
      </c>
      <c r="M981" s="5" t="s">
        <v>452</v>
      </c>
      <c r="N981" s="34" t="s">
        <v>464</v>
      </c>
      <c r="O981" s="5" t="s">
        <v>779</v>
      </c>
      <c r="P981" s="5" t="s">
        <v>597</v>
      </c>
      <c r="Q981" s="5" t="s">
        <v>780</v>
      </c>
      <c r="R981" s="5" t="s">
        <v>784</v>
      </c>
      <c r="S981" s="5" t="s">
        <v>782</v>
      </c>
      <c r="T981" s="5" t="s">
        <v>445</v>
      </c>
      <c r="U981" s="5"/>
      <c r="V981" s="5"/>
      <c r="W981" s="5"/>
      <c r="X981" s="5"/>
      <c r="Y981" s="5"/>
      <c r="Z981" s="5"/>
      <c r="AA981" s="5"/>
    </row>
    <row r="982" spans="5:27" customFormat="1">
      <c r="E982" s="88"/>
      <c r="F982" s="36" t="s">
        <v>309</v>
      </c>
      <c r="G982" s="5" t="s">
        <v>310</v>
      </c>
      <c r="H982" s="5"/>
      <c r="I982" s="62">
        <v>-1136000</v>
      </c>
      <c r="J982" s="62">
        <v>-800</v>
      </c>
      <c r="K982" s="62">
        <v>1420</v>
      </c>
      <c r="L982" s="100" t="s">
        <v>472</v>
      </c>
      <c r="M982" s="5" t="s">
        <v>452</v>
      </c>
      <c r="N982" s="34" t="s">
        <v>464</v>
      </c>
      <c r="O982" s="5" t="s">
        <v>578</v>
      </c>
      <c r="P982" s="5" t="s">
        <v>454</v>
      </c>
      <c r="Q982" s="5" t="s">
        <v>579</v>
      </c>
      <c r="R982" s="5" t="s">
        <v>582</v>
      </c>
      <c r="S982" s="5" t="s">
        <v>581</v>
      </c>
      <c r="T982" s="5" t="s">
        <v>445</v>
      </c>
      <c r="U982" s="5"/>
      <c r="V982" s="5"/>
      <c r="W982" s="5"/>
      <c r="X982" s="5"/>
      <c r="Y982" s="5"/>
      <c r="Z982" s="5"/>
      <c r="AA982" s="5"/>
    </row>
    <row r="983" spans="5:27" customFormat="1">
      <c r="E983" s="88"/>
      <c r="F983" s="36" t="s">
        <v>309</v>
      </c>
      <c r="G983" s="5" t="s">
        <v>310</v>
      </c>
      <c r="H983" s="5"/>
      <c r="I983" s="62">
        <v>-806181.6</v>
      </c>
      <c r="J983" s="62">
        <v>-571.76</v>
      </c>
      <c r="K983" s="62">
        <v>1410</v>
      </c>
      <c r="L983" s="100" t="s">
        <v>604</v>
      </c>
      <c r="M983" s="5" t="s">
        <v>452</v>
      </c>
      <c r="N983" s="34" t="s">
        <v>464</v>
      </c>
      <c r="O983" s="5" t="s">
        <v>797</v>
      </c>
      <c r="P983" s="5" t="s">
        <v>597</v>
      </c>
      <c r="Q983" s="5" t="s">
        <v>798</v>
      </c>
      <c r="R983" s="5" t="s">
        <v>806</v>
      </c>
      <c r="S983" s="5" t="s">
        <v>800</v>
      </c>
      <c r="T983" s="5" t="s">
        <v>445</v>
      </c>
      <c r="U983" s="5"/>
      <c r="V983" s="5"/>
      <c r="W983" s="5"/>
      <c r="X983" s="5"/>
      <c r="Y983" s="5"/>
      <c r="Z983" s="5"/>
      <c r="AA983" s="5"/>
    </row>
    <row r="984" spans="5:27" customFormat="1">
      <c r="E984" s="88"/>
      <c r="F984" s="36" t="s">
        <v>309</v>
      </c>
      <c r="G984" s="5" t="s">
        <v>310</v>
      </c>
      <c r="H984" s="5"/>
      <c r="I984" s="62">
        <v>-2938250</v>
      </c>
      <c r="J984" s="62">
        <v>-2012.5</v>
      </c>
      <c r="K984" s="62">
        <v>1460</v>
      </c>
      <c r="L984" s="100" t="s">
        <v>989</v>
      </c>
      <c r="M984" s="5" t="s">
        <v>452</v>
      </c>
      <c r="N984" s="34" t="s">
        <v>464</v>
      </c>
      <c r="O984" s="5" t="s">
        <v>1136</v>
      </c>
      <c r="P984" s="5" t="s">
        <v>597</v>
      </c>
      <c r="Q984" s="5" t="s">
        <v>1137</v>
      </c>
      <c r="R984" s="5" t="s">
        <v>1141</v>
      </c>
      <c r="S984" s="5" t="s">
        <v>1139</v>
      </c>
      <c r="T984" s="5" t="s">
        <v>445</v>
      </c>
      <c r="U984" s="5"/>
      <c r="V984" s="5"/>
      <c r="W984" s="5"/>
      <c r="X984" s="5"/>
      <c r="Y984" s="5"/>
      <c r="Z984" s="5"/>
      <c r="AA984" s="5"/>
    </row>
    <row r="985" spans="5:27" customFormat="1">
      <c r="E985" s="88"/>
      <c r="F985" s="36" t="s">
        <v>309</v>
      </c>
      <c r="G985" s="5" t="s">
        <v>310</v>
      </c>
      <c r="H985" s="5"/>
      <c r="I985" s="62">
        <v>-4793069.4000000004</v>
      </c>
      <c r="J985" s="62">
        <v>-3399.34</v>
      </c>
      <c r="K985" s="62">
        <v>1410</v>
      </c>
      <c r="L985" s="100" t="s">
        <v>813</v>
      </c>
      <c r="M985" s="5" t="s">
        <v>452</v>
      </c>
      <c r="N985" s="34" t="s">
        <v>464</v>
      </c>
      <c r="O985" s="5" t="s">
        <v>843</v>
      </c>
      <c r="P985" s="5" t="s">
        <v>597</v>
      </c>
      <c r="Q985" s="5" t="s">
        <v>844</v>
      </c>
      <c r="R985" s="5" t="s">
        <v>847</v>
      </c>
      <c r="S985" s="5" t="s">
        <v>846</v>
      </c>
      <c r="T985" s="5" t="s">
        <v>445</v>
      </c>
      <c r="U985" s="5"/>
      <c r="V985" s="5"/>
      <c r="W985" s="5"/>
      <c r="X985" s="5"/>
      <c r="Y985" s="5"/>
      <c r="Z985" s="5"/>
      <c r="AA985" s="5"/>
    </row>
    <row r="986" spans="5:27" customFormat="1">
      <c r="E986" s="88"/>
      <c r="F986" s="36" t="s">
        <v>309</v>
      </c>
      <c r="G986" s="5" t="s">
        <v>310</v>
      </c>
      <c r="H986" s="5"/>
      <c r="I986" s="62">
        <v>-6415500</v>
      </c>
      <c r="J986" s="62">
        <v>-4550</v>
      </c>
      <c r="K986" s="62">
        <v>1410</v>
      </c>
      <c r="L986" s="100" t="s">
        <v>604</v>
      </c>
      <c r="M986" s="5" t="s">
        <v>452</v>
      </c>
      <c r="N986" s="34" t="s">
        <v>464</v>
      </c>
      <c r="O986" s="5" t="s">
        <v>797</v>
      </c>
      <c r="P986" s="5" t="s">
        <v>597</v>
      </c>
      <c r="Q986" s="5" t="s">
        <v>798</v>
      </c>
      <c r="R986" s="5" t="s">
        <v>808</v>
      </c>
      <c r="S986" s="5" t="s">
        <v>800</v>
      </c>
      <c r="T986" s="5" t="s">
        <v>445</v>
      </c>
      <c r="U986" s="5"/>
      <c r="V986" s="5"/>
      <c r="W986" s="5"/>
      <c r="X986" s="5"/>
      <c r="Y986" s="5"/>
      <c r="Z986" s="5"/>
      <c r="AA986" s="5"/>
    </row>
    <row r="987" spans="5:27" customFormat="1">
      <c r="E987" s="88"/>
      <c r="F987" s="36" t="s">
        <v>309</v>
      </c>
      <c r="G987" s="5" t="s">
        <v>310</v>
      </c>
      <c r="H987" s="5"/>
      <c r="I987" s="62">
        <v>-2775000</v>
      </c>
      <c r="J987" s="62">
        <v>-1850</v>
      </c>
      <c r="K987" s="62">
        <v>1500</v>
      </c>
      <c r="L987" s="100" t="s">
        <v>914</v>
      </c>
      <c r="M987" s="5" t="s">
        <v>452</v>
      </c>
      <c r="N987" s="34" t="s">
        <v>464</v>
      </c>
      <c r="O987" s="5" t="s">
        <v>963</v>
      </c>
      <c r="P987" s="5" t="s">
        <v>597</v>
      </c>
      <c r="Q987" s="5" t="s">
        <v>964</v>
      </c>
      <c r="R987" s="5" t="s">
        <v>970</v>
      </c>
      <c r="S987" s="5" t="s">
        <v>966</v>
      </c>
      <c r="T987" s="5" t="s">
        <v>445</v>
      </c>
      <c r="U987" s="5"/>
      <c r="V987" s="5"/>
      <c r="W987" s="5"/>
      <c r="X987" s="5"/>
      <c r="Y987" s="5"/>
      <c r="Z987" s="5"/>
      <c r="AA987" s="5"/>
    </row>
    <row r="988" spans="5:27" customFormat="1">
      <c r="E988" s="88"/>
      <c r="F988" s="36" t="s">
        <v>309</v>
      </c>
      <c r="G988" s="5" t="s">
        <v>310</v>
      </c>
      <c r="H988" s="5"/>
      <c r="I988" s="62">
        <v>-2771810</v>
      </c>
      <c r="J988" s="62">
        <v>-1898.5</v>
      </c>
      <c r="K988" s="62">
        <v>1460</v>
      </c>
      <c r="L988" s="100" t="s">
        <v>914</v>
      </c>
      <c r="M988" s="5" t="s">
        <v>452</v>
      </c>
      <c r="N988" s="34" t="s">
        <v>464</v>
      </c>
      <c r="O988" s="5" t="s">
        <v>972</v>
      </c>
      <c r="P988" s="5" t="s">
        <v>597</v>
      </c>
      <c r="Q988" s="5" t="s">
        <v>973</v>
      </c>
      <c r="R988" s="5" t="s">
        <v>979</v>
      </c>
      <c r="S988" s="5" t="s">
        <v>975</v>
      </c>
      <c r="T988" s="5" t="s">
        <v>445</v>
      </c>
      <c r="U988" s="5"/>
      <c r="V988" s="5"/>
      <c r="W988" s="5"/>
      <c r="X988" s="5"/>
      <c r="Y988" s="5"/>
      <c r="Z988" s="5"/>
      <c r="AA988" s="5"/>
    </row>
    <row r="989" spans="5:27" customFormat="1">
      <c r="E989" s="88"/>
      <c r="F989" s="36" t="s">
        <v>309</v>
      </c>
      <c r="G989" s="5" t="s">
        <v>310</v>
      </c>
      <c r="H989" s="5"/>
      <c r="I989" s="62">
        <v>-2771810</v>
      </c>
      <c r="J989" s="62">
        <v>-1898.5</v>
      </c>
      <c r="K989" s="62">
        <v>1460</v>
      </c>
      <c r="L989" s="100" t="s">
        <v>914</v>
      </c>
      <c r="M989" s="5" t="s">
        <v>452</v>
      </c>
      <c r="N989" s="34" t="s">
        <v>464</v>
      </c>
      <c r="O989" s="5" t="s">
        <v>972</v>
      </c>
      <c r="P989" s="5" t="s">
        <v>597</v>
      </c>
      <c r="Q989" s="5" t="s">
        <v>973</v>
      </c>
      <c r="R989" s="5" t="s">
        <v>978</v>
      </c>
      <c r="S989" s="5" t="s">
        <v>975</v>
      </c>
      <c r="T989" s="5" t="s">
        <v>445</v>
      </c>
      <c r="U989" s="5"/>
      <c r="V989" s="5"/>
      <c r="W989" s="5"/>
      <c r="X989" s="5"/>
      <c r="Y989" s="5"/>
      <c r="Z989" s="5"/>
      <c r="AA989" s="5"/>
    </row>
    <row r="990" spans="5:27" customFormat="1">
      <c r="E990" s="88"/>
      <c r="F990" s="36" t="s">
        <v>309</v>
      </c>
      <c r="G990" s="5" t="s">
        <v>310</v>
      </c>
      <c r="H990" s="5"/>
      <c r="I990" s="62">
        <v>-2771810</v>
      </c>
      <c r="J990" s="62">
        <v>-1898.5</v>
      </c>
      <c r="K990" s="62">
        <v>1460</v>
      </c>
      <c r="L990" s="100" t="s">
        <v>914</v>
      </c>
      <c r="M990" s="5" t="s">
        <v>452</v>
      </c>
      <c r="N990" s="34" t="s">
        <v>464</v>
      </c>
      <c r="O990" s="5" t="s">
        <v>972</v>
      </c>
      <c r="P990" s="5" t="s">
        <v>597</v>
      </c>
      <c r="Q990" s="5" t="s">
        <v>973</v>
      </c>
      <c r="R990" s="5" t="s">
        <v>984</v>
      </c>
      <c r="S990" s="5" t="s">
        <v>975</v>
      </c>
      <c r="T990" s="5" t="s">
        <v>445</v>
      </c>
      <c r="U990" s="5"/>
      <c r="V990" s="5"/>
      <c r="W990" s="5"/>
      <c r="X990" s="5"/>
      <c r="Y990" s="5"/>
      <c r="Z990" s="5"/>
      <c r="AA990" s="5"/>
    </row>
    <row r="991" spans="5:27" customFormat="1">
      <c r="E991" s="88"/>
      <c r="F991" s="36" t="s">
        <v>309</v>
      </c>
      <c r="G991" s="5" t="s">
        <v>310</v>
      </c>
      <c r="H991" s="5"/>
      <c r="I991" s="62">
        <v>-6686800</v>
      </c>
      <c r="J991" s="62">
        <v>-4580</v>
      </c>
      <c r="K991" s="62">
        <v>1460</v>
      </c>
      <c r="L991" s="100" t="s">
        <v>914</v>
      </c>
      <c r="M991" s="5" t="s">
        <v>452</v>
      </c>
      <c r="N991" s="34" t="s">
        <v>464</v>
      </c>
      <c r="O991" s="5" t="s">
        <v>972</v>
      </c>
      <c r="P991" s="5" t="s">
        <v>597</v>
      </c>
      <c r="Q991" s="5" t="s">
        <v>973</v>
      </c>
      <c r="R991" s="5" t="s">
        <v>974</v>
      </c>
      <c r="S991" s="5" t="s">
        <v>975</v>
      </c>
      <c r="T991" s="5" t="s">
        <v>445</v>
      </c>
      <c r="U991" s="5"/>
      <c r="V991" s="5"/>
      <c r="W991" s="5"/>
      <c r="X991" s="5"/>
      <c r="Y991" s="5"/>
      <c r="Z991" s="5"/>
      <c r="AA991" s="5"/>
    </row>
    <row r="992" spans="5:27" customFormat="1">
      <c r="E992" s="88"/>
      <c r="F992" s="36" t="s">
        <v>309</v>
      </c>
      <c r="G992" s="5" t="s">
        <v>310</v>
      </c>
      <c r="H992" s="5"/>
      <c r="I992" s="62">
        <v>-7020000</v>
      </c>
      <c r="J992" s="62">
        <v>-4680</v>
      </c>
      <c r="K992" s="62">
        <v>1500</v>
      </c>
      <c r="L992" s="100" t="s">
        <v>914</v>
      </c>
      <c r="M992" s="5" t="s">
        <v>452</v>
      </c>
      <c r="N992" s="34" t="s">
        <v>464</v>
      </c>
      <c r="O992" s="5" t="s">
        <v>963</v>
      </c>
      <c r="P992" s="5" t="s">
        <v>597</v>
      </c>
      <c r="Q992" s="5" t="s">
        <v>964</v>
      </c>
      <c r="R992" s="5" t="s">
        <v>968</v>
      </c>
      <c r="S992" s="5" t="s">
        <v>966</v>
      </c>
      <c r="T992" s="5" t="s">
        <v>445</v>
      </c>
      <c r="U992" s="5"/>
      <c r="V992" s="5"/>
      <c r="W992" s="5"/>
      <c r="X992" s="5"/>
      <c r="Y992" s="5"/>
      <c r="Z992" s="5"/>
      <c r="AA992" s="5"/>
    </row>
    <row r="993" spans="5:27" customFormat="1">
      <c r="E993" s="88"/>
      <c r="F993" s="36" t="s">
        <v>309</v>
      </c>
      <c r="G993" s="5" t="s">
        <v>310</v>
      </c>
      <c r="H993" s="5"/>
      <c r="I993" s="62">
        <v>-981850</v>
      </c>
      <c r="J993" s="62">
        <v>-672.5</v>
      </c>
      <c r="K993" s="62">
        <v>1460</v>
      </c>
      <c r="L993" s="100" t="s">
        <v>914</v>
      </c>
      <c r="M993" s="5" t="s">
        <v>452</v>
      </c>
      <c r="N993" s="34" t="s">
        <v>464</v>
      </c>
      <c r="O993" s="5" t="s">
        <v>972</v>
      </c>
      <c r="P993" s="5" t="s">
        <v>597</v>
      </c>
      <c r="Q993" s="5" t="s">
        <v>973</v>
      </c>
      <c r="R993" s="5" t="s">
        <v>977</v>
      </c>
      <c r="S993" s="5" t="s">
        <v>975</v>
      </c>
      <c r="T993" s="5" t="s">
        <v>445</v>
      </c>
      <c r="U993" s="5"/>
      <c r="V993" s="5"/>
      <c r="W993" s="5"/>
      <c r="X993" s="5"/>
      <c r="Y993" s="5"/>
      <c r="Z993" s="5"/>
      <c r="AA993" s="5"/>
    </row>
    <row r="994" spans="5:27" customFormat="1">
      <c r="E994" s="88"/>
      <c r="F994" s="36" t="s">
        <v>309</v>
      </c>
      <c r="G994" s="5" t="s">
        <v>310</v>
      </c>
      <c r="H994" s="5"/>
      <c r="I994" s="62">
        <v>-2401700</v>
      </c>
      <c r="J994" s="62">
        <v>-1645</v>
      </c>
      <c r="K994" s="62">
        <v>1460</v>
      </c>
      <c r="L994" s="100" t="s">
        <v>914</v>
      </c>
      <c r="M994" s="5" t="s">
        <v>452</v>
      </c>
      <c r="N994" s="34" t="s">
        <v>464</v>
      </c>
      <c r="O994" s="5" t="s">
        <v>972</v>
      </c>
      <c r="P994" s="5" t="s">
        <v>597</v>
      </c>
      <c r="Q994" s="5" t="s">
        <v>973</v>
      </c>
      <c r="R994" s="5" t="s">
        <v>981</v>
      </c>
      <c r="S994" s="5" t="s">
        <v>975</v>
      </c>
      <c r="T994" s="5" t="s">
        <v>445</v>
      </c>
      <c r="U994" s="5"/>
      <c r="V994" s="5"/>
      <c r="W994" s="5"/>
      <c r="X994" s="5"/>
      <c r="Y994" s="5"/>
      <c r="Z994" s="5"/>
      <c r="AA994" s="5"/>
    </row>
    <row r="995" spans="5:27" customFormat="1">
      <c r="E995" s="88"/>
      <c r="F995" s="36" t="s">
        <v>309</v>
      </c>
      <c r="G995" s="5" t="s">
        <v>310</v>
      </c>
      <c r="H995" s="5"/>
      <c r="I995" s="62">
        <v>-2401700</v>
      </c>
      <c r="J995" s="62">
        <v>-1645</v>
      </c>
      <c r="K995" s="62">
        <v>1460</v>
      </c>
      <c r="L995" s="100" t="s">
        <v>914</v>
      </c>
      <c r="M995" s="5" t="s">
        <v>452</v>
      </c>
      <c r="N995" s="34" t="s">
        <v>464</v>
      </c>
      <c r="O995" s="5" t="s">
        <v>972</v>
      </c>
      <c r="P995" s="5" t="s">
        <v>597</v>
      </c>
      <c r="Q995" s="5" t="s">
        <v>973</v>
      </c>
      <c r="R995" s="5" t="s">
        <v>982</v>
      </c>
      <c r="S995" s="5" t="s">
        <v>975</v>
      </c>
      <c r="T995" s="5" t="s">
        <v>445</v>
      </c>
      <c r="U995" s="5"/>
      <c r="V995" s="5"/>
      <c r="W995" s="5"/>
      <c r="X995" s="5"/>
      <c r="Y995" s="5"/>
      <c r="Z995" s="5"/>
      <c r="AA995" s="5"/>
    </row>
    <row r="996" spans="5:27" customFormat="1">
      <c r="E996" s="88"/>
      <c r="F996" s="36" t="s">
        <v>309</v>
      </c>
      <c r="G996" s="5" t="s">
        <v>310</v>
      </c>
      <c r="H996" s="5"/>
      <c r="I996" s="62">
        <v>-2467500</v>
      </c>
      <c r="J996" s="62">
        <v>-1645</v>
      </c>
      <c r="K996" s="62">
        <v>1500</v>
      </c>
      <c r="L996" s="100" t="s">
        <v>854</v>
      </c>
      <c r="M996" s="5" t="s">
        <v>452</v>
      </c>
      <c r="N996" s="34" t="s">
        <v>464</v>
      </c>
      <c r="O996" s="5" t="s">
        <v>905</v>
      </c>
      <c r="P996" s="5" t="s">
        <v>597</v>
      </c>
      <c r="Q996" s="5" t="s">
        <v>906</v>
      </c>
      <c r="R996" s="5" t="s">
        <v>911</v>
      </c>
      <c r="S996" s="5" t="s">
        <v>908</v>
      </c>
      <c r="T996" s="5" t="s">
        <v>445</v>
      </c>
      <c r="U996" s="5"/>
      <c r="V996" s="5"/>
      <c r="W996" s="5"/>
      <c r="X996" s="5"/>
      <c r="Y996" s="5"/>
      <c r="Z996" s="5"/>
      <c r="AA996" s="5"/>
    </row>
    <row r="997" spans="5:27" customFormat="1">
      <c r="E997" s="88"/>
      <c r="F997" s="36" t="s">
        <v>309</v>
      </c>
      <c r="G997" s="5" t="s">
        <v>310</v>
      </c>
      <c r="H997" s="5"/>
      <c r="I997" s="62">
        <v>-2467500</v>
      </c>
      <c r="J997" s="62">
        <v>-1645</v>
      </c>
      <c r="K997" s="62">
        <v>1500</v>
      </c>
      <c r="L997" s="100" t="s">
        <v>914</v>
      </c>
      <c r="M997" s="5" t="s">
        <v>452</v>
      </c>
      <c r="N997" s="34" t="s">
        <v>464</v>
      </c>
      <c r="O997" s="5" t="s">
        <v>963</v>
      </c>
      <c r="P997" s="5" t="s">
        <v>597</v>
      </c>
      <c r="Q997" s="5" t="s">
        <v>964</v>
      </c>
      <c r="R997" s="5" t="s">
        <v>967</v>
      </c>
      <c r="S997" s="5" t="s">
        <v>966</v>
      </c>
      <c r="T997" s="5" t="s">
        <v>445</v>
      </c>
      <c r="U997" s="5"/>
      <c r="V997" s="5"/>
      <c r="W997" s="5"/>
      <c r="X997" s="5"/>
      <c r="Y997" s="5"/>
      <c r="Z997" s="5"/>
      <c r="AA997" s="5"/>
    </row>
    <row r="998" spans="5:27" customFormat="1">
      <c r="E998" s="88"/>
      <c r="F998" s="36" t="s">
        <v>309</v>
      </c>
      <c r="G998" s="5" t="s">
        <v>310</v>
      </c>
      <c r="H998" s="5"/>
      <c r="I998" s="62">
        <v>-9723600</v>
      </c>
      <c r="J998" s="62">
        <v>-6660</v>
      </c>
      <c r="K998" s="62">
        <v>1460</v>
      </c>
      <c r="L998" s="100" t="s">
        <v>985</v>
      </c>
      <c r="M998" s="5" t="s">
        <v>452</v>
      </c>
      <c r="N998" s="34" t="s">
        <v>464</v>
      </c>
      <c r="O998" s="5" t="s">
        <v>1111</v>
      </c>
      <c r="P998" s="5" t="s">
        <v>597</v>
      </c>
      <c r="Q998" s="5" t="s">
        <v>1112</v>
      </c>
      <c r="R998" s="5" t="s">
        <v>1118</v>
      </c>
      <c r="S998" s="5" t="s">
        <v>1114</v>
      </c>
      <c r="T998" s="5" t="s">
        <v>445</v>
      </c>
      <c r="U998" s="5"/>
      <c r="V998" s="5"/>
      <c r="W998" s="5"/>
      <c r="X998" s="5"/>
      <c r="Y998" s="5"/>
      <c r="Z998" s="5"/>
      <c r="AA998" s="5"/>
    </row>
    <row r="999" spans="5:27" customFormat="1">
      <c r="E999" s="88"/>
      <c r="F999" s="36" t="s">
        <v>309</v>
      </c>
      <c r="G999" s="5" t="s">
        <v>310</v>
      </c>
      <c r="H999" s="5"/>
      <c r="I999" s="62">
        <v>-3416400</v>
      </c>
      <c r="J999" s="62">
        <v>-2340</v>
      </c>
      <c r="K999" s="62">
        <v>1460</v>
      </c>
      <c r="L999" s="100" t="s">
        <v>914</v>
      </c>
      <c r="M999" s="5" t="s">
        <v>452</v>
      </c>
      <c r="N999" s="34" t="s">
        <v>464</v>
      </c>
      <c r="O999" s="5" t="s">
        <v>972</v>
      </c>
      <c r="P999" s="5" t="s">
        <v>597</v>
      </c>
      <c r="Q999" s="5" t="s">
        <v>973</v>
      </c>
      <c r="R999" s="5" t="s">
        <v>976</v>
      </c>
      <c r="S999" s="5" t="s">
        <v>975</v>
      </c>
      <c r="T999" s="5" t="s">
        <v>445</v>
      </c>
      <c r="U999" s="5"/>
      <c r="V999" s="5"/>
      <c r="W999" s="5"/>
      <c r="X999" s="5"/>
      <c r="Y999" s="5"/>
      <c r="Z999" s="5"/>
      <c r="AA999" s="5"/>
    </row>
    <row r="1000" spans="5:27" customFormat="1">
      <c r="E1000" s="88"/>
      <c r="F1000" s="36" t="s">
        <v>309</v>
      </c>
      <c r="G1000" s="5" t="s">
        <v>310</v>
      </c>
      <c r="H1000" s="5"/>
      <c r="I1000" s="62">
        <v>-6971500</v>
      </c>
      <c r="J1000" s="62">
        <v>-4775</v>
      </c>
      <c r="K1000" s="62">
        <v>1460</v>
      </c>
      <c r="L1000" s="100" t="s">
        <v>985</v>
      </c>
      <c r="M1000" s="5" t="s">
        <v>452</v>
      </c>
      <c r="N1000" s="34" t="s">
        <v>464</v>
      </c>
      <c r="O1000" s="5" t="s">
        <v>1111</v>
      </c>
      <c r="P1000" s="5" t="s">
        <v>597</v>
      </c>
      <c r="Q1000" s="5" t="s">
        <v>1112</v>
      </c>
      <c r="R1000" s="5" t="s">
        <v>1115</v>
      </c>
      <c r="S1000" s="5" t="s">
        <v>1114</v>
      </c>
      <c r="T1000" s="5" t="s">
        <v>445</v>
      </c>
      <c r="U1000" s="5"/>
      <c r="V1000" s="5"/>
      <c r="W1000" s="5"/>
      <c r="X1000" s="5"/>
      <c r="Y1000" s="5"/>
      <c r="Z1000" s="5"/>
      <c r="AA1000" s="5"/>
    </row>
    <row r="1001" spans="5:27" customFormat="1">
      <c r="E1001" s="88"/>
      <c r="F1001" s="36" t="s">
        <v>309</v>
      </c>
      <c r="G1001" s="5" t="s">
        <v>310</v>
      </c>
      <c r="H1001" s="5"/>
      <c r="I1001" s="62">
        <v>-1349000</v>
      </c>
      <c r="J1001" s="62">
        <v>-950</v>
      </c>
      <c r="K1001" s="62">
        <v>1420</v>
      </c>
      <c r="L1001" s="100" t="s">
        <v>989</v>
      </c>
      <c r="M1001" s="5" t="s">
        <v>452</v>
      </c>
      <c r="N1001" s="34" t="s">
        <v>464</v>
      </c>
      <c r="O1001" s="5" t="s">
        <v>1136</v>
      </c>
      <c r="P1001" s="5" t="s">
        <v>597</v>
      </c>
      <c r="Q1001" s="5" t="s">
        <v>1137</v>
      </c>
      <c r="R1001" s="5" t="s">
        <v>1143</v>
      </c>
      <c r="S1001" s="5" t="s">
        <v>1139</v>
      </c>
      <c r="T1001" s="5" t="s">
        <v>445</v>
      </c>
      <c r="U1001" s="5"/>
      <c r="V1001" s="5"/>
      <c r="W1001" s="5"/>
      <c r="X1001" s="5"/>
      <c r="Y1001" s="5"/>
      <c r="Z1001" s="5"/>
      <c r="AA1001" s="5"/>
    </row>
    <row r="1002" spans="5:27" customFormat="1">
      <c r="E1002" s="88"/>
      <c r="F1002" s="36" t="s">
        <v>309</v>
      </c>
      <c r="G1002" s="5" t="s">
        <v>310</v>
      </c>
      <c r="H1002" s="5"/>
      <c r="I1002" s="62">
        <v>-8832400</v>
      </c>
      <c r="J1002" s="62">
        <v>-6220</v>
      </c>
      <c r="K1002" s="62">
        <v>1420</v>
      </c>
      <c r="L1002" s="100" t="s">
        <v>1030</v>
      </c>
      <c r="M1002" s="5" t="s">
        <v>452</v>
      </c>
      <c r="N1002" s="34" t="s">
        <v>464</v>
      </c>
      <c r="O1002" s="5" t="s">
        <v>1144</v>
      </c>
      <c r="P1002" s="5" t="s">
        <v>597</v>
      </c>
      <c r="Q1002" s="5" t="s">
        <v>1145</v>
      </c>
      <c r="R1002" s="5" t="s">
        <v>1146</v>
      </c>
      <c r="S1002" s="5" t="s">
        <v>1147</v>
      </c>
      <c r="T1002" s="5" t="s">
        <v>445</v>
      </c>
      <c r="U1002" s="5"/>
      <c r="V1002" s="5"/>
      <c r="W1002" s="5"/>
      <c r="X1002" s="5"/>
      <c r="Y1002" s="5"/>
      <c r="Z1002" s="5"/>
      <c r="AA1002" s="5"/>
    </row>
    <row r="1003" spans="5:27" customFormat="1">
      <c r="E1003" s="88"/>
      <c r="F1003" s="36" t="s">
        <v>309</v>
      </c>
      <c r="G1003" s="5" t="s">
        <v>310</v>
      </c>
      <c r="H1003" s="5"/>
      <c r="I1003" s="62">
        <v>-5694000</v>
      </c>
      <c r="J1003" s="62">
        <v>-3900</v>
      </c>
      <c r="K1003" s="62">
        <v>1460</v>
      </c>
      <c r="L1003" s="100" t="s">
        <v>914</v>
      </c>
      <c r="M1003" s="5" t="s">
        <v>452</v>
      </c>
      <c r="N1003" s="34" t="s">
        <v>464</v>
      </c>
      <c r="O1003" s="5" t="s">
        <v>963</v>
      </c>
      <c r="P1003" s="5" t="s">
        <v>597</v>
      </c>
      <c r="Q1003" s="5" t="s">
        <v>964</v>
      </c>
      <c r="R1003" s="5" t="s">
        <v>965</v>
      </c>
      <c r="S1003" s="5" t="s">
        <v>966</v>
      </c>
      <c r="T1003" s="5" t="s">
        <v>445</v>
      </c>
      <c r="U1003" s="5"/>
      <c r="V1003" s="5"/>
      <c r="W1003" s="5"/>
      <c r="X1003" s="5"/>
      <c r="Y1003" s="5"/>
      <c r="Z1003" s="5"/>
      <c r="AA1003" s="5"/>
    </row>
    <row r="1004" spans="5:27" customFormat="1">
      <c r="E1004" s="88"/>
      <c r="F1004" s="36" t="s">
        <v>309</v>
      </c>
      <c r="G1004" s="5" t="s">
        <v>310</v>
      </c>
      <c r="H1004" s="5"/>
      <c r="I1004" s="62">
        <v>-144407575</v>
      </c>
      <c r="J1004" s="62">
        <v>-111082.75</v>
      </c>
      <c r="K1004" s="62">
        <v>1300</v>
      </c>
      <c r="L1004" s="100" t="s">
        <v>441</v>
      </c>
      <c r="M1004" s="5"/>
      <c r="N1004" s="34" t="s">
        <v>464</v>
      </c>
      <c r="O1004" s="5"/>
      <c r="P1004" s="5"/>
      <c r="Q1004" s="5" t="s">
        <v>591</v>
      </c>
      <c r="R1004" s="5" t="s">
        <v>591</v>
      </c>
      <c r="S1004" s="5" t="s">
        <v>592</v>
      </c>
      <c r="T1004" s="5" t="s">
        <v>445</v>
      </c>
      <c r="U1004" s="5"/>
      <c r="V1004" s="5"/>
      <c r="W1004" s="5"/>
      <c r="X1004" s="5"/>
      <c r="Y1004" s="5"/>
      <c r="Z1004" s="5"/>
      <c r="AA1004" s="5"/>
    </row>
    <row r="1005" spans="5:27" customFormat="1">
      <c r="E1005" s="88"/>
      <c r="F1005" s="36" t="s">
        <v>314</v>
      </c>
      <c r="G1005" s="5" t="s">
        <v>315</v>
      </c>
      <c r="H1005" s="5"/>
      <c r="I1005" s="62">
        <v>140000</v>
      </c>
      <c r="J1005" s="62">
        <v>100</v>
      </c>
      <c r="K1005" s="62">
        <v>1400</v>
      </c>
      <c r="L1005" s="100" t="s">
        <v>813</v>
      </c>
      <c r="M1005" s="5" t="s">
        <v>452</v>
      </c>
      <c r="N1005" s="34" t="s">
        <v>442</v>
      </c>
      <c r="O1005" s="5" t="s">
        <v>830</v>
      </c>
      <c r="P1005" s="5" t="s">
        <v>597</v>
      </c>
      <c r="Q1005" s="5" t="s">
        <v>831</v>
      </c>
      <c r="R1005" s="5" t="s">
        <v>832</v>
      </c>
      <c r="S1005" s="5" t="s">
        <v>833</v>
      </c>
      <c r="T1005" s="5" t="s">
        <v>445</v>
      </c>
      <c r="U1005" s="5"/>
      <c r="V1005" s="5"/>
      <c r="W1005" s="5"/>
      <c r="X1005" s="5"/>
      <c r="Y1005" s="5"/>
      <c r="Z1005" s="5"/>
      <c r="AA1005" s="5"/>
    </row>
    <row r="1006" spans="5:27" customFormat="1">
      <c r="E1006" s="88"/>
      <c r="F1006" s="36" t="s">
        <v>316</v>
      </c>
      <c r="G1006" s="5" t="s">
        <v>317</v>
      </c>
      <c r="H1006" s="5"/>
      <c r="I1006" s="62">
        <v>91340</v>
      </c>
      <c r="J1006" s="62">
        <v>64.323943661971796</v>
      </c>
      <c r="K1006" s="62">
        <v>1420</v>
      </c>
      <c r="L1006" s="100" t="s">
        <v>1030</v>
      </c>
      <c r="M1006" s="5" t="s">
        <v>452</v>
      </c>
      <c r="N1006" s="34" t="s">
        <v>464</v>
      </c>
      <c r="O1006" s="5" t="s">
        <v>1097</v>
      </c>
      <c r="P1006" s="5" t="s">
        <v>597</v>
      </c>
      <c r="Q1006" s="5" t="s">
        <v>1098</v>
      </c>
      <c r="R1006" s="5" t="s">
        <v>1103</v>
      </c>
      <c r="S1006" s="5" t="s">
        <v>1100</v>
      </c>
      <c r="T1006" s="5" t="s">
        <v>445</v>
      </c>
      <c r="U1006" s="5"/>
      <c r="V1006" s="5"/>
      <c r="W1006" s="5"/>
      <c r="X1006" s="5"/>
      <c r="Y1006" s="5"/>
      <c r="Z1006" s="5"/>
      <c r="AA1006" s="5"/>
    </row>
    <row r="1007" spans="5:27" customFormat="1">
      <c r="E1007" s="88"/>
      <c r="F1007" s="36" t="s">
        <v>457</v>
      </c>
      <c r="G1007" s="5" t="s">
        <v>458</v>
      </c>
      <c r="H1007" s="5"/>
      <c r="I1007" s="62">
        <v>0</v>
      </c>
      <c r="J1007" s="62">
        <v>4.4999999999999997E-3</v>
      </c>
      <c r="K1007" s="62">
        <v>1</v>
      </c>
      <c r="L1007" s="100" t="s">
        <v>451</v>
      </c>
      <c r="M1007" s="5" t="s">
        <v>452</v>
      </c>
      <c r="N1007" s="34" t="s">
        <v>442</v>
      </c>
      <c r="O1007" s="5" t="s">
        <v>453</v>
      </c>
      <c r="P1007" s="5" t="s">
        <v>454</v>
      </c>
      <c r="Q1007" s="5" t="s">
        <v>455</v>
      </c>
      <c r="R1007" s="5"/>
      <c r="S1007" s="5" t="s">
        <v>456</v>
      </c>
      <c r="T1007" s="5" t="s">
        <v>445</v>
      </c>
      <c r="U1007" s="5"/>
      <c r="V1007" s="5"/>
      <c r="W1007" s="5"/>
      <c r="X1007" s="5"/>
      <c r="Y1007" s="5"/>
      <c r="Z1007" s="5"/>
      <c r="AA1007" s="5"/>
    </row>
    <row r="1008" spans="5:27" customFormat="1">
      <c r="E1008" s="88"/>
      <c r="F1008" s="36" t="s">
        <v>457</v>
      </c>
      <c r="G1008" s="5" t="s">
        <v>458</v>
      </c>
      <c r="H1008" s="5"/>
      <c r="I1008" s="62">
        <v>6.1</v>
      </c>
      <c r="J1008" s="62">
        <v>0</v>
      </c>
      <c r="K1008" s="62">
        <v>1</v>
      </c>
      <c r="L1008" s="100" t="s">
        <v>451</v>
      </c>
      <c r="M1008" s="5" t="s">
        <v>452</v>
      </c>
      <c r="N1008" s="34" t="s">
        <v>442</v>
      </c>
      <c r="O1008" s="5" t="s">
        <v>453</v>
      </c>
      <c r="P1008" s="5" t="s">
        <v>454</v>
      </c>
      <c r="Q1008" s="5" t="s">
        <v>455</v>
      </c>
      <c r="R1008" s="5"/>
      <c r="S1008" s="5" t="s">
        <v>456</v>
      </c>
      <c r="T1008" s="5" t="s">
        <v>445</v>
      </c>
      <c r="U1008" s="5"/>
      <c r="V1008" s="5"/>
      <c r="W1008" s="5"/>
      <c r="X1008" s="5"/>
      <c r="Y1008" s="5"/>
      <c r="Z1008" s="5"/>
      <c r="AA1008" s="5"/>
    </row>
    <row r="1009" spans="5:27" customFormat="1">
      <c r="E1009" s="88"/>
      <c r="F1009" s="36" t="s">
        <v>457</v>
      </c>
      <c r="G1009" s="5" t="s">
        <v>458</v>
      </c>
      <c r="H1009" s="5"/>
      <c r="I1009" s="62">
        <v>6</v>
      </c>
      <c r="J1009" s="62">
        <v>0</v>
      </c>
      <c r="K1009" s="62">
        <v>1</v>
      </c>
      <c r="L1009" s="100" t="s">
        <v>459</v>
      </c>
      <c r="M1009" s="5" t="s">
        <v>452</v>
      </c>
      <c r="N1009" s="34" t="s">
        <v>442</v>
      </c>
      <c r="O1009" s="5" t="s">
        <v>460</v>
      </c>
      <c r="P1009" s="5" t="s">
        <v>454</v>
      </c>
      <c r="Q1009" s="5" t="s">
        <v>461</v>
      </c>
      <c r="R1009" s="5"/>
      <c r="S1009" s="5" t="s">
        <v>462</v>
      </c>
      <c r="T1009" s="5" t="s">
        <v>445</v>
      </c>
      <c r="U1009" s="5"/>
      <c r="V1009" s="5"/>
      <c r="W1009" s="5"/>
      <c r="X1009" s="5"/>
      <c r="Y1009" s="5"/>
      <c r="Z1009" s="5"/>
      <c r="AA1009" s="5"/>
    </row>
    <row r="1010" spans="5:27" customFormat="1">
      <c r="E1010" s="88"/>
      <c r="F1010" s="36" t="s">
        <v>457</v>
      </c>
      <c r="G1010" s="5" t="s">
        <v>458</v>
      </c>
      <c r="H1010" s="5"/>
      <c r="I1010" s="62">
        <v>0</v>
      </c>
      <c r="J1010" s="62">
        <v>4.5999999999999999E-3</v>
      </c>
      <c r="K1010" s="62">
        <v>1</v>
      </c>
      <c r="L1010" s="100" t="s">
        <v>459</v>
      </c>
      <c r="M1010" s="5" t="s">
        <v>452</v>
      </c>
      <c r="N1010" s="34" t="s">
        <v>442</v>
      </c>
      <c r="O1010" s="5" t="s">
        <v>460</v>
      </c>
      <c r="P1010" s="5" t="s">
        <v>454</v>
      </c>
      <c r="Q1010" s="5" t="s">
        <v>461</v>
      </c>
      <c r="R1010" s="5"/>
      <c r="S1010" s="5" t="s">
        <v>462</v>
      </c>
      <c r="T1010" s="5" t="s">
        <v>445</v>
      </c>
      <c r="U1010" s="5"/>
      <c r="V1010" s="5"/>
      <c r="W1010" s="5"/>
      <c r="X1010" s="5"/>
      <c r="Y1010" s="5"/>
      <c r="Z1010" s="5"/>
      <c r="AA1010" s="5"/>
    </row>
    <row r="1011" spans="5:27" customFormat="1">
      <c r="E1011" s="88"/>
      <c r="F1011" s="36" t="s">
        <v>457</v>
      </c>
      <c r="G1011" s="5" t="s">
        <v>458</v>
      </c>
      <c r="H1011" s="5"/>
      <c r="I1011" s="62">
        <v>0</v>
      </c>
      <c r="J1011" s="62">
        <v>-1E-3</v>
      </c>
      <c r="K1011" s="62">
        <v>1</v>
      </c>
      <c r="L1011" s="100" t="s">
        <v>472</v>
      </c>
      <c r="M1011" s="5" t="s">
        <v>452</v>
      </c>
      <c r="N1011" s="34" t="s">
        <v>442</v>
      </c>
      <c r="O1011" s="5" t="s">
        <v>473</v>
      </c>
      <c r="P1011" s="5" t="s">
        <v>454</v>
      </c>
      <c r="Q1011" s="5" t="s">
        <v>474</v>
      </c>
      <c r="R1011" s="5"/>
      <c r="S1011" s="5" t="s">
        <v>475</v>
      </c>
      <c r="T1011" s="5" t="s">
        <v>445</v>
      </c>
      <c r="U1011" s="5"/>
      <c r="V1011" s="5"/>
      <c r="W1011" s="5"/>
      <c r="X1011" s="5"/>
      <c r="Y1011" s="5"/>
      <c r="Z1011" s="5"/>
      <c r="AA1011" s="5"/>
    </row>
    <row r="1012" spans="5:27" customFormat="1">
      <c r="E1012" s="88"/>
      <c r="F1012" s="36" t="s">
        <v>457</v>
      </c>
      <c r="G1012" s="5" t="s">
        <v>458</v>
      </c>
      <c r="H1012" s="5"/>
      <c r="I1012" s="62">
        <v>-1.4</v>
      </c>
      <c r="J1012" s="62">
        <v>0</v>
      </c>
      <c r="K1012" s="62">
        <v>1</v>
      </c>
      <c r="L1012" s="100" t="s">
        <v>472</v>
      </c>
      <c r="M1012" s="5" t="s">
        <v>452</v>
      </c>
      <c r="N1012" s="34" t="s">
        <v>442</v>
      </c>
      <c r="O1012" s="5" t="s">
        <v>473</v>
      </c>
      <c r="P1012" s="5" t="s">
        <v>454</v>
      </c>
      <c r="Q1012" s="5" t="s">
        <v>474</v>
      </c>
      <c r="R1012" s="5"/>
      <c r="S1012" s="5" t="s">
        <v>475</v>
      </c>
      <c r="T1012" s="5" t="s">
        <v>445</v>
      </c>
      <c r="U1012" s="5"/>
      <c r="V1012" s="5"/>
      <c r="W1012" s="5"/>
      <c r="X1012" s="5"/>
      <c r="Y1012" s="5"/>
      <c r="Z1012" s="5"/>
      <c r="AA1012" s="5"/>
    </row>
    <row r="1013" spans="5:27" customFormat="1">
      <c r="E1013" s="88"/>
      <c r="F1013" s="36" t="s">
        <v>457</v>
      </c>
      <c r="G1013" s="5" t="s">
        <v>458</v>
      </c>
      <c r="H1013" s="5"/>
      <c r="I1013" s="62">
        <v>5.0000000000000001E-4</v>
      </c>
      <c r="J1013" s="62">
        <v>0</v>
      </c>
      <c r="K1013" s="62">
        <v>1</v>
      </c>
      <c r="L1013" s="100" t="s">
        <v>604</v>
      </c>
      <c r="M1013" s="5" t="s">
        <v>452</v>
      </c>
      <c r="N1013" s="34" t="s">
        <v>442</v>
      </c>
      <c r="O1013" s="5" t="s">
        <v>605</v>
      </c>
      <c r="P1013" s="5" t="s">
        <v>597</v>
      </c>
      <c r="Q1013" s="5" t="s">
        <v>606</v>
      </c>
      <c r="R1013" s="5"/>
      <c r="S1013" s="5" t="s">
        <v>607</v>
      </c>
      <c r="T1013" s="5" t="s">
        <v>445</v>
      </c>
      <c r="U1013" s="5"/>
      <c r="V1013" s="5"/>
      <c r="W1013" s="5"/>
      <c r="X1013" s="5"/>
      <c r="Y1013" s="5"/>
      <c r="Z1013" s="5"/>
      <c r="AA1013" s="5"/>
    </row>
    <row r="1014" spans="5:27" customFormat="1">
      <c r="E1014" s="88"/>
      <c r="F1014" s="36" t="s">
        <v>457</v>
      </c>
      <c r="G1014" s="5" t="s">
        <v>458</v>
      </c>
      <c r="H1014" s="5"/>
      <c r="I1014" s="62">
        <v>-3.7</v>
      </c>
      <c r="J1014" s="62">
        <v>0</v>
      </c>
      <c r="K1014" s="62">
        <v>1</v>
      </c>
      <c r="L1014" s="100" t="s">
        <v>608</v>
      </c>
      <c r="M1014" s="5" t="s">
        <v>452</v>
      </c>
      <c r="N1014" s="34" t="s">
        <v>442</v>
      </c>
      <c r="O1014" s="5" t="s">
        <v>609</v>
      </c>
      <c r="P1014" s="5" t="s">
        <v>597</v>
      </c>
      <c r="Q1014" s="5" t="s">
        <v>610</v>
      </c>
      <c r="R1014" s="5"/>
      <c r="S1014" s="5" t="s">
        <v>611</v>
      </c>
      <c r="T1014" s="5" t="s">
        <v>445</v>
      </c>
      <c r="U1014" s="5"/>
      <c r="V1014" s="5"/>
      <c r="W1014" s="5"/>
      <c r="X1014" s="5"/>
      <c r="Y1014" s="5"/>
      <c r="Z1014" s="5"/>
      <c r="AA1014" s="5"/>
    </row>
    <row r="1015" spans="5:27" customFormat="1">
      <c r="E1015" s="88"/>
      <c r="F1015" s="36" t="s">
        <v>457</v>
      </c>
      <c r="G1015" s="5" t="s">
        <v>458</v>
      </c>
      <c r="H1015" s="5"/>
      <c r="I1015" s="62">
        <v>0</v>
      </c>
      <c r="J1015" s="62">
        <v>-2.5999999999999999E-3</v>
      </c>
      <c r="K1015" s="62">
        <v>1</v>
      </c>
      <c r="L1015" s="100" t="s">
        <v>608</v>
      </c>
      <c r="M1015" s="5" t="s">
        <v>452</v>
      </c>
      <c r="N1015" s="34" t="s">
        <v>442</v>
      </c>
      <c r="O1015" s="5" t="s">
        <v>609</v>
      </c>
      <c r="P1015" s="5" t="s">
        <v>597</v>
      </c>
      <c r="Q1015" s="5" t="s">
        <v>610</v>
      </c>
      <c r="R1015" s="5"/>
      <c r="S1015" s="5" t="s">
        <v>611</v>
      </c>
      <c r="T1015" s="5" t="s">
        <v>445</v>
      </c>
      <c r="U1015" s="5"/>
      <c r="V1015" s="5"/>
      <c r="W1015" s="5"/>
      <c r="X1015" s="5"/>
      <c r="Y1015" s="5"/>
      <c r="Z1015" s="5"/>
      <c r="AA1015" s="5"/>
    </row>
    <row r="1016" spans="5:27" customFormat="1">
      <c r="E1016" s="88"/>
      <c r="F1016" s="36" t="s">
        <v>457</v>
      </c>
      <c r="G1016" s="5" t="s">
        <v>458</v>
      </c>
      <c r="H1016" s="5"/>
      <c r="I1016" s="62">
        <v>-2</v>
      </c>
      <c r="J1016" s="62">
        <v>0</v>
      </c>
      <c r="K1016" s="62">
        <v>1</v>
      </c>
      <c r="L1016" s="100" t="s">
        <v>813</v>
      </c>
      <c r="M1016" s="5" t="s">
        <v>452</v>
      </c>
      <c r="N1016" s="34" t="s">
        <v>442</v>
      </c>
      <c r="O1016" s="5" t="s">
        <v>814</v>
      </c>
      <c r="P1016" s="5" t="s">
        <v>597</v>
      </c>
      <c r="Q1016" s="5" t="s">
        <v>815</v>
      </c>
      <c r="R1016" s="5"/>
      <c r="S1016" s="5" t="s">
        <v>816</v>
      </c>
      <c r="T1016" s="5" t="s">
        <v>445</v>
      </c>
      <c r="U1016" s="5"/>
      <c r="V1016" s="5"/>
      <c r="W1016" s="5"/>
      <c r="X1016" s="5"/>
      <c r="Y1016" s="5"/>
      <c r="Z1016" s="5"/>
      <c r="AA1016" s="5"/>
    </row>
    <row r="1017" spans="5:27" customFormat="1">
      <c r="E1017" s="88"/>
      <c r="F1017" s="36" t="s">
        <v>457</v>
      </c>
      <c r="G1017" s="5" t="s">
        <v>458</v>
      </c>
      <c r="H1017" s="5"/>
      <c r="I1017" s="62">
        <v>0</v>
      </c>
      <c r="J1017" s="62">
        <v>-1.4E-3</v>
      </c>
      <c r="K1017" s="62">
        <v>1</v>
      </c>
      <c r="L1017" s="100" t="s">
        <v>813</v>
      </c>
      <c r="M1017" s="5" t="s">
        <v>452</v>
      </c>
      <c r="N1017" s="34" t="s">
        <v>442</v>
      </c>
      <c r="O1017" s="5" t="s">
        <v>814</v>
      </c>
      <c r="P1017" s="5" t="s">
        <v>597</v>
      </c>
      <c r="Q1017" s="5" t="s">
        <v>815</v>
      </c>
      <c r="R1017" s="5"/>
      <c r="S1017" s="5" t="s">
        <v>816</v>
      </c>
      <c r="T1017" s="5" t="s">
        <v>445</v>
      </c>
      <c r="U1017" s="5"/>
      <c r="V1017" s="5"/>
      <c r="W1017" s="5"/>
      <c r="X1017" s="5"/>
      <c r="Y1017" s="5"/>
      <c r="Z1017" s="5"/>
      <c r="AA1017" s="5"/>
    </row>
    <row r="1018" spans="5:27" customFormat="1">
      <c r="E1018" s="88"/>
      <c r="F1018" s="36" t="s">
        <v>457</v>
      </c>
      <c r="G1018" s="5" t="s">
        <v>458</v>
      </c>
      <c r="H1018" s="5"/>
      <c r="I1018" s="62">
        <v>0</v>
      </c>
      <c r="J1018" s="62">
        <v>3.3E-3</v>
      </c>
      <c r="K1018" s="62">
        <v>1</v>
      </c>
      <c r="L1018" s="100" t="s">
        <v>854</v>
      </c>
      <c r="M1018" s="5" t="s">
        <v>452</v>
      </c>
      <c r="N1018" s="34" t="s">
        <v>442</v>
      </c>
      <c r="O1018" s="5" t="s">
        <v>855</v>
      </c>
      <c r="P1018" s="5" t="s">
        <v>597</v>
      </c>
      <c r="Q1018" s="5" t="s">
        <v>856</v>
      </c>
      <c r="R1018" s="5"/>
      <c r="S1018" s="5" t="s">
        <v>857</v>
      </c>
      <c r="T1018" s="5" t="s">
        <v>445</v>
      </c>
      <c r="U1018" s="5"/>
      <c r="V1018" s="5"/>
      <c r="W1018" s="5"/>
      <c r="X1018" s="5"/>
      <c r="Y1018" s="5"/>
      <c r="Z1018" s="5"/>
      <c r="AA1018" s="5"/>
    </row>
    <row r="1019" spans="5:27" customFormat="1">
      <c r="E1019" s="88"/>
      <c r="F1019" s="36" t="s">
        <v>457</v>
      </c>
      <c r="G1019" s="5" t="s">
        <v>458</v>
      </c>
      <c r="H1019" s="5"/>
      <c r="I1019" s="62">
        <v>5</v>
      </c>
      <c r="J1019" s="62">
        <v>0</v>
      </c>
      <c r="K1019" s="62">
        <v>1</v>
      </c>
      <c r="L1019" s="100" t="s">
        <v>854</v>
      </c>
      <c r="M1019" s="5" t="s">
        <v>452</v>
      </c>
      <c r="N1019" s="34" t="s">
        <v>442</v>
      </c>
      <c r="O1019" s="5" t="s">
        <v>855</v>
      </c>
      <c r="P1019" s="5" t="s">
        <v>597</v>
      </c>
      <c r="Q1019" s="5" t="s">
        <v>856</v>
      </c>
      <c r="R1019" s="5"/>
      <c r="S1019" s="5" t="s">
        <v>857</v>
      </c>
      <c r="T1019" s="5" t="s">
        <v>445</v>
      </c>
      <c r="U1019" s="5"/>
      <c r="V1019" s="5"/>
      <c r="W1019" s="5"/>
      <c r="X1019" s="5"/>
      <c r="Y1019" s="5"/>
      <c r="Z1019" s="5"/>
      <c r="AA1019" s="5"/>
    </row>
    <row r="1020" spans="5:27" customFormat="1">
      <c r="E1020" s="88"/>
      <c r="F1020" s="36" t="s">
        <v>457</v>
      </c>
      <c r="G1020" s="5" t="s">
        <v>458</v>
      </c>
      <c r="H1020" s="5"/>
      <c r="I1020" s="62">
        <v>-0.6</v>
      </c>
      <c r="J1020" s="62">
        <v>0</v>
      </c>
      <c r="K1020" s="62">
        <v>1</v>
      </c>
      <c r="L1020" s="100" t="s">
        <v>914</v>
      </c>
      <c r="M1020" s="5" t="s">
        <v>452</v>
      </c>
      <c r="N1020" s="34" t="s">
        <v>442</v>
      </c>
      <c r="O1020" s="5" t="s">
        <v>915</v>
      </c>
      <c r="P1020" s="5" t="s">
        <v>597</v>
      </c>
      <c r="Q1020" s="5" t="s">
        <v>916</v>
      </c>
      <c r="R1020" s="5"/>
      <c r="S1020" s="5" t="s">
        <v>917</v>
      </c>
      <c r="T1020" s="5" t="s">
        <v>445</v>
      </c>
      <c r="U1020" s="5"/>
      <c r="V1020" s="5"/>
      <c r="W1020" s="5"/>
      <c r="X1020" s="5"/>
      <c r="Y1020" s="5"/>
      <c r="Z1020" s="5"/>
      <c r="AA1020" s="5"/>
    </row>
    <row r="1021" spans="5:27" customFormat="1">
      <c r="E1021" s="88"/>
      <c r="F1021" s="36" t="s">
        <v>457</v>
      </c>
      <c r="G1021" s="5" t="s">
        <v>458</v>
      </c>
      <c r="H1021" s="5"/>
      <c r="I1021" s="62">
        <v>0</v>
      </c>
      <c r="J1021" s="62">
        <v>-4.0000000000000002E-4</v>
      </c>
      <c r="K1021" s="62">
        <v>1</v>
      </c>
      <c r="L1021" s="100" t="s">
        <v>914</v>
      </c>
      <c r="M1021" s="5" t="s">
        <v>452</v>
      </c>
      <c r="N1021" s="34" t="s">
        <v>442</v>
      </c>
      <c r="O1021" s="5" t="s">
        <v>915</v>
      </c>
      <c r="P1021" s="5" t="s">
        <v>597</v>
      </c>
      <c r="Q1021" s="5" t="s">
        <v>916</v>
      </c>
      <c r="R1021" s="5"/>
      <c r="S1021" s="5" t="s">
        <v>917</v>
      </c>
      <c r="T1021" s="5" t="s">
        <v>445</v>
      </c>
      <c r="U1021" s="5"/>
      <c r="V1021" s="5"/>
      <c r="W1021" s="5"/>
      <c r="X1021" s="5"/>
      <c r="Y1021" s="5"/>
      <c r="Z1021" s="5"/>
      <c r="AA1021" s="5"/>
    </row>
    <row r="1022" spans="5:27" customFormat="1">
      <c r="E1022" s="88"/>
      <c r="F1022" s="36" t="s">
        <v>457</v>
      </c>
      <c r="G1022" s="5" t="s">
        <v>458</v>
      </c>
      <c r="H1022" s="5"/>
      <c r="I1022" s="62">
        <v>0</v>
      </c>
      <c r="J1022" s="62">
        <v>-1.5E-3</v>
      </c>
      <c r="K1022" s="62">
        <v>1</v>
      </c>
      <c r="L1022" s="100" t="s">
        <v>918</v>
      </c>
      <c r="M1022" s="5" t="s">
        <v>452</v>
      </c>
      <c r="N1022" s="34" t="s">
        <v>442</v>
      </c>
      <c r="O1022" s="5" t="s">
        <v>919</v>
      </c>
      <c r="P1022" s="5" t="s">
        <v>597</v>
      </c>
      <c r="Q1022" s="5" t="s">
        <v>920</v>
      </c>
      <c r="R1022" s="5"/>
      <c r="S1022" s="5" t="s">
        <v>921</v>
      </c>
      <c r="T1022" s="5" t="s">
        <v>445</v>
      </c>
      <c r="U1022" s="5"/>
      <c r="V1022" s="5"/>
      <c r="W1022" s="5"/>
      <c r="X1022" s="5"/>
      <c r="Y1022" s="5"/>
      <c r="Z1022" s="5"/>
      <c r="AA1022" s="5"/>
    </row>
    <row r="1023" spans="5:27" customFormat="1">
      <c r="E1023" s="88"/>
      <c r="F1023" s="36" t="s">
        <v>457</v>
      </c>
      <c r="G1023" s="5" t="s">
        <v>458</v>
      </c>
      <c r="H1023" s="5"/>
      <c r="I1023" s="62">
        <v>-2.2000000000000002</v>
      </c>
      <c r="J1023" s="62">
        <v>0</v>
      </c>
      <c r="K1023" s="62">
        <v>1</v>
      </c>
      <c r="L1023" s="100" t="s">
        <v>918</v>
      </c>
      <c r="M1023" s="5" t="s">
        <v>452</v>
      </c>
      <c r="N1023" s="34" t="s">
        <v>442</v>
      </c>
      <c r="O1023" s="5" t="s">
        <v>919</v>
      </c>
      <c r="P1023" s="5" t="s">
        <v>597</v>
      </c>
      <c r="Q1023" s="5" t="s">
        <v>920</v>
      </c>
      <c r="R1023" s="5"/>
      <c r="S1023" s="5" t="s">
        <v>921</v>
      </c>
      <c r="T1023" s="5" t="s">
        <v>445</v>
      </c>
      <c r="U1023" s="5"/>
      <c r="V1023" s="5"/>
      <c r="W1023" s="5"/>
      <c r="X1023" s="5"/>
      <c r="Y1023" s="5"/>
      <c r="Z1023" s="5"/>
      <c r="AA1023" s="5"/>
    </row>
    <row r="1024" spans="5:27" customFormat="1">
      <c r="E1024" s="88"/>
      <c r="F1024" s="36" t="s">
        <v>457</v>
      </c>
      <c r="G1024" s="5" t="s">
        <v>458</v>
      </c>
      <c r="H1024" s="5"/>
      <c r="I1024" s="62">
        <v>-0.6</v>
      </c>
      <c r="J1024" s="62">
        <v>0</v>
      </c>
      <c r="K1024" s="62">
        <v>1</v>
      </c>
      <c r="L1024" s="100" t="s">
        <v>985</v>
      </c>
      <c r="M1024" s="5" t="s">
        <v>452</v>
      </c>
      <c r="N1024" s="34" t="s">
        <v>442</v>
      </c>
      <c r="O1024" s="5" t="s">
        <v>986</v>
      </c>
      <c r="P1024" s="5" t="s">
        <v>597</v>
      </c>
      <c r="Q1024" s="5" t="s">
        <v>987</v>
      </c>
      <c r="R1024" s="5"/>
      <c r="S1024" s="5" t="s">
        <v>988</v>
      </c>
      <c r="T1024" s="5" t="s">
        <v>445</v>
      </c>
      <c r="U1024" s="5"/>
      <c r="V1024" s="5"/>
      <c r="W1024" s="5"/>
      <c r="X1024" s="5"/>
      <c r="Y1024" s="5"/>
      <c r="Z1024" s="5"/>
      <c r="AA1024" s="5"/>
    </row>
    <row r="1025" spans="5:27" customFormat="1">
      <c r="E1025" s="88"/>
      <c r="F1025" s="36" t="s">
        <v>457</v>
      </c>
      <c r="G1025" s="5" t="s">
        <v>458</v>
      </c>
      <c r="H1025" s="5"/>
      <c r="I1025" s="62">
        <v>0</v>
      </c>
      <c r="J1025" s="62">
        <v>-4.0000000000000002E-4</v>
      </c>
      <c r="K1025" s="62">
        <v>1</v>
      </c>
      <c r="L1025" s="100" t="s">
        <v>985</v>
      </c>
      <c r="M1025" s="5" t="s">
        <v>452</v>
      </c>
      <c r="N1025" s="34" t="s">
        <v>442</v>
      </c>
      <c r="O1025" s="5" t="s">
        <v>986</v>
      </c>
      <c r="P1025" s="5" t="s">
        <v>597</v>
      </c>
      <c r="Q1025" s="5" t="s">
        <v>987</v>
      </c>
      <c r="R1025" s="5"/>
      <c r="S1025" s="5" t="s">
        <v>988</v>
      </c>
      <c r="T1025" s="5" t="s">
        <v>445</v>
      </c>
      <c r="U1025" s="5"/>
      <c r="V1025" s="5"/>
      <c r="W1025" s="5"/>
      <c r="X1025" s="5"/>
      <c r="Y1025" s="5"/>
      <c r="Z1025" s="5"/>
      <c r="AA1025" s="5"/>
    </row>
    <row r="1026" spans="5:27" customFormat="1">
      <c r="E1026" s="88"/>
      <c r="F1026" s="36" t="s">
        <v>457</v>
      </c>
      <c r="G1026" s="5" t="s">
        <v>458</v>
      </c>
      <c r="H1026" s="5"/>
      <c r="I1026" s="62">
        <v>0</v>
      </c>
      <c r="J1026" s="62">
        <v>3.2000000000000002E-3</v>
      </c>
      <c r="K1026" s="62">
        <v>1</v>
      </c>
      <c r="L1026" s="100" t="s">
        <v>989</v>
      </c>
      <c r="M1026" s="5" t="s">
        <v>452</v>
      </c>
      <c r="N1026" s="34" t="s">
        <v>442</v>
      </c>
      <c r="O1026" s="5" t="s">
        <v>990</v>
      </c>
      <c r="P1026" s="5" t="s">
        <v>597</v>
      </c>
      <c r="Q1026" s="5" t="s">
        <v>991</v>
      </c>
      <c r="R1026" s="5"/>
      <c r="S1026" s="5" t="s">
        <v>992</v>
      </c>
      <c r="T1026" s="5" t="s">
        <v>445</v>
      </c>
      <c r="U1026" s="5"/>
      <c r="V1026" s="5"/>
      <c r="W1026" s="5"/>
      <c r="X1026" s="5"/>
      <c r="Y1026" s="5"/>
      <c r="Z1026" s="5"/>
      <c r="AA1026" s="5"/>
    </row>
    <row r="1027" spans="5:27" customFormat="1">
      <c r="E1027" s="88"/>
      <c r="F1027" s="36" t="s">
        <v>457</v>
      </c>
      <c r="G1027" s="5" t="s">
        <v>458</v>
      </c>
      <c r="H1027" s="5"/>
      <c r="I1027" s="62">
        <v>4.5999999999999996</v>
      </c>
      <c r="J1027" s="62">
        <v>0</v>
      </c>
      <c r="K1027" s="62">
        <v>1</v>
      </c>
      <c r="L1027" s="100" t="s">
        <v>989</v>
      </c>
      <c r="M1027" s="5" t="s">
        <v>452</v>
      </c>
      <c r="N1027" s="34" t="s">
        <v>442</v>
      </c>
      <c r="O1027" s="5" t="s">
        <v>990</v>
      </c>
      <c r="P1027" s="5" t="s">
        <v>597</v>
      </c>
      <c r="Q1027" s="5" t="s">
        <v>991</v>
      </c>
      <c r="R1027" s="5"/>
      <c r="S1027" s="5" t="s">
        <v>992</v>
      </c>
      <c r="T1027" s="5" t="s">
        <v>445</v>
      </c>
      <c r="U1027" s="5"/>
      <c r="V1027" s="5"/>
      <c r="W1027" s="5"/>
      <c r="X1027" s="5"/>
      <c r="Y1027" s="5"/>
      <c r="Z1027" s="5"/>
      <c r="AA1027" s="5"/>
    </row>
    <row r="1028" spans="5:27" customFormat="1">
      <c r="E1028" s="88"/>
      <c r="F1028" s="36" t="s">
        <v>318</v>
      </c>
      <c r="G1028" s="5" t="s">
        <v>319</v>
      </c>
      <c r="H1028" s="5"/>
      <c r="I1028" s="62">
        <v>168980</v>
      </c>
      <c r="J1028" s="62">
        <v>119</v>
      </c>
      <c r="K1028" s="62">
        <v>1420</v>
      </c>
      <c r="L1028" s="100" t="s">
        <v>1013</v>
      </c>
      <c r="M1028" s="5" t="s">
        <v>452</v>
      </c>
      <c r="N1028" s="34" t="s">
        <v>464</v>
      </c>
      <c r="O1028" s="5" t="s">
        <v>1014</v>
      </c>
      <c r="P1028" s="5" t="s">
        <v>597</v>
      </c>
      <c r="Q1028" s="5" t="s">
        <v>1015</v>
      </c>
      <c r="R1028" s="5" t="s">
        <v>1018</v>
      </c>
      <c r="S1028" s="5" t="s">
        <v>1017</v>
      </c>
      <c r="T1028" s="5" t="s">
        <v>445</v>
      </c>
      <c r="U1028" s="5"/>
      <c r="V1028" s="5"/>
      <c r="W1028" s="5"/>
      <c r="X1028" s="5"/>
      <c r="Y1028" s="5"/>
      <c r="Z1028" s="5"/>
      <c r="AA1028" s="5"/>
    </row>
    <row r="1029" spans="5:27" customFormat="1">
      <c r="E1029" s="88"/>
      <c r="F1029" s="36" t="s">
        <v>320</v>
      </c>
      <c r="G1029" s="5" t="s">
        <v>321</v>
      </c>
      <c r="H1029" s="5"/>
      <c r="I1029" s="62">
        <v>40283.699999999997</v>
      </c>
      <c r="J1029" s="62">
        <v>28.57</v>
      </c>
      <c r="K1029" s="62">
        <v>1410</v>
      </c>
      <c r="L1029" s="100" t="s">
        <v>604</v>
      </c>
      <c r="M1029" s="5" t="s">
        <v>452</v>
      </c>
      <c r="N1029" s="34" t="s">
        <v>464</v>
      </c>
      <c r="O1029" s="5" t="s">
        <v>714</v>
      </c>
      <c r="P1029" s="5" t="s">
        <v>597</v>
      </c>
      <c r="Q1029" s="5" t="s">
        <v>715</v>
      </c>
      <c r="R1029" s="5" t="s">
        <v>720</v>
      </c>
      <c r="S1029" s="5" t="s">
        <v>717</v>
      </c>
      <c r="T1029" s="5" t="s">
        <v>445</v>
      </c>
      <c r="U1029" s="5"/>
      <c r="V1029" s="5"/>
      <c r="W1029" s="5"/>
      <c r="X1029" s="5"/>
      <c r="Y1029" s="5"/>
      <c r="Z1029" s="5"/>
      <c r="AA1029" s="5"/>
    </row>
    <row r="1030" spans="5:27" customFormat="1">
      <c r="E1030" s="88"/>
      <c r="F1030" s="36" t="s">
        <v>320</v>
      </c>
      <c r="G1030" s="5" t="s">
        <v>321</v>
      </c>
      <c r="H1030" s="5"/>
      <c r="I1030" s="62">
        <v>44189.4</v>
      </c>
      <c r="J1030" s="62">
        <v>31.34</v>
      </c>
      <c r="K1030" s="62">
        <v>1410</v>
      </c>
      <c r="L1030" s="100" t="s">
        <v>604</v>
      </c>
      <c r="M1030" s="5" t="s">
        <v>452</v>
      </c>
      <c r="N1030" s="34" t="s">
        <v>464</v>
      </c>
      <c r="O1030" s="5" t="s">
        <v>714</v>
      </c>
      <c r="P1030" s="5" t="s">
        <v>597</v>
      </c>
      <c r="Q1030" s="5" t="s">
        <v>715</v>
      </c>
      <c r="R1030" s="5" t="s">
        <v>725</v>
      </c>
      <c r="S1030" s="5" t="s">
        <v>717</v>
      </c>
      <c r="T1030" s="5" t="s">
        <v>445</v>
      </c>
      <c r="U1030" s="5"/>
      <c r="V1030" s="5"/>
      <c r="W1030" s="5"/>
      <c r="X1030" s="5"/>
      <c r="Y1030" s="5"/>
      <c r="Z1030" s="5"/>
      <c r="AA1030" s="5"/>
    </row>
    <row r="1031" spans="5:27" customFormat="1">
      <c r="E1031" s="88"/>
      <c r="F1031" s="36" t="s">
        <v>320</v>
      </c>
      <c r="G1031" s="5" t="s">
        <v>321</v>
      </c>
      <c r="H1031" s="5"/>
      <c r="I1031" s="62">
        <v>72276.600000000006</v>
      </c>
      <c r="J1031" s="62">
        <v>51.26</v>
      </c>
      <c r="K1031" s="62">
        <v>1410</v>
      </c>
      <c r="L1031" s="100" t="s">
        <v>604</v>
      </c>
      <c r="M1031" s="5" t="s">
        <v>452</v>
      </c>
      <c r="N1031" s="34" t="s">
        <v>464</v>
      </c>
      <c r="O1031" s="5" t="s">
        <v>714</v>
      </c>
      <c r="P1031" s="5" t="s">
        <v>597</v>
      </c>
      <c r="Q1031" s="5" t="s">
        <v>715</v>
      </c>
      <c r="R1031" s="5" t="s">
        <v>722</v>
      </c>
      <c r="S1031" s="5" t="s">
        <v>717</v>
      </c>
      <c r="T1031" s="5" t="s">
        <v>445</v>
      </c>
      <c r="U1031" s="5"/>
      <c r="V1031" s="5"/>
      <c r="W1031" s="5"/>
      <c r="X1031" s="5"/>
      <c r="Y1031" s="5"/>
      <c r="Z1031" s="5"/>
      <c r="AA1031" s="5"/>
    </row>
    <row r="1032" spans="5:27" customFormat="1">
      <c r="E1032" s="88"/>
      <c r="F1032" s="36" t="s">
        <v>320</v>
      </c>
      <c r="G1032" s="5" t="s">
        <v>321</v>
      </c>
      <c r="H1032" s="5"/>
      <c r="I1032" s="62">
        <v>121749.4</v>
      </c>
      <c r="J1032" s="62">
        <v>83.39</v>
      </c>
      <c r="K1032" s="62">
        <v>1460</v>
      </c>
      <c r="L1032" s="100" t="s">
        <v>914</v>
      </c>
      <c r="M1032" s="5" t="s">
        <v>452</v>
      </c>
      <c r="N1032" s="34" t="s">
        <v>464</v>
      </c>
      <c r="O1032" s="5" t="s">
        <v>953</v>
      </c>
      <c r="P1032" s="5" t="s">
        <v>597</v>
      </c>
      <c r="Q1032" s="5" t="s">
        <v>954</v>
      </c>
      <c r="R1032" s="5" t="s">
        <v>955</v>
      </c>
      <c r="S1032" s="5" t="s">
        <v>956</v>
      </c>
      <c r="T1032" s="5" t="s">
        <v>445</v>
      </c>
      <c r="U1032" s="5"/>
      <c r="V1032" s="5"/>
      <c r="W1032" s="5"/>
      <c r="X1032" s="5"/>
      <c r="Y1032" s="5"/>
      <c r="Z1032" s="5"/>
      <c r="AA1032" s="5"/>
    </row>
    <row r="1033" spans="5:27" customFormat="1">
      <c r="E1033" s="88"/>
      <c r="F1033" s="36" t="s">
        <v>320</v>
      </c>
      <c r="G1033" s="5" t="s">
        <v>321</v>
      </c>
      <c r="H1033" s="5"/>
      <c r="I1033" s="62">
        <v>44189.4</v>
      </c>
      <c r="J1033" s="62">
        <v>31.34</v>
      </c>
      <c r="K1033" s="62">
        <v>1410</v>
      </c>
      <c r="L1033" s="100" t="s">
        <v>604</v>
      </c>
      <c r="M1033" s="5" t="s">
        <v>452</v>
      </c>
      <c r="N1033" s="34" t="s">
        <v>464</v>
      </c>
      <c r="O1033" s="5" t="s">
        <v>714</v>
      </c>
      <c r="P1033" s="5" t="s">
        <v>597</v>
      </c>
      <c r="Q1033" s="5" t="s">
        <v>715</v>
      </c>
      <c r="R1033" s="5" t="s">
        <v>719</v>
      </c>
      <c r="S1033" s="5" t="s">
        <v>717</v>
      </c>
      <c r="T1033" s="5" t="s">
        <v>445</v>
      </c>
      <c r="U1033" s="5"/>
      <c r="V1033" s="5"/>
      <c r="W1033" s="5"/>
      <c r="X1033" s="5"/>
      <c r="Y1033" s="5"/>
      <c r="Z1033" s="5"/>
      <c r="AA1033" s="5"/>
    </row>
    <row r="1034" spans="5:27" customFormat="1">
      <c r="E1034" s="88"/>
      <c r="F1034" s="36" t="s">
        <v>320</v>
      </c>
      <c r="G1034" s="5" t="s">
        <v>321</v>
      </c>
      <c r="H1034" s="5"/>
      <c r="I1034" s="62">
        <v>76943.7</v>
      </c>
      <c r="J1034" s="62">
        <v>54.57</v>
      </c>
      <c r="K1034" s="62">
        <v>1410</v>
      </c>
      <c r="L1034" s="100" t="s">
        <v>604</v>
      </c>
      <c r="M1034" s="5" t="s">
        <v>452</v>
      </c>
      <c r="N1034" s="34" t="s">
        <v>464</v>
      </c>
      <c r="O1034" s="5" t="s">
        <v>714</v>
      </c>
      <c r="P1034" s="5" t="s">
        <v>597</v>
      </c>
      <c r="Q1034" s="5" t="s">
        <v>715</v>
      </c>
      <c r="R1034" s="5" t="s">
        <v>721</v>
      </c>
      <c r="S1034" s="5" t="s">
        <v>717</v>
      </c>
      <c r="T1034" s="5" t="s">
        <v>445</v>
      </c>
      <c r="U1034" s="5"/>
      <c r="V1034" s="5"/>
      <c r="W1034" s="5"/>
      <c r="X1034" s="5"/>
      <c r="Y1034" s="5"/>
      <c r="Z1034" s="5"/>
      <c r="AA1034" s="5"/>
    </row>
    <row r="1035" spans="5:27" customFormat="1">
      <c r="E1035" s="88"/>
      <c r="F1035" s="36" t="s">
        <v>320</v>
      </c>
      <c r="G1035" s="5" t="s">
        <v>321</v>
      </c>
      <c r="H1035" s="5"/>
      <c r="I1035" s="62">
        <v>26663.1</v>
      </c>
      <c r="J1035" s="62">
        <v>18.91</v>
      </c>
      <c r="K1035" s="62">
        <v>1410</v>
      </c>
      <c r="L1035" s="100" t="s">
        <v>604</v>
      </c>
      <c r="M1035" s="5" t="s">
        <v>452</v>
      </c>
      <c r="N1035" s="34" t="s">
        <v>464</v>
      </c>
      <c r="O1035" s="5" t="s">
        <v>714</v>
      </c>
      <c r="P1035" s="5" t="s">
        <v>597</v>
      </c>
      <c r="Q1035" s="5" t="s">
        <v>715</v>
      </c>
      <c r="R1035" s="5" t="s">
        <v>727</v>
      </c>
      <c r="S1035" s="5" t="s">
        <v>717</v>
      </c>
      <c r="T1035" s="5" t="s">
        <v>445</v>
      </c>
      <c r="U1035" s="5"/>
      <c r="V1035" s="5"/>
      <c r="W1035" s="5"/>
      <c r="X1035" s="5"/>
      <c r="Y1035" s="5"/>
      <c r="Z1035" s="5"/>
      <c r="AA1035" s="5"/>
    </row>
    <row r="1036" spans="5:27" customFormat="1">
      <c r="E1036" s="88"/>
      <c r="F1036" s="36" t="s">
        <v>320</v>
      </c>
      <c r="G1036" s="5" t="s">
        <v>321</v>
      </c>
      <c r="H1036" s="5"/>
      <c r="I1036" s="62">
        <v>212176.8</v>
      </c>
      <c r="J1036" s="62">
        <v>150.47999999999999</v>
      </c>
      <c r="K1036" s="62">
        <v>1410</v>
      </c>
      <c r="L1036" s="100" t="s">
        <v>604</v>
      </c>
      <c r="M1036" s="5" t="s">
        <v>452</v>
      </c>
      <c r="N1036" s="34" t="s">
        <v>464</v>
      </c>
      <c r="O1036" s="5" t="s">
        <v>714</v>
      </c>
      <c r="P1036" s="5" t="s">
        <v>597</v>
      </c>
      <c r="Q1036" s="5" t="s">
        <v>715</v>
      </c>
      <c r="R1036" s="5" t="s">
        <v>728</v>
      </c>
      <c r="S1036" s="5" t="s">
        <v>717</v>
      </c>
      <c r="T1036" s="5" t="s">
        <v>445</v>
      </c>
      <c r="U1036" s="5"/>
      <c r="V1036" s="5"/>
      <c r="W1036" s="5"/>
      <c r="X1036" s="5"/>
      <c r="Y1036" s="5"/>
      <c r="Z1036" s="5"/>
      <c r="AA1036" s="5"/>
    </row>
    <row r="1037" spans="5:27" customFormat="1">
      <c r="E1037" s="88"/>
      <c r="F1037" s="36" t="s">
        <v>320</v>
      </c>
      <c r="G1037" s="5" t="s">
        <v>321</v>
      </c>
      <c r="H1037" s="5"/>
      <c r="I1037" s="62">
        <v>89351.7</v>
      </c>
      <c r="J1037" s="62">
        <v>63.37</v>
      </c>
      <c r="K1037" s="62">
        <v>1410</v>
      </c>
      <c r="L1037" s="100" t="s">
        <v>604</v>
      </c>
      <c r="M1037" s="5" t="s">
        <v>452</v>
      </c>
      <c r="N1037" s="34" t="s">
        <v>464</v>
      </c>
      <c r="O1037" s="5" t="s">
        <v>714</v>
      </c>
      <c r="P1037" s="5" t="s">
        <v>597</v>
      </c>
      <c r="Q1037" s="5" t="s">
        <v>715</v>
      </c>
      <c r="R1037" s="5" t="s">
        <v>718</v>
      </c>
      <c r="S1037" s="5" t="s">
        <v>717</v>
      </c>
      <c r="T1037" s="5" t="s">
        <v>445</v>
      </c>
      <c r="U1037" s="5"/>
      <c r="V1037" s="5"/>
      <c r="W1037" s="5"/>
      <c r="X1037" s="5"/>
      <c r="Y1037" s="5"/>
      <c r="Z1037" s="5"/>
      <c r="AA1037" s="5"/>
    </row>
    <row r="1038" spans="5:27" customFormat="1">
      <c r="E1038" s="88"/>
      <c r="F1038" s="36" t="s">
        <v>320</v>
      </c>
      <c r="G1038" s="5" t="s">
        <v>321</v>
      </c>
      <c r="H1038" s="5"/>
      <c r="I1038" s="62">
        <v>97017</v>
      </c>
      <c r="J1038" s="62">
        <v>66.45</v>
      </c>
      <c r="K1038" s="62">
        <v>1460</v>
      </c>
      <c r="L1038" s="100" t="s">
        <v>914</v>
      </c>
      <c r="M1038" s="5" t="s">
        <v>452</v>
      </c>
      <c r="N1038" s="34" t="s">
        <v>464</v>
      </c>
      <c r="O1038" s="5" t="s">
        <v>953</v>
      </c>
      <c r="P1038" s="5" t="s">
        <v>597</v>
      </c>
      <c r="Q1038" s="5" t="s">
        <v>954</v>
      </c>
      <c r="R1038" s="5" t="s">
        <v>958</v>
      </c>
      <c r="S1038" s="5" t="s">
        <v>956</v>
      </c>
      <c r="T1038" s="5" t="s">
        <v>445</v>
      </c>
      <c r="U1038" s="5"/>
      <c r="V1038" s="5"/>
      <c r="W1038" s="5"/>
      <c r="X1038" s="5"/>
      <c r="Y1038" s="5"/>
      <c r="Z1038" s="5"/>
      <c r="AA1038" s="5"/>
    </row>
    <row r="1039" spans="5:27" customFormat="1">
      <c r="E1039" s="88"/>
      <c r="F1039" s="36" t="s">
        <v>320</v>
      </c>
      <c r="G1039" s="5" t="s">
        <v>321</v>
      </c>
      <c r="H1039" s="5"/>
      <c r="I1039" s="62">
        <v>97017</v>
      </c>
      <c r="J1039" s="62">
        <v>66.45</v>
      </c>
      <c r="K1039" s="62">
        <v>1460</v>
      </c>
      <c r="L1039" s="100" t="s">
        <v>914</v>
      </c>
      <c r="M1039" s="5" t="s">
        <v>452</v>
      </c>
      <c r="N1039" s="34" t="s">
        <v>464</v>
      </c>
      <c r="O1039" s="5" t="s">
        <v>953</v>
      </c>
      <c r="P1039" s="5" t="s">
        <v>597</v>
      </c>
      <c r="Q1039" s="5" t="s">
        <v>954</v>
      </c>
      <c r="R1039" s="5" t="s">
        <v>962</v>
      </c>
      <c r="S1039" s="5" t="s">
        <v>956</v>
      </c>
      <c r="T1039" s="5" t="s">
        <v>445</v>
      </c>
      <c r="U1039" s="5"/>
      <c r="V1039" s="5"/>
      <c r="W1039" s="5"/>
      <c r="X1039" s="5"/>
      <c r="Y1039" s="5"/>
      <c r="Z1039" s="5"/>
      <c r="AA1039" s="5"/>
    </row>
    <row r="1040" spans="5:27" customFormat="1">
      <c r="E1040" s="88"/>
      <c r="F1040" s="36" t="s">
        <v>320</v>
      </c>
      <c r="G1040" s="5" t="s">
        <v>321</v>
      </c>
      <c r="H1040" s="5"/>
      <c r="I1040" s="62">
        <v>97017</v>
      </c>
      <c r="J1040" s="62">
        <v>66.45</v>
      </c>
      <c r="K1040" s="62">
        <v>1460</v>
      </c>
      <c r="L1040" s="100" t="s">
        <v>914</v>
      </c>
      <c r="M1040" s="5" t="s">
        <v>452</v>
      </c>
      <c r="N1040" s="34" t="s">
        <v>464</v>
      </c>
      <c r="O1040" s="5" t="s">
        <v>953</v>
      </c>
      <c r="P1040" s="5" t="s">
        <v>597</v>
      </c>
      <c r="Q1040" s="5" t="s">
        <v>954</v>
      </c>
      <c r="R1040" s="5" t="s">
        <v>957</v>
      </c>
      <c r="S1040" s="5" t="s">
        <v>956</v>
      </c>
      <c r="T1040" s="5" t="s">
        <v>445</v>
      </c>
      <c r="U1040" s="5"/>
      <c r="V1040" s="5"/>
      <c r="W1040" s="5"/>
      <c r="X1040" s="5"/>
      <c r="Y1040" s="5"/>
      <c r="Z1040" s="5"/>
      <c r="AA1040" s="5"/>
    </row>
    <row r="1041" spans="1:27" customFormat="1">
      <c r="E1041" s="88"/>
      <c r="F1041" s="36" t="s">
        <v>320</v>
      </c>
      <c r="G1041" s="5" t="s">
        <v>321</v>
      </c>
      <c r="H1041" s="5"/>
      <c r="I1041" s="62">
        <v>234038</v>
      </c>
      <c r="J1041" s="62">
        <v>160.30000000000001</v>
      </c>
      <c r="K1041" s="62">
        <v>1460</v>
      </c>
      <c r="L1041" s="100" t="s">
        <v>914</v>
      </c>
      <c r="M1041" s="5" t="s">
        <v>452</v>
      </c>
      <c r="N1041" s="34" t="s">
        <v>464</v>
      </c>
      <c r="O1041" s="5" t="s">
        <v>953</v>
      </c>
      <c r="P1041" s="5" t="s">
        <v>597</v>
      </c>
      <c r="Q1041" s="5" t="s">
        <v>954</v>
      </c>
      <c r="R1041" s="5" t="s">
        <v>961</v>
      </c>
      <c r="S1041" s="5" t="s">
        <v>956</v>
      </c>
      <c r="T1041" s="5" t="s">
        <v>445</v>
      </c>
      <c r="U1041" s="5"/>
      <c r="V1041" s="5"/>
      <c r="W1041" s="5"/>
      <c r="X1041" s="5"/>
      <c r="Y1041" s="5"/>
      <c r="Z1041" s="5"/>
      <c r="AA1041" s="5"/>
    </row>
    <row r="1042" spans="1:27" customFormat="1">
      <c r="E1042" s="88"/>
      <c r="F1042" s="36" t="s">
        <v>320</v>
      </c>
      <c r="G1042" s="5" t="s">
        <v>321</v>
      </c>
      <c r="H1042" s="5"/>
      <c r="I1042" s="62">
        <v>34368.400000000001</v>
      </c>
      <c r="J1042" s="62">
        <v>23.54</v>
      </c>
      <c r="K1042" s="62">
        <v>1460</v>
      </c>
      <c r="L1042" s="100" t="s">
        <v>914</v>
      </c>
      <c r="M1042" s="5" t="s">
        <v>452</v>
      </c>
      <c r="N1042" s="34" t="s">
        <v>464</v>
      </c>
      <c r="O1042" s="5" t="s">
        <v>953</v>
      </c>
      <c r="P1042" s="5" t="s">
        <v>597</v>
      </c>
      <c r="Q1042" s="5" t="s">
        <v>954</v>
      </c>
      <c r="R1042" s="5" t="s">
        <v>960</v>
      </c>
      <c r="S1042" s="5" t="s">
        <v>956</v>
      </c>
      <c r="T1042" s="5" t="s">
        <v>445</v>
      </c>
      <c r="U1042" s="5"/>
      <c r="V1042" s="5"/>
      <c r="W1042" s="5"/>
      <c r="X1042" s="5"/>
      <c r="Y1042" s="5"/>
      <c r="Z1042" s="5"/>
      <c r="AA1042" s="5"/>
    </row>
    <row r="1043" spans="1:27" customFormat="1">
      <c r="E1043" s="88"/>
      <c r="F1043" s="36" t="s">
        <v>320</v>
      </c>
      <c r="G1043" s="5" t="s">
        <v>321</v>
      </c>
      <c r="H1043" s="5"/>
      <c r="I1043" s="62">
        <v>119574</v>
      </c>
      <c r="J1043" s="62">
        <v>81.900000000000006</v>
      </c>
      <c r="K1043" s="62">
        <v>1460</v>
      </c>
      <c r="L1043" s="100" t="s">
        <v>914</v>
      </c>
      <c r="M1043" s="5" t="s">
        <v>452</v>
      </c>
      <c r="N1043" s="34" t="s">
        <v>464</v>
      </c>
      <c r="O1043" s="5" t="s">
        <v>953</v>
      </c>
      <c r="P1043" s="5" t="s">
        <v>597</v>
      </c>
      <c r="Q1043" s="5" t="s">
        <v>954</v>
      </c>
      <c r="R1043" s="5" t="s">
        <v>959</v>
      </c>
      <c r="S1043" s="5" t="s">
        <v>956</v>
      </c>
      <c r="T1043" s="5" t="s">
        <v>445</v>
      </c>
      <c r="U1043" s="5"/>
      <c r="V1043" s="5"/>
      <c r="W1043" s="5"/>
      <c r="X1043" s="5"/>
      <c r="Y1043" s="5"/>
      <c r="Z1043" s="5"/>
      <c r="AA1043" s="5"/>
    </row>
    <row r="1044" spans="1:27" customFormat="1">
      <c r="E1044" s="88"/>
      <c r="F1044" s="36" t="s">
        <v>320</v>
      </c>
      <c r="G1044" s="5" t="s">
        <v>321</v>
      </c>
      <c r="H1044" s="5"/>
      <c r="I1044" s="62">
        <v>423000</v>
      </c>
      <c r="J1044" s="62">
        <v>300</v>
      </c>
      <c r="K1044" s="62">
        <v>1410</v>
      </c>
      <c r="L1044" s="100" t="s">
        <v>604</v>
      </c>
      <c r="M1044" s="5" t="s">
        <v>452</v>
      </c>
      <c r="N1044" s="34" t="s">
        <v>464</v>
      </c>
      <c r="O1044" s="5" t="s">
        <v>714</v>
      </c>
      <c r="P1044" s="5" t="s">
        <v>597</v>
      </c>
      <c r="Q1044" s="5" t="s">
        <v>715</v>
      </c>
      <c r="R1044" s="5" t="s">
        <v>723</v>
      </c>
      <c r="S1044" s="5" t="s">
        <v>717</v>
      </c>
      <c r="T1044" s="5" t="s">
        <v>445</v>
      </c>
      <c r="U1044" s="5"/>
      <c r="V1044" s="5"/>
      <c r="W1044" s="5"/>
      <c r="X1044" s="5"/>
      <c r="Y1044" s="5"/>
      <c r="Z1044" s="5"/>
      <c r="AA1044" s="5"/>
    </row>
    <row r="1045" spans="1:27" customFormat="1">
      <c r="E1045" s="88"/>
      <c r="F1045" s="36" t="s">
        <v>320</v>
      </c>
      <c r="G1045" s="5" t="s">
        <v>321</v>
      </c>
      <c r="H1045" s="5"/>
      <c r="I1045" s="62">
        <v>438000</v>
      </c>
      <c r="J1045" s="62">
        <v>300</v>
      </c>
      <c r="K1045" s="62">
        <v>1460</v>
      </c>
      <c r="L1045" s="100" t="s">
        <v>914</v>
      </c>
      <c r="M1045" s="5" t="s">
        <v>452</v>
      </c>
      <c r="N1045" s="34" t="s">
        <v>464</v>
      </c>
      <c r="O1045" s="5" t="s">
        <v>922</v>
      </c>
      <c r="P1045" s="5" t="s">
        <v>597</v>
      </c>
      <c r="Q1045" s="5" t="s">
        <v>923</v>
      </c>
      <c r="R1045" s="5" t="s">
        <v>933</v>
      </c>
      <c r="S1045" s="5" t="s">
        <v>925</v>
      </c>
      <c r="T1045" s="5" t="s">
        <v>445</v>
      </c>
      <c r="U1045" s="5"/>
      <c r="V1045" s="5"/>
      <c r="W1045" s="5"/>
      <c r="X1045" s="5"/>
      <c r="Y1045" s="5"/>
      <c r="Z1045" s="5"/>
      <c r="AA1045" s="5"/>
    </row>
    <row r="1046" spans="1:27" customFormat="1">
      <c r="E1046" s="88"/>
      <c r="F1046" s="36" t="s">
        <v>320</v>
      </c>
      <c r="G1046" s="5" t="s">
        <v>321</v>
      </c>
      <c r="H1046" s="5"/>
      <c r="I1046" s="62">
        <v>426000</v>
      </c>
      <c r="J1046" s="62">
        <v>300</v>
      </c>
      <c r="K1046" s="62">
        <v>1420</v>
      </c>
      <c r="L1046" s="100" t="s">
        <v>989</v>
      </c>
      <c r="M1046" s="5" t="s">
        <v>452</v>
      </c>
      <c r="N1046" s="34" t="s">
        <v>464</v>
      </c>
      <c r="O1046" s="5" t="s">
        <v>1082</v>
      </c>
      <c r="P1046" s="5" t="s">
        <v>597</v>
      </c>
      <c r="Q1046" s="5" t="s">
        <v>1083</v>
      </c>
      <c r="R1046" s="5" t="s">
        <v>1093</v>
      </c>
      <c r="S1046" s="5" t="s">
        <v>1085</v>
      </c>
      <c r="T1046" s="5" t="s">
        <v>445</v>
      </c>
      <c r="U1046" s="5"/>
      <c r="V1046" s="5"/>
      <c r="W1046" s="5"/>
      <c r="X1046" s="5"/>
      <c r="Y1046" s="5"/>
      <c r="Z1046" s="5"/>
      <c r="AA1046" s="5"/>
    </row>
    <row r="1047" spans="1:27" customFormat="1">
      <c r="E1047" s="88"/>
      <c r="F1047" s="36" t="s">
        <v>320</v>
      </c>
      <c r="G1047" s="5" t="s">
        <v>321</v>
      </c>
      <c r="H1047" s="5"/>
      <c r="I1047" s="62">
        <v>169383.3</v>
      </c>
      <c r="J1047" s="62">
        <v>120.13</v>
      </c>
      <c r="K1047" s="62">
        <v>1410</v>
      </c>
      <c r="L1047" s="100" t="s">
        <v>604</v>
      </c>
      <c r="M1047" s="5" t="s">
        <v>452</v>
      </c>
      <c r="N1047" s="34" t="s">
        <v>464</v>
      </c>
      <c r="O1047" s="5" t="s">
        <v>714</v>
      </c>
      <c r="P1047" s="5" t="s">
        <v>597</v>
      </c>
      <c r="Q1047" s="5" t="s">
        <v>715</v>
      </c>
      <c r="R1047" s="5" t="s">
        <v>716</v>
      </c>
      <c r="S1047" s="5" t="s">
        <v>717</v>
      </c>
      <c r="T1047" s="5" t="s">
        <v>445</v>
      </c>
      <c r="U1047" s="5"/>
      <c r="V1047" s="5"/>
      <c r="W1047" s="5"/>
      <c r="X1047" s="5"/>
      <c r="Y1047" s="5"/>
      <c r="Z1047" s="5"/>
      <c r="AA1047" s="5"/>
    </row>
    <row r="1048" spans="1:27" customFormat="1">
      <c r="E1048" s="88"/>
      <c r="F1048" s="36" t="s">
        <v>320</v>
      </c>
      <c r="G1048" s="5" t="s">
        <v>321</v>
      </c>
      <c r="H1048" s="5"/>
      <c r="I1048" s="62">
        <v>123428.4</v>
      </c>
      <c r="J1048" s="62">
        <v>84.54</v>
      </c>
      <c r="K1048" s="62">
        <v>1460</v>
      </c>
      <c r="L1048" s="100" t="s">
        <v>914</v>
      </c>
      <c r="M1048" s="5" t="s">
        <v>452</v>
      </c>
      <c r="N1048" s="34" t="s">
        <v>464</v>
      </c>
      <c r="O1048" s="5" t="s">
        <v>993</v>
      </c>
      <c r="P1048" s="5" t="s">
        <v>597</v>
      </c>
      <c r="Q1048" s="5" t="s">
        <v>994</v>
      </c>
      <c r="R1048" s="5" t="s">
        <v>995</v>
      </c>
      <c r="S1048" s="5" t="s">
        <v>996</v>
      </c>
      <c r="T1048" s="5" t="s">
        <v>445</v>
      </c>
      <c r="U1048" s="5"/>
      <c r="V1048" s="5"/>
      <c r="W1048" s="5"/>
      <c r="X1048" s="5"/>
      <c r="Y1048" s="5"/>
      <c r="Z1048" s="5"/>
      <c r="AA1048" s="5"/>
    </row>
    <row r="1049" spans="1:27" customFormat="1">
      <c r="E1049" s="88"/>
      <c r="F1049" s="36" t="s">
        <v>322</v>
      </c>
      <c r="G1049" s="5" t="s">
        <v>323</v>
      </c>
      <c r="H1049" s="5"/>
      <c r="I1049" s="62">
        <v>355000</v>
      </c>
      <c r="J1049" s="62">
        <v>250</v>
      </c>
      <c r="K1049" s="62">
        <v>1420</v>
      </c>
      <c r="L1049" s="100" t="s">
        <v>472</v>
      </c>
      <c r="M1049" s="5" t="s">
        <v>452</v>
      </c>
      <c r="N1049" s="34" t="s">
        <v>442</v>
      </c>
      <c r="O1049" s="5" t="s">
        <v>551</v>
      </c>
      <c r="P1049" s="5" t="s">
        <v>454</v>
      </c>
      <c r="Q1049" s="5" t="s">
        <v>552</v>
      </c>
      <c r="R1049" s="5" t="s">
        <v>553</v>
      </c>
      <c r="S1049" s="5" t="s">
        <v>554</v>
      </c>
      <c r="T1049" s="5" t="s">
        <v>445</v>
      </c>
      <c r="U1049" s="5"/>
      <c r="V1049" s="5"/>
      <c r="W1049" s="5"/>
      <c r="X1049" s="5"/>
      <c r="Y1049" s="5"/>
      <c r="Z1049" s="5"/>
      <c r="AA1049" s="5"/>
    </row>
    <row r="1050" spans="1:27" customFormat="1">
      <c r="E1050" s="88"/>
      <c r="F1050" s="36" t="s">
        <v>322</v>
      </c>
      <c r="G1050" s="5" t="s">
        <v>323</v>
      </c>
      <c r="H1050" s="5"/>
      <c r="I1050" s="62">
        <v>639000</v>
      </c>
      <c r="J1050" s="62">
        <v>450</v>
      </c>
      <c r="K1050" s="62">
        <v>1420</v>
      </c>
      <c r="L1050" s="100" t="s">
        <v>1013</v>
      </c>
      <c r="M1050" s="5" t="s">
        <v>452</v>
      </c>
      <c r="N1050" s="34" t="s">
        <v>464</v>
      </c>
      <c r="O1050" s="5" t="s">
        <v>1014</v>
      </c>
      <c r="P1050" s="5" t="s">
        <v>597</v>
      </c>
      <c r="Q1050" s="5" t="s">
        <v>1015</v>
      </c>
      <c r="R1050" s="5" t="s">
        <v>1016</v>
      </c>
      <c r="S1050" s="5" t="s">
        <v>1017</v>
      </c>
      <c r="T1050" s="5" t="s">
        <v>445</v>
      </c>
      <c r="U1050" s="5"/>
      <c r="V1050" s="5"/>
      <c r="W1050" s="5"/>
      <c r="X1050" s="5"/>
      <c r="Y1050" s="5"/>
      <c r="Z1050" s="5"/>
      <c r="AA1050" s="5"/>
    </row>
    <row r="1051" spans="1:27" customFormat="1">
      <c r="E1051" s="88"/>
      <c r="F1051" s="36"/>
      <c r="G1051" s="5"/>
      <c r="H1051" s="5"/>
      <c r="I1051" s="62"/>
      <c r="J1051" s="62"/>
      <c r="K1051" s="62"/>
      <c r="L1051" s="100"/>
      <c r="M1051" s="5"/>
      <c r="N1051" s="34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s="56" customFormat="1">
      <c r="A1052" s="56" t="s">
        <v>168</v>
      </c>
      <c r="E1052" s="292"/>
      <c r="F1052" s="217" t="s">
        <v>324</v>
      </c>
      <c r="G1052" s="217" t="s">
        <v>325</v>
      </c>
      <c r="H1052" s="293"/>
      <c r="I1052" s="294">
        <v>-2760000</v>
      </c>
      <c r="J1052" s="294">
        <v>-2123.0769230769201</v>
      </c>
      <c r="K1052" s="294">
        <v>1300</v>
      </c>
      <c r="L1052" s="295" t="s">
        <v>476</v>
      </c>
      <c r="M1052" s="217" t="s">
        <v>452</v>
      </c>
      <c r="N1052" s="296" t="s">
        <v>464</v>
      </c>
      <c r="O1052" s="217" t="s">
        <v>565</v>
      </c>
      <c r="P1052" s="217" t="s">
        <v>454</v>
      </c>
      <c r="Q1052" s="217" t="s">
        <v>566</v>
      </c>
      <c r="R1052" s="217" t="s">
        <v>563</v>
      </c>
      <c r="S1052" s="217" t="s">
        <v>567</v>
      </c>
      <c r="T1052" s="217" t="s">
        <v>445</v>
      </c>
      <c r="U1052" s="217"/>
      <c r="V1052" s="217"/>
      <c r="W1052" s="217"/>
      <c r="X1052" s="217"/>
      <c r="Y1052" s="217"/>
      <c r="Z1052" s="217"/>
      <c r="AA1052" s="217"/>
    </row>
    <row r="1053" spans="1:27" s="56" customFormat="1">
      <c r="A1053" s="56" t="s">
        <v>168</v>
      </c>
      <c r="E1053" s="292"/>
      <c r="F1053" s="217" t="s">
        <v>324</v>
      </c>
      <c r="G1053" s="217" t="s">
        <v>325</v>
      </c>
      <c r="H1053" s="293"/>
      <c r="I1053" s="294">
        <v>2760000</v>
      </c>
      <c r="J1053" s="294">
        <v>2123.0769230769201</v>
      </c>
      <c r="K1053" s="294">
        <v>1300</v>
      </c>
      <c r="L1053" s="295" t="s">
        <v>451</v>
      </c>
      <c r="M1053" s="217" t="s">
        <v>452</v>
      </c>
      <c r="N1053" s="296" t="s">
        <v>464</v>
      </c>
      <c r="O1053" s="217" t="s">
        <v>524</v>
      </c>
      <c r="P1053" s="217" t="s">
        <v>454</v>
      </c>
      <c r="Q1053" s="217" t="s">
        <v>525</v>
      </c>
      <c r="R1053" s="217" t="s">
        <v>528</v>
      </c>
      <c r="S1053" s="217" t="s">
        <v>527</v>
      </c>
      <c r="T1053" s="217" t="s">
        <v>445</v>
      </c>
      <c r="U1053" s="217"/>
      <c r="V1053" s="217"/>
      <c r="W1053" s="217"/>
      <c r="X1053" s="217"/>
      <c r="Y1053" s="217"/>
      <c r="Z1053" s="217"/>
      <c r="AA1053" s="217"/>
    </row>
    <row r="1054" spans="1:27" s="56" customFormat="1">
      <c r="A1054" s="56" t="s">
        <v>168</v>
      </c>
      <c r="E1054" s="292"/>
      <c r="F1054" s="217" t="s">
        <v>324</v>
      </c>
      <c r="G1054" s="217" t="s">
        <v>325</v>
      </c>
      <c r="H1054" s="293"/>
      <c r="I1054" s="294">
        <v>-6503600</v>
      </c>
      <c r="J1054" s="294">
        <v>-4580</v>
      </c>
      <c r="K1054" s="294">
        <v>1420</v>
      </c>
      <c r="L1054" s="295" t="s">
        <v>1104</v>
      </c>
      <c r="M1054" s="217" t="s">
        <v>452</v>
      </c>
      <c r="N1054" s="296" t="s">
        <v>464</v>
      </c>
      <c r="O1054" s="217" t="s">
        <v>1105</v>
      </c>
      <c r="P1054" s="217" t="s">
        <v>597</v>
      </c>
      <c r="Q1054" s="217" t="s">
        <v>1106</v>
      </c>
      <c r="R1054" s="217" t="s">
        <v>563</v>
      </c>
      <c r="S1054" s="217" t="s">
        <v>1107</v>
      </c>
      <c r="T1054" s="217" t="s">
        <v>445</v>
      </c>
      <c r="U1054" s="217"/>
      <c r="V1054" s="217"/>
      <c r="W1054" s="217"/>
      <c r="X1054" s="217"/>
      <c r="Y1054" s="217"/>
      <c r="Z1054" s="217"/>
      <c r="AA1054" s="217"/>
    </row>
    <row r="1055" spans="1:27" s="56" customFormat="1">
      <c r="A1055" s="56" t="s">
        <v>168</v>
      </c>
      <c r="E1055" s="292"/>
      <c r="F1055" s="217" t="s">
        <v>324</v>
      </c>
      <c r="G1055" s="217" t="s">
        <v>325</v>
      </c>
      <c r="H1055" s="293"/>
      <c r="I1055" s="294">
        <v>6503600</v>
      </c>
      <c r="J1055" s="294">
        <v>4580</v>
      </c>
      <c r="K1055" s="294">
        <v>1420</v>
      </c>
      <c r="L1055" s="295" t="s">
        <v>1030</v>
      </c>
      <c r="M1055" s="217" t="s">
        <v>452</v>
      </c>
      <c r="N1055" s="296" t="s">
        <v>464</v>
      </c>
      <c r="O1055" s="217" t="s">
        <v>1071</v>
      </c>
      <c r="P1055" s="217" t="s">
        <v>597</v>
      </c>
      <c r="Q1055" s="217" t="s">
        <v>1072</v>
      </c>
      <c r="R1055" s="217" t="s">
        <v>1073</v>
      </c>
      <c r="S1055" s="217" t="s">
        <v>1074</v>
      </c>
      <c r="T1055" s="217" t="s">
        <v>445</v>
      </c>
      <c r="U1055" s="217"/>
      <c r="V1055" s="217"/>
      <c r="W1055" s="217"/>
      <c r="X1055" s="217"/>
      <c r="Y1055" s="217"/>
      <c r="Z1055" s="217"/>
      <c r="AA1055" s="217"/>
    </row>
    <row r="1056" spans="1:27" s="56" customFormat="1">
      <c r="A1056" s="56" t="s">
        <v>168</v>
      </c>
      <c r="E1056" s="292"/>
      <c r="F1056" s="217" t="s">
        <v>324</v>
      </c>
      <c r="G1056" s="217" t="s">
        <v>325</v>
      </c>
      <c r="H1056" s="293"/>
      <c r="I1056" s="294">
        <v>-15340000</v>
      </c>
      <c r="J1056" s="294">
        <v>-11800</v>
      </c>
      <c r="K1056" s="294">
        <v>1300</v>
      </c>
      <c r="L1056" s="295" t="s">
        <v>476</v>
      </c>
      <c r="M1056" s="217" t="s">
        <v>452</v>
      </c>
      <c r="N1056" s="296" t="s">
        <v>464</v>
      </c>
      <c r="O1056" s="217" t="s">
        <v>561</v>
      </c>
      <c r="P1056" s="217" t="s">
        <v>454</v>
      </c>
      <c r="Q1056" s="217" t="s">
        <v>562</v>
      </c>
      <c r="R1056" s="217" t="s">
        <v>563</v>
      </c>
      <c r="S1056" s="217" t="s">
        <v>564</v>
      </c>
      <c r="T1056" s="217" t="s">
        <v>445</v>
      </c>
      <c r="U1056" s="217"/>
      <c r="V1056" s="217"/>
      <c r="W1056" s="217"/>
      <c r="X1056" s="217"/>
      <c r="Y1056" s="217"/>
      <c r="Z1056" s="217"/>
      <c r="AA1056" s="217"/>
    </row>
    <row r="1057" spans="1:27" s="56" customFormat="1">
      <c r="A1057" s="56" t="s">
        <v>168</v>
      </c>
      <c r="E1057" s="292"/>
      <c r="F1057" s="217" t="s">
        <v>324</v>
      </c>
      <c r="G1057" s="217" t="s">
        <v>325</v>
      </c>
      <c r="H1057" s="293"/>
      <c r="I1057" s="294">
        <v>15340000</v>
      </c>
      <c r="J1057" s="294">
        <v>11800</v>
      </c>
      <c r="K1057" s="294">
        <v>1300</v>
      </c>
      <c r="L1057" s="295" t="s">
        <v>451</v>
      </c>
      <c r="M1057" s="217" t="s">
        <v>452</v>
      </c>
      <c r="N1057" s="296" t="s">
        <v>464</v>
      </c>
      <c r="O1057" s="217" t="s">
        <v>518</v>
      </c>
      <c r="P1057" s="217" t="s">
        <v>454</v>
      </c>
      <c r="Q1057" s="217" t="s">
        <v>519</v>
      </c>
      <c r="R1057" s="217" t="s">
        <v>523</v>
      </c>
      <c r="S1057" s="217" t="s">
        <v>521</v>
      </c>
      <c r="T1057" s="217" t="s">
        <v>445</v>
      </c>
      <c r="U1057" s="217"/>
      <c r="V1057" s="217"/>
      <c r="W1057" s="217"/>
      <c r="X1057" s="217"/>
      <c r="Y1057" s="217"/>
      <c r="Z1057" s="217"/>
      <c r="AA1057" s="217"/>
    </row>
    <row r="1058" spans="1:27" customFormat="1">
      <c r="F1058" s="36"/>
      <c r="G1058" s="5"/>
      <c r="H1058" s="5"/>
      <c r="I1058" s="62"/>
      <c r="J1058" s="62"/>
      <c r="K1058" s="62"/>
      <c r="L1058" s="100"/>
      <c r="M1058" s="5"/>
      <c r="N1058" s="34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s="56" customFormat="1">
      <c r="A1059" s="56" t="s">
        <v>1165</v>
      </c>
      <c r="E1059" s="292"/>
      <c r="F1059" s="217" t="s">
        <v>324</v>
      </c>
      <c r="G1059" s="217" t="s">
        <v>325</v>
      </c>
      <c r="H1059" s="293"/>
      <c r="I1059" s="294">
        <v>-3085000</v>
      </c>
      <c r="J1059" s="294">
        <v>-2203.5714285714298</v>
      </c>
      <c r="K1059" s="294">
        <v>1400</v>
      </c>
      <c r="L1059" s="295" t="s">
        <v>834</v>
      </c>
      <c r="M1059" s="217" t="s">
        <v>452</v>
      </c>
      <c r="N1059" s="296" t="s">
        <v>464</v>
      </c>
      <c r="O1059" s="217" t="s">
        <v>848</v>
      </c>
      <c r="P1059" s="217" t="s">
        <v>597</v>
      </c>
      <c r="Q1059" s="217" t="s">
        <v>849</v>
      </c>
      <c r="R1059" s="217" t="s">
        <v>563</v>
      </c>
      <c r="S1059" s="217" t="s">
        <v>850</v>
      </c>
      <c r="T1059" s="217" t="s">
        <v>445</v>
      </c>
      <c r="U1059" s="217"/>
      <c r="V1059" s="217"/>
      <c r="W1059" s="217"/>
      <c r="X1059" s="217"/>
      <c r="Y1059" s="217"/>
      <c r="Z1059" s="217"/>
      <c r="AA1059" s="217"/>
    </row>
    <row r="1060" spans="1:27" s="56" customFormat="1">
      <c r="A1060" s="56" t="s">
        <v>1165</v>
      </c>
      <c r="E1060" s="292"/>
      <c r="F1060" s="217" t="s">
        <v>324</v>
      </c>
      <c r="G1060" s="217" t="s">
        <v>325</v>
      </c>
      <c r="H1060" s="293"/>
      <c r="I1060" s="294">
        <v>3085000</v>
      </c>
      <c r="J1060" s="294">
        <v>2157.34265734266</v>
      </c>
      <c r="K1060" s="294">
        <v>1430</v>
      </c>
      <c r="L1060" s="295" t="s">
        <v>608</v>
      </c>
      <c r="M1060" s="217" t="s">
        <v>452</v>
      </c>
      <c r="N1060" s="296" t="s">
        <v>464</v>
      </c>
      <c r="O1060" s="217" t="s">
        <v>729</v>
      </c>
      <c r="P1060" s="217" t="s">
        <v>597</v>
      </c>
      <c r="Q1060" s="217" t="s">
        <v>730</v>
      </c>
      <c r="R1060" s="217" t="s">
        <v>735</v>
      </c>
      <c r="S1060" s="217" t="s">
        <v>732</v>
      </c>
      <c r="T1060" s="217" t="s">
        <v>445</v>
      </c>
      <c r="U1060" s="217"/>
      <c r="V1060" s="217"/>
      <c r="W1060" s="217"/>
      <c r="X1060" s="217"/>
      <c r="Y1060" s="217"/>
      <c r="Z1060" s="217"/>
      <c r="AA1060" s="217"/>
    </row>
    <row r="1061" spans="1:27" s="56" customFormat="1">
      <c r="A1061" s="56" t="s">
        <v>1165</v>
      </c>
      <c r="E1061" s="292"/>
      <c r="F1061" s="217" t="s">
        <v>324</v>
      </c>
      <c r="G1061" s="217" t="s">
        <v>325</v>
      </c>
      <c r="H1061" s="293"/>
      <c r="I1061" s="294">
        <v>-2120000</v>
      </c>
      <c r="J1061" s="294">
        <v>-1492.9577464788699</v>
      </c>
      <c r="K1061" s="294">
        <v>1420</v>
      </c>
      <c r="L1061" s="295" t="s">
        <v>586</v>
      </c>
      <c r="M1061" s="217" t="s">
        <v>452</v>
      </c>
      <c r="N1061" s="296" t="s">
        <v>464</v>
      </c>
      <c r="O1061" s="217" t="s">
        <v>587</v>
      </c>
      <c r="P1061" s="217" t="s">
        <v>454</v>
      </c>
      <c r="Q1061" s="217" t="s">
        <v>588</v>
      </c>
      <c r="R1061" s="217" t="s">
        <v>589</v>
      </c>
      <c r="S1061" s="217" t="s">
        <v>590</v>
      </c>
      <c r="T1061" s="217" t="s">
        <v>445</v>
      </c>
      <c r="U1061" s="217"/>
      <c r="V1061" s="217"/>
      <c r="W1061" s="217"/>
      <c r="X1061" s="217"/>
      <c r="Y1061" s="217"/>
      <c r="Z1061" s="217"/>
      <c r="AA1061" s="217"/>
    </row>
    <row r="1062" spans="1:27" s="56" customFormat="1">
      <c r="A1062" s="56" t="s">
        <v>1165</v>
      </c>
      <c r="E1062" s="292"/>
      <c r="F1062" s="217" t="s">
        <v>324</v>
      </c>
      <c r="G1062" s="217" t="s">
        <v>325</v>
      </c>
      <c r="H1062" s="293"/>
      <c r="I1062" s="294">
        <v>2120000</v>
      </c>
      <c r="J1062" s="294">
        <v>1630.76923076923</v>
      </c>
      <c r="K1062" s="294">
        <v>1300</v>
      </c>
      <c r="L1062" s="295" t="s">
        <v>459</v>
      </c>
      <c r="M1062" s="217" t="s">
        <v>452</v>
      </c>
      <c r="N1062" s="296" t="s">
        <v>464</v>
      </c>
      <c r="O1062" s="217" t="s">
        <v>492</v>
      </c>
      <c r="P1062" s="217" t="s">
        <v>454</v>
      </c>
      <c r="Q1062" s="217" t="s">
        <v>493</v>
      </c>
      <c r="R1062" s="217" t="s">
        <v>496</v>
      </c>
      <c r="S1062" s="217" t="s">
        <v>495</v>
      </c>
      <c r="T1062" s="217" t="s">
        <v>445</v>
      </c>
      <c r="U1062" s="217"/>
      <c r="V1062" s="217"/>
      <c r="W1062" s="217"/>
      <c r="X1062" s="217"/>
      <c r="Y1062" s="217"/>
      <c r="Z1062" s="217"/>
      <c r="AA1062" s="217"/>
    </row>
    <row r="1063" spans="1:27" s="56" customFormat="1">
      <c r="A1063" s="56" t="s">
        <v>1165</v>
      </c>
      <c r="E1063" s="292"/>
      <c r="F1063" s="217" t="s">
        <v>324</v>
      </c>
      <c r="G1063" s="217" t="s">
        <v>325</v>
      </c>
      <c r="H1063" s="293"/>
      <c r="I1063" s="294">
        <v>-6410000</v>
      </c>
      <c r="J1063" s="294">
        <v>-4611.5107913669099</v>
      </c>
      <c r="K1063" s="294">
        <v>1390</v>
      </c>
      <c r="L1063" s="295" t="s">
        <v>628</v>
      </c>
      <c r="M1063" s="217" t="s">
        <v>452</v>
      </c>
      <c r="N1063" s="296" t="s">
        <v>464</v>
      </c>
      <c r="O1063" s="217" t="s">
        <v>787</v>
      </c>
      <c r="P1063" s="217" t="s">
        <v>597</v>
      </c>
      <c r="Q1063" s="217" t="s">
        <v>788</v>
      </c>
      <c r="R1063" s="217" t="s">
        <v>788</v>
      </c>
      <c r="S1063" s="217" t="s">
        <v>789</v>
      </c>
      <c r="T1063" s="217" t="s">
        <v>445</v>
      </c>
      <c r="U1063" s="217"/>
      <c r="V1063" s="217"/>
      <c r="W1063" s="217"/>
      <c r="X1063" s="217"/>
      <c r="Y1063" s="217"/>
      <c r="Z1063" s="217"/>
      <c r="AA1063" s="217"/>
    </row>
    <row r="1064" spans="1:27" s="56" customFormat="1">
      <c r="A1064" s="56" t="s">
        <v>1165</v>
      </c>
      <c r="E1064" s="292"/>
      <c r="F1064" s="217" t="s">
        <v>324</v>
      </c>
      <c r="G1064" s="217" t="s">
        <v>325</v>
      </c>
      <c r="H1064" s="293"/>
      <c r="I1064" s="294">
        <v>6410000</v>
      </c>
      <c r="J1064" s="294">
        <v>4678.8321167883196</v>
      </c>
      <c r="K1064" s="294">
        <v>1370</v>
      </c>
      <c r="L1064" s="295" t="s">
        <v>451</v>
      </c>
      <c r="M1064" s="217" t="s">
        <v>452</v>
      </c>
      <c r="N1064" s="296" t="s">
        <v>464</v>
      </c>
      <c r="O1064" s="217" t="s">
        <v>524</v>
      </c>
      <c r="P1064" s="217" t="s">
        <v>454</v>
      </c>
      <c r="Q1064" s="217" t="s">
        <v>525</v>
      </c>
      <c r="R1064" s="217" t="s">
        <v>532</v>
      </c>
      <c r="S1064" s="217" t="s">
        <v>527</v>
      </c>
      <c r="T1064" s="217" t="s">
        <v>445</v>
      </c>
      <c r="U1064" s="217"/>
      <c r="V1064" s="217"/>
      <c r="W1064" s="217"/>
      <c r="X1064" s="217"/>
      <c r="Y1064" s="217"/>
      <c r="Z1064" s="217"/>
      <c r="AA1064" s="217"/>
    </row>
    <row r="1065" spans="1:27" s="56" customFormat="1">
      <c r="E1065" s="292"/>
      <c r="F1065" s="217"/>
      <c r="G1065" s="217"/>
      <c r="H1065" s="293"/>
      <c r="I1065" s="294"/>
      <c r="J1065" s="294"/>
      <c r="K1065" s="294"/>
      <c r="L1065" s="295"/>
      <c r="M1065" s="217"/>
      <c r="N1065" s="296"/>
      <c r="O1065" s="217"/>
      <c r="P1065" s="217"/>
      <c r="Q1065" s="217"/>
      <c r="R1065" s="217"/>
      <c r="S1065" s="217"/>
      <c r="T1065" s="217"/>
      <c r="U1065" s="217"/>
      <c r="V1065" s="217"/>
      <c r="W1065" s="217"/>
      <c r="X1065" s="217"/>
      <c r="Y1065" s="217"/>
      <c r="Z1065" s="217"/>
      <c r="AA1065" s="217"/>
    </row>
    <row r="1066" spans="1:27" s="56" customFormat="1">
      <c r="A1066" s="56" t="s">
        <v>1166</v>
      </c>
      <c r="E1066" s="292"/>
      <c r="F1066" s="217" t="s">
        <v>324</v>
      </c>
      <c r="G1066" s="217" t="s">
        <v>325</v>
      </c>
      <c r="H1066" s="293"/>
      <c r="I1066" s="294">
        <v>-840000</v>
      </c>
      <c r="J1066" s="294">
        <v>-600</v>
      </c>
      <c r="K1066" s="294">
        <v>1400</v>
      </c>
      <c r="L1066" s="295" t="s">
        <v>834</v>
      </c>
      <c r="M1066" s="217" t="s">
        <v>452</v>
      </c>
      <c r="N1066" s="296" t="s">
        <v>464</v>
      </c>
      <c r="O1066" s="217" t="s">
        <v>851</v>
      </c>
      <c r="P1066" s="217" t="s">
        <v>597</v>
      </c>
      <c r="Q1066" s="217" t="s">
        <v>852</v>
      </c>
      <c r="R1066" s="217" t="s">
        <v>563</v>
      </c>
      <c r="S1066" s="217" t="s">
        <v>853</v>
      </c>
      <c r="T1066" s="217" t="s">
        <v>445</v>
      </c>
      <c r="U1066" s="217"/>
      <c r="V1066" s="217"/>
      <c r="W1066" s="217"/>
      <c r="X1066" s="217"/>
      <c r="Y1066" s="217"/>
      <c r="Z1066" s="217"/>
      <c r="AA1066" s="217"/>
    </row>
    <row r="1067" spans="1:27" s="56" customFormat="1">
      <c r="A1067" s="56" t="s">
        <v>1166</v>
      </c>
      <c r="E1067" s="292"/>
      <c r="F1067" s="217" t="s">
        <v>324</v>
      </c>
      <c r="G1067" s="217" t="s">
        <v>325</v>
      </c>
      <c r="H1067" s="293"/>
      <c r="I1067" s="294">
        <v>858000</v>
      </c>
      <c r="J1067" s="294">
        <v>600</v>
      </c>
      <c r="K1067" s="294">
        <v>1430</v>
      </c>
      <c r="L1067" s="295" t="s">
        <v>608</v>
      </c>
      <c r="M1067" s="217" t="s">
        <v>452</v>
      </c>
      <c r="N1067" s="296" t="s">
        <v>464</v>
      </c>
      <c r="O1067" s="217" t="s">
        <v>738</v>
      </c>
      <c r="P1067" s="217" t="s">
        <v>597</v>
      </c>
      <c r="Q1067" s="217" t="s">
        <v>739</v>
      </c>
      <c r="R1067" s="217" t="s">
        <v>735</v>
      </c>
      <c r="S1067" s="217" t="s">
        <v>741</v>
      </c>
      <c r="T1067" s="217" t="s">
        <v>445</v>
      </c>
      <c r="U1067" s="217"/>
      <c r="V1067" s="217"/>
      <c r="W1067" s="217"/>
      <c r="X1067" s="217"/>
      <c r="Y1067" s="217"/>
      <c r="Z1067" s="217"/>
      <c r="AA1067" s="217"/>
    </row>
    <row r="1068" spans="1:27" s="56" customFormat="1">
      <c r="A1068" s="56" t="s">
        <v>1166</v>
      </c>
      <c r="E1068" s="292"/>
      <c r="F1068" s="217" t="s">
        <v>324</v>
      </c>
      <c r="G1068" s="217" t="s">
        <v>325</v>
      </c>
      <c r="H1068" s="293"/>
      <c r="I1068" s="294">
        <v>11645000</v>
      </c>
      <c r="J1068" s="294">
        <v>8500</v>
      </c>
      <c r="K1068" s="294">
        <v>1370</v>
      </c>
      <c r="L1068" s="295" t="s">
        <v>451</v>
      </c>
      <c r="M1068" s="217" t="s">
        <v>452</v>
      </c>
      <c r="N1068" s="296" t="s">
        <v>464</v>
      </c>
      <c r="O1068" s="217" t="s">
        <v>518</v>
      </c>
      <c r="P1068" s="217" t="s">
        <v>454</v>
      </c>
      <c r="Q1068" s="217" t="s">
        <v>519</v>
      </c>
      <c r="R1068" s="217" t="s">
        <v>520</v>
      </c>
      <c r="S1068" s="217" t="s">
        <v>521</v>
      </c>
      <c r="T1068" s="217" t="s">
        <v>445</v>
      </c>
      <c r="U1068" s="217"/>
      <c r="V1068" s="217"/>
      <c r="W1068" s="217"/>
      <c r="X1068" s="217"/>
      <c r="Y1068" s="217"/>
      <c r="Z1068" s="217"/>
      <c r="AA1068" s="217"/>
    </row>
    <row r="1069" spans="1:27" s="56" customFormat="1">
      <c r="A1069" s="56" t="s">
        <v>1166</v>
      </c>
      <c r="E1069" s="292"/>
      <c r="F1069" s="217" t="s">
        <v>324</v>
      </c>
      <c r="G1069" s="217" t="s">
        <v>325</v>
      </c>
      <c r="H1069" s="293"/>
      <c r="I1069" s="294">
        <v>-11815000</v>
      </c>
      <c r="J1069" s="294">
        <v>-8500</v>
      </c>
      <c r="K1069" s="294">
        <v>1390</v>
      </c>
      <c r="L1069" s="295" t="s">
        <v>628</v>
      </c>
      <c r="M1069" s="217" t="s">
        <v>452</v>
      </c>
      <c r="N1069" s="296" t="s">
        <v>464</v>
      </c>
      <c r="O1069" s="217" t="s">
        <v>790</v>
      </c>
      <c r="P1069" s="217" t="s">
        <v>597</v>
      </c>
      <c r="Q1069" s="217" t="s">
        <v>791</v>
      </c>
      <c r="R1069" s="217" t="s">
        <v>563</v>
      </c>
      <c r="S1069" s="217" t="s">
        <v>792</v>
      </c>
      <c r="T1069" s="217" t="s">
        <v>445</v>
      </c>
      <c r="U1069" s="217"/>
      <c r="V1069" s="217"/>
      <c r="W1069" s="217"/>
      <c r="X1069" s="217"/>
      <c r="Y1069" s="217"/>
      <c r="Z1069" s="217"/>
      <c r="AA1069" s="217"/>
    </row>
    <row r="1070" spans="1:27" customFormat="1">
      <c r="A1070" s="56"/>
      <c r="E1070" s="88"/>
      <c r="F1070" s="36"/>
      <c r="G1070" s="5"/>
      <c r="H1070" s="207"/>
      <c r="I1070" s="62"/>
      <c r="J1070" s="62"/>
      <c r="K1070" s="62"/>
      <c r="L1070" s="100"/>
      <c r="M1070" s="5"/>
      <c r="N1070" s="34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s="56" customFormat="1">
      <c r="A1071" s="56" t="s">
        <v>1167</v>
      </c>
      <c r="E1071" s="292"/>
      <c r="F1071" s="217" t="s">
        <v>324</v>
      </c>
      <c r="G1071" s="217" t="s">
        <v>325</v>
      </c>
      <c r="H1071" s="293"/>
      <c r="I1071" s="294">
        <v>820000</v>
      </c>
      <c r="J1071" s="294">
        <v>577.46478873239403</v>
      </c>
      <c r="K1071" s="294">
        <v>1420</v>
      </c>
      <c r="L1071" s="295" t="s">
        <v>985</v>
      </c>
      <c r="M1071" s="217" t="s">
        <v>452</v>
      </c>
      <c r="N1071" s="296" t="s">
        <v>464</v>
      </c>
      <c r="O1071" s="217" t="s">
        <v>1002</v>
      </c>
      <c r="P1071" s="217" t="s">
        <v>597</v>
      </c>
      <c r="Q1071" s="217" t="s">
        <v>1003</v>
      </c>
      <c r="R1071" s="217" t="s">
        <v>1007</v>
      </c>
      <c r="S1071" s="217" t="s">
        <v>1005</v>
      </c>
      <c r="T1071" s="217" t="s">
        <v>445</v>
      </c>
      <c r="U1071" s="217"/>
      <c r="V1071" s="217"/>
      <c r="W1071" s="217"/>
      <c r="X1071" s="217"/>
      <c r="Y1071" s="217"/>
      <c r="Z1071" s="217"/>
      <c r="AA1071" s="217"/>
    </row>
    <row r="1072" spans="1:27" s="56" customFormat="1">
      <c r="A1072" s="56" t="s">
        <v>1167</v>
      </c>
      <c r="E1072" s="292"/>
      <c r="F1072" s="217" t="s">
        <v>324</v>
      </c>
      <c r="G1072" s="217" t="s">
        <v>325</v>
      </c>
      <c r="H1072" s="293"/>
      <c r="I1072" s="294">
        <v>-750000</v>
      </c>
      <c r="J1072" s="294">
        <v>-500</v>
      </c>
      <c r="K1072" s="294">
        <v>1500</v>
      </c>
      <c r="L1072" s="295" t="s">
        <v>858</v>
      </c>
      <c r="M1072" s="217" t="s">
        <v>452</v>
      </c>
      <c r="N1072" s="296" t="s">
        <v>464</v>
      </c>
      <c r="O1072" s="217" t="s">
        <v>900</v>
      </c>
      <c r="P1072" s="217" t="s">
        <v>597</v>
      </c>
      <c r="Q1072" s="217" t="s">
        <v>901</v>
      </c>
      <c r="R1072" s="217" t="s">
        <v>904</v>
      </c>
      <c r="S1072" s="217" t="s">
        <v>903</v>
      </c>
      <c r="T1072" s="217" t="s">
        <v>445</v>
      </c>
      <c r="U1072" s="217"/>
      <c r="V1072" s="217"/>
      <c r="W1072" s="217"/>
      <c r="X1072" s="217"/>
      <c r="Y1072" s="217"/>
      <c r="Z1072" s="217"/>
      <c r="AA1072" s="217"/>
    </row>
    <row r="1073" spans="1:27" s="56" customFormat="1">
      <c r="A1073" s="56" t="s">
        <v>1167</v>
      </c>
      <c r="E1073" s="292"/>
      <c r="F1073" s="217" t="s">
        <v>324</v>
      </c>
      <c r="G1073" s="217" t="s">
        <v>325</v>
      </c>
      <c r="H1073" s="293"/>
      <c r="I1073" s="294">
        <v>-2720000</v>
      </c>
      <c r="J1073" s="294">
        <v>-1915.49295774648</v>
      </c>
      <c r="K1073" s="294">
        <v>1420</v>
      </c>
      <c r="L1073" s="295" t="s">
        <v>1104</v>
      </c>
      <c r="M1073" s="217" t="s">
        <v>452</v>
      </c>
      <c r="N1073" s="296" t="s">
        <v>464</v>
      </c>
      <c r="O1073" s="217" t="s">
        <v>1108</v>
      </c>
      <c r="P1073" s="217" t="s">
        <v>597</v>
      </c>
      <c r="Q1073" s="217" t="s">
        <v>1109</v>
      </c>
      <c r="R1073" s="217" t="s">
        <v>563</v>
      </c>
      <c r="S1073" s="217" t="s">
        <v>1110</v>
      </c>
      <c r="T1073" s="217" t="s">
        <v>445</v>
      </c>
      <c r="U1073" s="217"/>
      <c r="V1073" s="217"/>
      <c r="W1073" s="217"/>
      <c r="X1073" s="217"/>
      <c r="Y1073" s="217"/>
      <c r="Z1073" s="217"/>
      <c r="AA1073" s="217"/>
    </row>
    <row r="1074" spans="1:27" s="56" customFormat="1">
      <c r="A1074" s="56" t="s">
        <v>1167</v>
      </c>
      <c r="E1074" s="292"/>
      <c r="F1074" s="217" t="s">
        <v>324</v>
      </c>
      <c r="G1074" s="217" t="s">
        <v>325</v>
      </c>
      <c r="H1074" s="293"/>
      <c r="I1074" s="294">
        <v>2374000</v>
      </c>
      <c r="J1074" s="294">
        <v>1671.8309859154899</v>
      </c>
      <c r="K1074" s="294">
        <v>1420</v>
      </c>
      <c r="L1074" s="295" t="s">
        <v>1030</v>
      </c>
      <c r="M1074" s="217" t="s">
        <v>452</v>
      </c>
      <c r="N1074" s="296" t="s">
        <v>464</v>
      </c>
      <c r="O1074" s="217" t="s">
        <v>1031</v>
      </c>
      <c r="P1074" s="217" t="s">
        <v>597</v>
      </c>
      <c r="Q1074" s="217" t="s">
        <v>1032</v>
      </c>
      <c r="R1074" s="217" t="s">
        <v>1053</v>
      </c>
      <c r="S1074" s="217" t="s">
        <v>1033</v>
      </c>
      <c r="T1074" s="217" t="s">
        <v>445</v>
      </c>
      <c r="U1074" s="217"/>
      <c r="V1074" s="217"/>
      <c r="W1074" s="217"/>
      <c r="X1074" s="217"/>
      <c r="Y1074" s="217"/>
      <c r="Z1074" s="217"/>
      <c r="AA1074" s="217"/>
    </row>
    <row r="1075" spans="1:27" s="56" customFormat="1">
      <c r="A1075" s="56" t="s">
        <v>1167</v>
      </c>
      <c r="E1075" s="292"/>
      <c r="F1075" s="217" t="s">
        <v>324</v>
      </c>
      <c r="G1075" s="217" t="s">
        <v>325</v>
      </c>
      <c r="H1075" s="293"/>
      <c r="I1075" s="294">
        <v>4330000</v>
      </c>
      <c r="J1075" s="294">
        <v>3049.2957746478901</v>
      </c>
      <c r="K1075" s="294">
        <v>1420</v>
      </c>
      <c r="L1075" s="295" t="s">
        <v>989</v>
      </c>
      <c r="M1075" s="217" t="s">
        <v>452</v>
      </c>
      <c r="N1075" s="296" t="s">
        <v>464</v>
      </c>
      <c r="O1075" s="217" t="s">
        <v>1075</v>
      </c>
      <c r="P1075" s="217" t="s">
        <v>597</v>
      </c>
      <c r="Q1075" s="217" t="s">
        <v>1076</v>
      </c>
      <c r="R1075" s="217" t="s">
        <v>1081</v>
      </c>
      <c r="S1075" s="217" t="s">
        <v>1078</v>
      </c>
      <c r="T1075" s="217" t="s">
        <v>445</v>
      </c>
      <c r="U1075" s="217"/>
      <c r="V1075" s="217"/>
      <c r="W1075" s="217"/>
      <c r="X1075" s="217"/>
      <c r="Y1075" s="217"/>
      <c r="Z1075" s="217"/>
      <c r="AA1075" s="217"/>
    </row>
    <row r="1076" spans="1:27" s="56" customFormat="1">
      <c r="A1076" s="56" t="s">
        <v>1167</v>
      </c>
      <c r="E1076" s="292"/>
      <c r="F1076" s="217" t="s">
        <v>324</v>
      </c>
      <c r="G1076" s="217" t="s">
        <v>325</v>
      </c>
      <c r="H1076" s="293"/>
      <c r="I1076" s="294">
        <v>-4927500</v>
      </c>
      <c r="J1076" s="294">
        <v>-3470.0704225352101</v>
      </c>
      <c r="K1076" s="294">
        <v>1420</v>
      </c>
      <c r="L1076" s="295" t="s">
        <v>1030</v>
      </c>
      <c r="M1076" s="217" t="s">
        <v>452</v>
      </c>
      <c r="N1076" s="296" t="s">
        <v>464</v>
      </c>
      <c r="O1076" s="217" t="s">
        <v>1132</v>
      </c>
      <c r="P1076" s="217" t="s">
        <v>597</v>
      </c>
      <c r="Q1076" s="217" t="s">
        <v>1133</v>
      </c>
      <c r="R1076" s="217" t="s">
        <v>1134</v>
      </c>
      <c r="S1076" s="217" t="s">
        <v>1135</v>
      </c>
      <c r="T1076" s="217" t="s">
        <v>445</v>
      </c>
      <c r="U1076" s="217"/>
      <c r="V1076" s="217"/>
      <c r="W1076" s="217"/>
      <c r="X1076" s="217"/>
      <c r="Y1076" s="217"/>
      <c r="Z1076" s="217"/>
      <c r="AA1076" s="217"/>
    </row>
    <row r="1077" spans="1:27" customFormat="1">
      <c r="F1077" s="36"/>
      <c r="G1077" s="5"/>
      <c r="H1077" s="5"/>
      <c r="I1077" s="62"/>
      <c r="J1077" s="62"/>
      <c r="K1077" s="62"/>
      <c r="L1077" s="100"/>
      <c r="M1077" s="5"/>
      <c r="N1077" s="34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>
      <c r="A1078" s="10" t="s">
        <v>75</v>
      </c>
      <c r="B1078" s="10" t="s">
        <v>75</v>
      </c>
      <c r="C1078" s="10" t="s">
        <v>75</v>
      </c>
      <c r="D1078" s="10" t="s">
        <v>75</v>
      </c>
      <c r="E1078" s="10" t="s">
        <v>75</v>
      </c>
      <c r="F1078" s="11" t="s">
        <v>75</v>
      </c>
      <c r="G1078" s="11" t="s">
        <v>75</v>
      </c>
      <c r="H1078" s="11" t="s">
        <v>75</v>
      </c>
      <c r="I1078" s="35" t="s">
        <v>75</v>
      </c>
      <c r="J1078" s="35" t="s">
        <v>75</v>
      </c>
      <c r="K1078" s="35" t="s">
        <v>75</v>
      </c>
      <c r="L1078" s="102" t="s">
        <v>75</v>
      </c>
      <c r="M1078" s="11" t="s">
        <v>75</v>
      </c>
      <c r="N1078" s="11" t="s">
        <v>75</v>
      </c>
      <c r="O1078" s="11" t="s">
        <v>75</v>
      </c>
      <c r="P1078" s="11" t="s">
        <v>75</v>
      </c>
      <c r="Q1078" s="11" t="s">
        <v>75</v>
      </c>
      <c r="R1078" s="11" t="s">
        <v>75</v>
      </c>
      <c r="S1078" s="11" t="s">
        <v>75</v>
      </c>
      <c r="T1078" s="11" t="s">
        <v>75</v>
      </c>
      <c r="U1078" s="11" t="s">
        <v>75</v>
      </c>
      <c r="V1078" s="11" t="s">
        <v>75</v>
      </c>
      <c r="W1078" s="11" t="s">
        <v>75</v>
      </c>
    </row>
  </sheetData>
  <autoFilter ref="A10:AA1078" xr:uid="{00000000-0009-0000-0000-000000000000}"/>
  <sortState xmlns:xlrd2="http://schemas.microsoft.com/office/spreadsheetml/2017/richdata2" ref="A12:IV368">
    <sortCondition ref="F12"/>
  </sortState>
  <conditionalFormatting sqref="G7:G8">
    <cfRule type="cellIs" dxfId="28" priority="1" stopIfTrue="1" operator="equal">
      <formula>"Check"</formula>
    </cfRule>
  </conditionalFormatting>
  <pageMargins left="0.75" right="0.75" top="1" bottom="1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62"/>
  <sheetViews>
    <sheetView zoomScale="60" zoomScaleNormal="60" workbookViewId="0">
      <pane xSplit="8" ySplit="10" topLeftCell="I94" activePane="bottomRight" state="frozen"/>
      <selection sqref="A1:IR2692"/>
      <selection pane="topRight" sqref="A1:IR2692"/>
      <selection pane="bottomLeft" sqref="A1:IR2692"/>
      <selection pane="bottomRight" activeCell="H113" sqref="H113"/>
    </sheetView>
  </sheetViews>
  <sheetFormatPr baseColWidth="10" defaultColWidth="10.83203125" defaultRowHeight="13"/>
  <cols>
    <col min="1" max="1" width="31.5" style="9" bestFit="1" customWidth="1"/>
    <col min="2" max="2" width="29.83203125" style="5" bestFit="1" customWidth="1"/>
    <col min="3" max="3" width="10.83203125" style="5"/>
    <col min="4" max="4" width="13.1640625" style="34" bestFit="1" customWidth="1"/>
    <col min="5" max="5" width="33.1640625" style="88" bestFit="1" customWidth="1"/>
    <col min="6" max="6" width="10.5" style="36" bestFit="1" customWidth="1"/>
    <col min="7" max="7" width="39.5" style="5" bestFit="1" customWidth="1"/>
    <col min="8" max="8" width="13" style="5" bestFit="1" customWidth="1"/>
    <col min="9" max="9" width="22.5" style="62" customWidth="1"/>
    <col min="10" max="10" width="19.1640625" style="62" customWidth="1"/>
    <col min="11" max="11" width="20.1640625" style="62" hidden="1" customWidth="1"/>
    <col min="12" max="12" width="13.1640625" style="100" customWidth="1"/>
    <col min="13" max="13" width="18.83203125" style="5" hidden="1" customWidth="1"/>
    <col min="14" max="14" width="12.5" style="34" hidden="1" customWidth="1"/>
    <col min="15" max="15" width="28.1640625" style="5" hidden="1" customWidth="1"/>
    <col min="16" max="16" width="36.1640625" style="5" hidden="1" customWidth="1"/>
    <col min="17" max="17" width="13.83203125" style="5" hidden="1" customWidth="1"/>
    <col min="18" max="18" width="109.33203125" style="5" bestFit="1" customWidth="1"/>
    <col min="19" max="19" width="15.83203125" style="5" customWidth="1"/>
    <col min="20" max="20" width="21.5" style="5" customWidth="1"/>
    <col min="21" max="21" width="38.83203125" style="5" bestFit="1" customWidth="1"/>
    <col min="22" max="22" width="35.5" style="5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+SUMIF($E$10:$E$371,H4,$I$10:$I$371)</f>
        <v>3013697</v>
      </c>
      <c r="J4" s="298">
        <f>+SUMIF($E$10:$E$371,H4,$J$10:$J$371)</f>
        <v>2105.2848711315505</v>
      </c>
      <c r="K4" s="299">
        <f>+I4/J4</f>
        <v>1431.4913109028305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ROUND(SUM(I10:I364),0)</f>
        <v>0</v>
      </c>
      <c r="J7" s="104">
        <f>ROUND(SUM(J10:J364),0)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SUM(I10:I130)</f>
        <v>25550567.050000001</v>
      </c>
      <c r="J9" s="104">
        <f>SUM(J10:J130)</f>
        <v>17678.519215770822</v>
      </c>
      <c r="L9" s="62"/>
      <c r="M9" s="62"/>
      <c r="N9" s="62"/>
    </row>
    <row r="10" spans="1:40" ht="32">
      <c r="B10" s="12" t="s">
        <v>81</v>
      </c>
      <c r="C10" s="9"/>
      <c r="D10" s="12" t="s">
        <v>71</v>
      </c>
      <c r="E10" s="12" t="s">
        <v>72</v>
      </c>
      <c r="F10" s="37" t="s">
        <v>22</v>
      </c>
      <c r="G10" s="7" t="s">
        <v>21</v>
      </c>
      <c r="H10" s="7"/>
      <c r="I10" s="8" t="s">
        <v>20</v>
      </c>
      <c r="J10" s="8" t="s">
        <v>18</v>
      </c>
      <c r="K10" s="71" t="s">
        <v>70</v>
      </c>
      <c r="L10" s="101" t="s">
        <v>16</v>
      </c>
      <c r="M10" s="7" t="s">
        <v>15</v>
      </c>
      <c r="N10" s="7" t="s">
        <v>14</v>
      </c>
      <c r="O10" s="7" t="s">
        <v>13</v>
      </c>
      <c r="P10" s="7" t="s">
        <v>12</v>
      </c>
      <c r="Q10" s="7" t="s">
        <v>11</v>
      </c>
      <c r="R10" s="7" t="s">
        <v>10</v>
      </c>
      <c r="S10" s="7" t="s">
        <v>9</v>
      </c>
      <c r="T10" s="7" t="s">
        <v>8</v>
      </c>
      <c r="U10" s="7" t="s">
        <v>7</v>
      </c>
      <c r="V10" s="7" t="s">
        <v>6</v>
      </c>
      <c r="W10" s="7" t="s">
        <v>5</v>
      </c>
      <c r="X10" s="8" t="s">
        <v>19</v>
      </c>
      <c r="Y10" s="7"/>
      <c r="Z10" s="7" t="s">
        <v>18</v>
      </c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2" spans="1:40" customFormat="1" ht="28">
      <c r="A12" s="9"/>
      <c r="B12" s="5"/>
      <c r="C12" s="5"/>
      <c r="D12" s="214" t="s">
        <v>383</v>
      </c>
      <c r="E12" s="212" t="str">
        <f>+VLOOKUP(F12,Resumen_Base!$B$6:$F$69,5,0)</f>
        <v>Fixed Asset's Payments (Investments) Mejoras/equipamiento Lodge</v>
      </c>
      <c r="F12" s="5" t="s">
        <v>4</v>
      </c>
      <c r="G12" s="309" t="s">
        <v>3</v>
      </c>
      <c r="H12" s="5" t="str">
        <f t="shared" ref="H12:H43" si="0">+D12&amp;F12</f>
        <v>DEL12020301</v>
      </c>
      <c r="I12" s="306">
        <v>53450</v>
      </c>
      <c r="J12" s="307">
        <v>37.6408450704225</v>
      </c>
      <c r="K12" s="6">
        <v>1420</v>
      </c>
      <c r="L12" s="5" t="s">
        <v>1254</v>
      </c>
      <c r="M12" s="62" t="s">
        <v>452</v>
      </c>
      <c r="N12" s="62" t="s">
        <v>464</v>
      </c>
      <c r="O12" s="62" t="s">
        <v>1255</v>
      </c>
      <c r="P12" s="100" t="s">
        <v>597</v>
      </c>
      <c r="Q12" s="309" t="s">
        <v>1256</v>
      </c>
      <c r="R12" s="309" t="s">
        <v>1257</v>
      </c>
      <c r="S12" s="5" t="s">
        <v>1258</v>
      </c>
      <c r="T12" s="5" t="s">
        <v>445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40" customFormat="1" ht="28">
      <c r="A13" s="9"/>
      <c r="B13" s="5"/>
      <c r="C13" s="5"/>
      <c r="D13" s="214" t="s">
        <v>383</v>
      </c>
      <c r="E13" s="212" t="str">
        <f>+VLOOKUP(F13,Resumen_Base!$B$6:$F$69,5,0)</f>
        <v>Fixed Asset's Payments (Investments) Mejoras/equipamiento Lodge</v>
      </c>
      <c r="F13" s="5" t="s">
        <v>4</v>
      </c>
      <c r="G13" s="309" t="s">
        <v>3</v>
      </c>
      <c r="H13" s="5" t="str">
        <f t="shared" si="0"/>
        <v>DEL12020301</v>
      </c>
      <c r="I13" s="306">
        <v>70000</v>
      </c>
      <c r="J13" s="307">
        <v>49.295774647887299</v>
      </c>
      <c r="K13" s="6">
        <v>1420</v>
      </c>
      <c r="L13" s="5" t="s">
        <v>1254</v>
      </c>
      <c r="M13" s="62" t="s">
        <v>452</v>
      </c>
      <c r="N13" s="62" t="s">
        <v>464</v>
      </c>
      <c r="O13" s="62" t="s">
        <v>1255</v>
      </c>
      <c r="P13" s="100" t="s">
        <v>597</v>
      </c>
      <c r="Q13" s="309" t="s">
        <v>1256</v>
      </c>
      <c r="R13" s="309" t="s">
        <v>1295</v>
      </c>
      <c r="S13" s="5" t="s">
        <v>1258</v>
      </c>
      <c r="T13" s="5" t="s">
        <v>445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40" customFormat="1" ht="28">
      <c r="A14" s="9"/>
      <c r="B14" s="5"/>
      <c r="C14" s="5"/>
      <c r="D14" s="214" t="s">
        <v>383</v>
      </c>
      <c r="E14" s="212" t="str">
        <f>+VLOOKUP(F14,Resumen_Base!$B$6:$F$69,5,0)</f>
        <v>Fixed Asset's Payments (Investments) Mejoras/equipamiento Lodge</v>
      </c>
      <c r="F14" s="5" t="s">
        <v>4</v>
      </c>
      <c r="G14" s="309" t="s">
        <v>3</v>
      </c>
      <c r="H14" s="5" t="str">
        <f t="shared" si="0"/>
        <v>DEL12020301</v>
      </c>
      <c r="I14" s="306">
        <v>142000</v>
      </c>
      <c r="J14" s="307">
        <v>100</v>
      </c>
      <c r="K14" s="6">
        <v>1420</v>
      </c>
      <c r="L14" s="5" t="s">
        <v>1254</v>
      </c>
      <c r="M14" s="62" t="s">
        <v>452</v>
      </c>
      <c r="N14" s="62" t="s">
        <v>464</v>
      </c>
      <c r="O14" s="62" t="s">
        <v>1296</v>
      </c>
      <c r="P14" s="100" t="s">
        <v>597</v>
      </c>
      <c r="Q14" s="309" t="s">
        <v>1297</v>
      </c>
      <c r="R14" s="309" t="s">
        <v>1298</v>
      </c>
      <c r="S14" s="5" t="s">
        <v>1299</v>
      </c>
      <c r="T14" s="5" t="s">
        <v>445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40" customFormat="1" ht="28">
      <c r="A15" s="9"/>
      <c r="B15" s="5"/>
      <c r="C15" s="5"/>
      <c r="D15" s="214" t="s">
        <v>383</v>
      </c>
      <c r="E15" s="212" t="str">
        <f>+VLOOKUP(F15,Resumen_Base!$B$6:$F$69,5,0)</f>
        <v>Fixed Asset's Payments (Investments) Rodados/Lanchas</v>
      </c>
      <c r="F15" s="5" t="s">
        <v>271</v>
      </c>
      <c r="G15" s="309" t="s">
        <v>252</v>
      </c>
      <c r="H15" s="5" t="str">
        <f t="shared" si="0"/>
        <v>DEL12020701</v>
      </c>
      <c r="I15" s="306">
        <v>1374000</v>
      </c>
      <c r="J15" s="307">
        <v>967.60563380281701</v>
      </c>
      <c r="K15" s="6">
        <v>1420</v>
      </c>
      <c r="L15" s="5" t="s">
        <v>1237</v>
      </c>
      <c r="M15" s="62" t="s">
        <v>452</v>
      </c>
      <c r="N15" s="62" t="s">
        <v>464</v>
      </c>
      <c r="O15" s="62" t="s">
        <v>1343</v>
      </c>
      <c r="P15" s="100" t="s">
        <v>597</v>
      </c>
      <c r="Q15" s="309" t="s">
        <v>1344</v>
      </c>
      <c r="R15" s="309" t="s">
        <v>1369</v>
      </c>
      <c r="S15" s="5" t="s">
        <v>1346</v>
      </c>
      <c r="T15" s="5" t="s">
        <v>445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40" customFormat="1" ht="14">
      <c r="A16" s="9"/>
      <c r="B16" s="5"/>
      <c r="C16" s="5"/>
      <c r="D16" s="214" t="s">
        <v>383</v>
      </c>
      <c r="E16" s="212" t="str">
        <f>+VLOOKUP(F16,Resumen_Base!$B$6:$F$69,5,0)</f>
        <v>Shop</v>
      </c>
      <c r="F16" s="5" t="s">
        <v>130</v>
      </c>
      <c r="G16" s="309" t="s">
        <v>131</v>
      </c>
      <c r="H16" s="5" t="str">
        <f t="shared" si="0"/>
        <v>DEL4104</v>
      </c>
      <c r="I16" s="306">
        <v>-85200</v>
      </c>
      <c r="J16" s="307">
        <v>-60</v>
      </c>
      <c r="K16" s="6">
        <v>1420</v>
      </c>
      <c r="L16" s="5" t="s">
        <v>1259</v>
      </c>
      <c r="M16" s="62" t="s">
        <v>1382</v>
      </c>
      <c r="N16" s="62" t="s">
        <v>464</v>
      </c>
      <c r="O16" s="62" t="s">
        <v>1383</v>
      </c>
      <c r="P16" s="100" t="s">
        <v>1384</v>
      </c>
      <c r="Q16" s="309" t="s">
        <v>1385</v>
      </c>
      <c r="R16" s="309" t="s">
        <v>1386</v>
      </c>
      <c r="S16" s="5" t="s">
        <v>1387</v>
      </c>
      <c r="T16" s="5" t="s">
        <v>445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customFormat="1" ht="14">
      <c r="A17" s="9"/>
      <c r="B17" s="5"/>
      <c r="C17" s="5"/>
      <c r="D17" s="214" t="s">
        <v>383</v>
      </c>
      <c r="E17" s="212" t="str">
        <f>+VLOOKUP(F17,Resumen_Base!$B$6:$F$69,5,0)</f>
        <v>Shop</v>
      </c>
      <c r="F17" s="5" t="s">
        <v>130</v>
      </c>
      <c r="G17" s="309" t="s">
        <v>131</v>
      </c>
      <c r="H17" s="5" t="str">
        <f t="shared" si="0"/>
        <v>DEL4104</v>
      </c>
      <c r="I17" s="306">
        <v>-85200</v>
      </c>
      <c r="J17" s="307">
        <v>-60</v>
      </c>
      <c r="K17" s="6">
        <v>1420</v>
      </c>
      <c r="L17" s="5" t="s">
        <v>1259</v>
      </c>
      <c r="M17" s="62" t="s">
        <v>1382</v>
      </c>
      <c r="N17" s="62" t="s">
        <v>464</v>
      </c>
      <c r="O17" s="62" t="s">
        <v>1388</v>
      </c>
      <c r="P17" s="100" t="s">
        <v>1384</v>
      </c>
      <c r="Q17" s="309" t="s">
        <v>1389</v>
      </c>
      <c r="R17" s="309" t="s">
        <v>1390</v>
      </c>
      <c r="S17" s="5" t="s">
        <v>1391</v>
      </c>
      <c r="T17" s="5" t="s">
        <v>445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customFormat="1" ht="14">
      <c r="A18" s="9"/>
      <c r="B18" s="5"/>
      <c r="C18" s="5"/>
      <c r="D18" s="214" t="s">
        <v>383</v>
      </c>
      <c r="E18" s="212" t="str">
        <f>+VLOOKUP(F18,Resumen_Base!$B$6:$F$69,5,0)</f>
        <v>Shop</v>
      </c>
      <c r="F18" s="5" t="s">
        <v>130</v>
      </c>
      <c r="G18" s="309" t="s">
        <v>131</v>
      </c>
      <c r="H18" s="5" t="str">
        <f t="shared" si="0"/>
        <v>DEL4104</v>
      </c>
      <c r="I18" s="306">
        <v>-56800</v>
      </c>
      <c r="J18" s="307">
        <v>-40</v>
      </c>
      <c r="K18" s="6">
        <v>1420</v>
      </c>
      <c r="L18" s="5" t="s">
        <v>1259</v>
      </c>
      <c r="M18" s="62" t="s">
        <v>1382</v>
      </c>
      <c r="N18" s="62" t="s">
        <v>464</v>
      </c>
      <c r="O18" s="62" t="s">
        <v>1398</v>
      </c>
      <c r="P18" s="100" t="s">
        <v>1384</v>
      </c>
      <c r="Q18" s="309" t="s">
        <v>1399</v>
      </c>
      <c r="R18" s="309" t="s">
        <v>1400</v>
      </c>
      <c r="S18" s="5" t="s">
        <v>1401</v>
      </c>
      <c r="T18" s="5" t="s">
        <v>445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customFormat="1" ht="14">
      <c r="A19" s="9"/>
      <c r="B19" s="5"/>
      <c r="C19" s="5"/>
      <c r="D19" s="214" t="s">
        <v>383</v>
      </c>
      <c r="E19" s="212" t="str">
        <f>+VLOOKUP(F19,Resumen_Base!$B$6:$F$69,5,0)</f>
        <v>Shop</v>
      </c>
      <c r="F19" s="5" t="s">
        <v>130</v>
      </c>
      <c r="G19" s="309" t="s">
        <v>131</v>
      </c>
      <c r="H19" s="5" t="str">
        <f t="shared" si="0"/>
        <v>DEL4104</v>
      </c>
      <c r="I19" s="306">
        <v>-42600</v>
      </c>
      <c r="J19" s="307">
        <v>-30</v>
      </c>
      <c r="K19" s="6">
        <v>1420</v>
      </c>
      <c r="L19" s="5" t="s">
        <v>1259</v>
      </c>
      <c r="M19" s="62" t="s">
        <v>1382</v>
      </c>
      <c r="N19" s="62" t="s">
        <v>464</v>
      </c>
      <c r="O19" s="62" t="s">
        <v>1402</v>
      </c>
      <c r="P19" s="100" t="s">
        <v>1384</v>
      </c>
      <c r="Q19" s="309" t="s">
        <v>1403</v>
      </c>
      <c r="R19" s="309" t="s">
        <v>1400</v>
      </c>
      <c r="S19" s="5" t="s">
        <v>1404</v>
      </c>
      <c r="T19" s="5" t="s">
        <v>445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customFormat="1" ht="14">
      <c r="A20" s="9"/>
      <c r="B20" s="5"/>
      <c r="C20" s="5"/>
      <c r="D20" s="214" t="s">
        <v>383</v>
      </c>
      <c r="E20" s="212" t="str">
        <f>+VLOOKUP(F20,Resumen_Base!$B$6:$F$69,5,0)</f>
        <v>Shop</v>
      </c>
      <c r="F20" s="5" t="s">
        <v>130</v>
      </c>
      <c r="G20" s="309" t="s">
        <v>131</v>
      </c>
      <c r="H20" s="5" t="str">
        <f t="shared" si="0"/>
        <v>DEL4104</v>
      </c>
      <c r="I20" s="306">
        <v>-42600</v>
      </c>
      <c r="J20" s="307">
        <v>-30</v>
      </c>
      <c r="K20" s="6">
        <v>1420</v>
      </c>
      <c r="L20" s="5" t="s">
        <v>1259</v>
      </c>
      <c r="M20" s="62" t="s">
        <v>1382</v>
      </c>
      <c r="N20" s="62" t="s">
        <v>464</v>
      </c>
      <c r="O20" s="62" t="s">
        <v>1402</v>
      </c>
      <c r="P20" s="100" t="s">
        <v>1384</v>
      </c>
      <c r="Q20" s="309" t="s">
        <v>1403</v>
      </c>
      <c r="R20" s="309" t="s">
        <v>1400</v>
      </c>
      <c r="S20" s="5" t="s">
        <v>1404</v>
      </c>
      <c r="T20" s="5" t="s">
        <v>445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customFormat="1" ht="14">
      <c r="A21" s="9"/>
      <c r="B21" s="5"/>
      <c r="C21" s="5"/>
      <c r="D21" s="214" t="s">
        <v>383</v>
      </c>
      <c r="E21" s="212" t="str">
        <f>+VLOOKUP(F21,Resumen_Base!$B$6:$F$69,5,0)</f>
        <v>Shop</v>
      </c>
      <c r="F21" s="5" t="s">
        <v>130</v>
      </c>
      <c r="G21" s="309" t="s">
        <v>131</v>
      </c>
      <c r="H21" s="5" t="str">
        <f t="shared" si="0"/>
        <v>DEL4104</v>
      </c>
      <c r="I21" s="306">
        <v>-176400</v>
      </c>
      <c r="J21" s="307">
        <v>-120</v>
      </c>
      <c r="K21" s="6">
        <v>1470</v>
      </c>
      <c r="L21" s="5" t="s">
        <v>1199</v>
      </c>
      <c r="M21" s="62" t="s">
        <v>1382</v>
      </c>
      <c r="N21" s="62" t="s">
        <v>464</v>
      </c>
      <c r="O21" s="62" t="s">
        <v>1405</v>
      </c>
      <c r="P21" s="100" t="s">
        <v>1384</v>
      </c>
      <c r="Q21" s="309" t="s">
        <v>1406</v>
      </c>
      <c r="R21" s="309" t="s">
        <v>1407</v>
      </c>
      <c r="S21" s="5" t="s">
        <v>1408</v>
      </c>
      <c r="T21" s="5" t="s">
        <v>445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customFormat="1" ht="14">
      <c r="A22" s="9"/>
      <c r="B22" s="5"/>
      <c r="C22" s="5"/>
      <c r="D22" s="214" t="s">
        <v>383</v>
      </c>
      <c r="E22" s="212" t="str">
        <f>+VLOOKUP(F22,Resumen_Base!$B$6:$F$69,5,0)</f>
        <v>Canon Lodge/Labor Permits:</v>
      </c>
      <c r="F22" s="5" t="s">
        <v>141</v>
      </c>
      <c r="G22" s="309" t="s">
        <v>142</v>
      </c>
      <c r="H22" s="5" t="str">
        <f t="shared" si="0"/>
        <v>DEL5208</v>
      </c>
      <c r="I22" s="306">
        <v>17000</v>
      </c>
      <c r="J22" s="307">
        <v>11.5646258503401</v>
      </c>
      <c r="K22" s="6">
        <v>1470</v>
      </c>
      <c r="L22" s="5" t="s">
        <v>1199</v>
      </c>
      <c r="M22" s="62" t="s">
        <v>452</v>
      </c>
      <c r="N22" s="62" t="s">
        <v>464</v>
      </c>
      <c r="O22" s="62" t="s">
        <v>1372</v>
      </c>
      <c r="P22" s="100" t="s">
        <v>597</v>
      </c>
      <c r="Q22" s="309" t="s">
        <v>1373</v>
      </c>
      <c r="R22" s="309" t="s">
        <v>1374</v>
      </c>
      <c r="S22" s="5" t="s">
        <v>1375</v>
      </c>
      <c r="T22" s="5" t="s">
        <v>445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customFormat="1" ht="14">
      <c r="A23" s="9"/>
      <c r="B23" s="5"/>
      <c r="C23" s="5"/>
      <c r="D23" s="214" t="s">
        <v>383</v>
      </c>
      <c r="E23" s="212" t="str">
        <f>+VLOOKUP(F23,Resumen_Base!$B$6:$F$69,5,0)</f>
        <v>Work uniforms for personnel (employees)</v>
      </c>
      <c r="F23" s="5" t="s">
        <v>56</v>
      </c>
      <c r="G23" s="309" t="s">
        <v>57</v>
      </c>
      <c r="H23" s="5" t="str">
        <f t="shared" si="0"/>
        <v>DEL5220</v>
      </c>
      <c r="I23" s="306">
        <v>50402.05</v>
      </c>
      <c r="J23" s="307">
        <v>34.287108843537403</v>
      </c>
      <c r="K23" s="6">
        <v>1470</v>
      </c>
      <c r="L23" s="5" t="s">
        <v>1218</v>
      </c>
      <c r="M23" s="62" t="s">
        <v>452</v>
      </c>
      <c r="N23" s="62" t="s">
        <v>464</v>
      </c>
      <c r="O23" s="62" t="s">
        <v>1360</v>
      </c>
      <c r="P23" s="100" t="s">
        <v>597</v>
      </c>
      <c r="Q23" s="309" t="s">
        <v>1361</v>
      </c>
      <c r="R23" s="309" t="s">
        <v>1362</v>
      </c>
      <c r="S23" s="5" t="s">
        <v>1363</v>
      </c>
      <c r="T23" s="5" t="s">
        <v>445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customFormat="1" ht="14">
      <c r="A24" s="9">
        <v>5210</v>
      </c>
      <c r="B24" s="5">
        <v>5226</v>
      </c>
      <c r="C24" s="5"/>
      <c r="D24" s="214" t="s">
        <v>383</v>
      </c>
      <c r="E24" s="212" t="str">
        <f>+VLOOKUP(F24,Resumen_Base!$B$6:$F$69,5,0)</f>
        <v>Services/House</v>
      </c>
      <c r="F24" s="5" t="s">
        <v>148</v>
      </c>
      <c r="G24" s="309" t="s">
        <v>283</v>
      </c>
      <c r="H24" s="5" t="str">
        <f t="shared" si="0"/>
        <v>DEL5226</v>
      </c>
      <c r="I24" s="306">
        <v>80000</v>
      </c>
      <c r="J24" s="307">
        <v>54.421768707482997</v>
      </c>
      <c r="K24" s="6">
        <v>1470</v>
      </c>
      <c r="L24" s="5" t="s">
        <v>1199</v>
      </c>
      <c r="M24" s="62" t="s">
        <v>452</v>
      </c>
      <c r="N24" s="62" t="s">
        <v>464</v>
      </c>
      <c r="O24" s="62" t="s">
        <v>1249</v>
      </c>
      <c r="P24" s="100" t="s">
        <v>597</v>
      </c>
      <c r="Q24" s="309" t="s">
        <v>1250</v>
      </c>
      <c r="R24" s="309" t="s">
        <v>1300</v>
      </c>
      <c r="S24" s="5" t="s">
        <v>1252</v>
      </c>
      <c r="T24" s="5" t="s">
        <v>445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customFormat="1" ht="14">
      <c r="A25" s="9">
        <v>5253</v>
      </c>
      <c r="B25" s="5">
        <v>5226</v>
      </c>
      <c r="C25" s="5"/>
      <c r="D25" s="214" t="s">
        <v>383</v>
      </c>
      <c r="E25" s="212" t="str">
        <f>+VLOOKUP(F25,Resumen_Base!$B$6:$F$69,5,0)</f>
        <v>Services/House</v>
      </c>
      <c r="F25" s="5" t="s">
        <v>148</v>
      </c>
      <c r="G25" s="309" t="s">
        <v>283</v>
      </c>
      <c r="H25" s="5" t="str">
        <f t="shared" si="0"/>
        <v>DEL5226</v>
      </c>
      <c r="I25" s="306">
        <v>100000</v>
      </c>
      <c r="J25" s="307">
        <v>68.027210884353707</v>
      </c>
      <c r="K25" s="6">
        <v>1470</v>
      </c>
      <c r="L25" s="5" t="s">
        <v>1199</v>
      </c>
      <c r="M25" s="62" t="s">
        <v>452</v>
      </c>
      <c r="N25" s="62" t="s">
        <v>464</v>
      </c>
      <c r="O25" s="62" t="s">
        <v>1249</v>
      </c>
      <c r="P25" s="100" t="s">
        <v>597</v>
      </c>
      <c r="Q25" s="309" t="s">
        <v>1250</v>
      </c>
      <c r="R25" s="309" t="s">
        <v>1301</v>
      </c>
      <c r="S25" s="5" t="s">
        <v>1252</v>
      </c>
      <c r="T25" s="5" t="s">
        <v>445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customFormat="1" ht="14">
      <c r="A26" s="9"/>
      <c r="B26" s="5"/>
      <c r="C26" s="5"/>
      <c r="D26" s="214" t="s">
        <v>383</v>
      </c>
      <c r="E26" s="212" t="str">
        <f>+VLOOKUP(F26,Resumen_Base!$B$6:$F$69,5,0)</f>
        <v>Services/House</v>
      </c>
      <c r="F26" s="5" t="s">
        <v>148</v>
      </c>
      <c r="G26" s="309" t="s">
        <v>283</v>
      </c>
      <c r="H26" s="5" t="str">
        <f t="shared" si="0"/>
        <v>DEL5226</v>
      </c>
      <c r="I26" s="306">
        <v>499800</v>
      </c>
      <c r="J26" s="307">
        <v>340</v>
      </c>
      <c r="K26" s="6">
        <v>1470</v>
      </c>
      <c r="L26" s="5" t="s">
        <v>1199</v>
      </c>
      <c r="M26" s="62" t="s">
        <v>452</v>
      </c>
      <c r="N26" s="62" t="s">
        <v>464</v>
      </c>
      <c r="O26" s="62" t="s">
        <v>1312</v>
      </c>
      <c r="P26" s="100" t="s">
        <v>597</v>
      </c>
      <c r="Q26" s="309" t="s">
        <v>1313</v>
      </c>
      <c r="R26" s="309" t="s">
        <v>1314</v>
      </c>
      <c r="S26" s="5" t="s">
        <v>1315</v>
      </c>
      <c r="T26" s="5" t="s">
        <v>445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customFormat="1" ht="14">
      <c r="A27" s="9"/>
      <c r="B27" s="5"/>
      <c r="C27" s="5"/>
      <c r="D27" s="214" t="s">
        <v>383</v>
      </c>
      <c r="E27" s="212" t="str">
        <f>+VLOOKUP(F27,Resumen_Base!$B$6:$F$69,5,0)</f>
        <v>Services/House</v>
      </c>
      <c r="F27" s="5" t="s">
        <v>148</v>
      </c>
      <c r="G27" s="309" t="s">
        <v>283</v>
      </c>
      <c r="H27" s="5" t="str">
        <f t="shared" si="0"/>
        <v>DEL5226</v>
      </c>
      <c r="I27" s="306">
        <v>588000</v>
      </c>
      <c r="J27" s="307">
        <v>400</v>
      </c>
      <c r="K27" s="6">
        <v>1470</v>
      </c>
      <c r="L27" s="5" t="s">
        <v>1199</v>
      </c>
      <c r="M27" s="62" t="s">
        <v>452</v>
      </c>
      <c r="N27" s="62" t="s">
        <v>464</v>
      </c>
      <c r="O27" s="62" t="s">
        <v>1312</v>
      </c>
      <c r="P27" s="100" t="s">
        <v>597</v>
      </c>
      <c r="Q27" s="309" t="s">
        <v>1313</v>
      </c>
      <c r="R27" s="309" t="s">
        <v>1316</v>
      </c>
      <c r="S27" s="5" t="s">
        <v>1315</v>
      </c>
      <c r="T27" s="5" t="s">
        <v>445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customFormat="1" ht="14">
      <c r="A28" s="9"/>
      <c r="B28" s="5"/>
      <c r="C28" s="5"/>
      <c r="D28" s="214" t="s">
        <v>383</v>
      </c>
      <c r="E28" s="212" t="str">
        <f>+VLOOKUP(F28,Resumen_Base!$B$6:$F$69,5,0)</f>
        <v>Services/House</v>
      </c>
      <c r="F28" s="5" t="s">
        <v>148</v>
      </c>
      <c r="G28" s="309" t="s">
        <v>283</v>
      </c>
      <c r="H28" s="5" t="str">
        <f t="shared" si="0"/>
        <v>DEL5226</v>
      </c>
      <c r="I28" s="306">
        <v>20000</v>
      </c>
      <c r="J28" s="307">
        <v>13.605442176870699</v>
      </c>
      <c r="K28" s="6">
        <v>1470</v>
      </c>
      <c r="L28" s="5" t="s">
        <v>1199</v>
      </c>
      <c r="M28" s="62" t="s">
        <v>452</v>
      </c>
      <c r="N28" s="62" t="s">
        <v>464</v>
      </c>
      <c r="O28" s="62" t="s">
        <v>1249</v>
      </c>
      <c r="P28" s="100" t="s">
        <v>597</v>
      </c>
      <c r="Q28" s="309" t="s">
        <v>1250</v>
      </c>
      <c r="R28" s="309" t="s">
        <v>1318</v>
      </c>
      <c r="S28" s="5" t="s">
        <v>1252</v>
      </c>
      <c r="T28" s="5" t="s">
        <v>445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customFormat="1" ht="14">
      <c r="A29" s="9"/>
      <c r="B29" s="5"/>
      <c r="C29" s="5"/>
      <c r="D29" s="214" t="s">
        <v>383</v>
      </c>
      <c r="E29" s="212" t="str">
        <f>+VLOOKUP(F29,Resumen_Base!$B$6:$F$69,5,0)</f>
        <v>Services/House</v>
      </c>
      <c r="F29" s="5" t="s">
        <v>148</v>
      </c>
      <c r="G29" s="309" t="s">
        <v>283</v>
      </c>
      <c r="H29" s="5" t="str">
        <f t="shared" si="0"/>
        <v>DEL5226</v>
      </c>
      <c r="I29" s="306">
        <v>40000</v>
      </c>
      <c r="J29" s="307">
        <v>27.210884353741498</v>
      </c>
      <c r="K29" s="6">
        <v>1470</v>
      </c>
      <c r="L29" s="5" t="s">
        <v>1199</v>
      </c>
      <c r="M29" s="62" t="s">
        <v>452</v>
      </c>
      <c r="N29" s="62" t="s">
        <v>464</v>
      </c>
      <c r="O29" s="62" t="s">
        <v>1249</v>
      </c>
      <c r="P29" s="100" t="s">
        <v>597</v>
      </c>
      <c r="Q29" s="309" t="s">
        <v>1250</v>
      </c>
      <c r="R29" s="309" t="s">
        <v>1320</v>
      </c>
      <c r="S29" s="5" t="s">
        <v>1252</v>
      </c>
      <c r="T29" s="5" t="s">
        <v>445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customFormat="1" ht="14">
      <c r="A30" s="9"/>
      <c r="B30" s="5"/>
      <c r="C30" s="5"/>
      <c r="D30" s="214" t="s">
        <v>383</v>
      </c>
      <c r="E30" s="212" t="str">
        <f>+VLOOKUP(F30,Resumen_Base!$B$6:$F$69,5,0)</f>
        <v>Services/House</v>
      </c>
      <c r="F30" s="5" t="s">
        <v>148</v>
      </c>
      <c r="G30" s="309" t="s">
        <v>283</v>
      </c>
      <c r="H30" s="5" t="str">
        <f t="shared" si="0"/>
        <v>DEL5226</v>
      </c>
      <c r="I30" s="306">
        <v>1136000</v>
      </c>
      <c r="J30" s="307">
        <v>800</v>
      </c>
      <c r="K30" s="6">
        <v>1420</v>
      </c>
      <c r="L30" s="5" t="s">
        <v>1254</v>
      </c>
      <c r="M30" s="62" t="s">
        <v>452</v>
      </c>
      <c r="N30" s="62" t="s">
        <v>464</v>
      </c>
      <c r="O30" s="62" t="s">
        <v>1296</v>
      </c>
      <c r="P30" s="100" t="s">
        <v>597</v>
      </c>
      <c r="Q30" s="309" t="s">
        <v>1297</v>
      </c>
      <c r="R30" s="309" t="s">
        <v>1322</v>
      </c>
      <c r="S30" s="5" t="s">
        <v>1299</v>
      </c>
      <c r="T30" s="5" t="s">
        <v>445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customFormat="1" ht="14">
      <c r="A31" s="9"/>
      <c r="B31" s="5"/>
      <c r="C31" s="5"/>
      <c r="D31" s="214" t="s">
        <v>383</v>
      </c>
      <c r="E31" s="212" t="str">
        <f>+VLOOKUP(F31,Resumen_Base!$B$6:$F$69,5,0)</f>
        <v>Services/House</v>
      </c>
      <c r="F31" s="5" t="s">
        <v>148</v>
      </c>
      <c r="G31" s="309" t="s">
        <v>283</v>
      </c>
      <c r="H31" s="5" t="str">
        <f t="shared" si="0"/>
        <v>DEL5226</v>
      </c>
      <c r="I31" s="306">
        <v>573300</v>
      </c>
      <c r="J31" s="307">
        <v>390</v>
      </c>
      <c r="K31" s="6">
        <v>1470</v>
      </c>
      <c r="L31" s="5" t="s">
        <v>1199</v>
      </c>
      <c r="M31" s="62" t="s">
        <v>452</v>
      </c>
      <c r="N31" s="62" t="s">
        <v>464</v>
      </c>
      <c r="O31" s="62" t="s">
        <v>1312</v>
      </c>
      <c r="P31" s="100" t="s">
        <v>597</v>
      </c>
      <c r="Q31" s="309" t="s">
        <v>1313</v>
      </c>
      <c r="R31" s="309" t="s">
        <v>1323</v>
      </c>
      <c r="S31" s="5" t="s">
        <v>1315</v>
      </c>
      <c r="T31" s="5" t="s">
        <v>445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customFormat="1" ht="14">
      <c r="A32" s="9"/>
      <c r="B32" s="5"/>
      <c r="C32" s="5"/>
      <c r="D32" s="214" t="s">
        <v>383</v>
      </c>
      <c r="E32" s="212" t="str">
        <f>+VLOOKUP(F32,Resumen_Base!$B$6:$F$69,5,0)</f>
        <v>Services/House</v>
      </c>
      <c r="F32" s="5" t="s">
        <v>148</v>
      </c>
      <c r="G32" s="309" t="s">
        <v>283</v>
      </c>
      <c r="H32" s="5" t="str">
        <f t="shared" si="0"/>
        <v>DEL5226</v>
      </c>
      <c r="I32" s="306">
        <v>1022400</v>
      </c>
      <c r="J32" s="307">
        <v>720</v>
      </c>
      <c r="K32" s="6">
        <v>1420</v>
      </c>
      <c r="L32" s="5" t="s">
        <v>1254</v>
      </c>
      <c r="M32" s="62" t="s">
        <v>452</v>
      </c>
      <c r="N32" s="62" t="s">
        <v>464</v>
      </c>
      <c r="O32" s="62" t="s">
        <v>1296</v>
      </c>
      <c r="P32" s="100" t="s">
        <v>597</v>
      </c>
      <c r="Q32" s="309" t="s">
        <v>1297</v>
      </c>
      <c r="R32" s="309" t="s">
        <v>1324</v>
      </c>
      <c r="S32" s="5" t="s">
        <v>1299</v>
      </c>
      <c r="T32" s="5" t="s">
        <v>445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customFormat="1" ht="14">
      <c r="A33" s="9"/>
      <c r="B33" s="5"/>
      <c r="C33" s="5"/>
      <c r="D33" s="214" t="s">
        <v>383</v>
      </c>
      <c r="E33" s="212" t="str">
        <f>+VLOOKUP(F33,Resumen_Base!$B$6:$F$69,5,0)</f>
        <v>Services/House</v>
      </c>
      <c r="F33" s="5" t="s">
        <v>148</v>
      </c>
      <c r="G33" s="309" t="s">
        <v>283</v>
      </c>
      <c r="H33" s="5" t="str">
        <f t="shared" si="0"/>
        <v>DEL5226</v>
      </c>
      <c r="I33" s="306">
        <v>161998</v>
      </c>
      <c r="J33" s="307">
        <v>114.083098591549</v>
      </c>
      <c r="K33" s="6">
        <v>1420</v>
      </c>
      <c r="L33" s="5" t="s">
        <v>1237</v>
      </c>
      <c r="M33" s="62" t="s">
        <v>452</v>
      </c>
      <c r="N33" s="62" t="s">
        <v>464</v>
      </c>
      <c r="O33" s="62" t="s">
        <v>1343</v>
      </c>
      <c r="P33" s="100" t="s">
        <v>597</v>
      </c>
      <c r="Q33" s="309" t="s">
        <v>1344</v>
      </c>
      <c r="R33" s="309" t="s">
        <v>1355</v>
      </c>
      <c r="S33" s="5" t="s">
        <v>1346</v>
      </c>
      <c r="T33" s="5" t="s">
        <v>445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customFormat="1" ht="14">
      <c r="A34" s="9"/>
      <c r="B34" s="5"/>
      <c r="C34" s="5"/>
      <c r="D34" s="214" t="s">
        <v>383</v>
      </c>
      <c r="E34" s="212" t="str">
        <f>+VLOOKUP(F34,Resumen_Base!$B$6:$F$69,5,0)</f>
        <v>Services/House</v>
      </c>
      <c r="F34" s="5" t="s">
        <v>148</v>
      </c>
      <c r="G34" s="309" t="s">
        <v>283</v>
      </c>
      <c r="H34" s="5" t="str">
        <f t="shared" si="0"/>
        <v>DEL5226</v>
      </c>
      <c r="I34" s="306">
        <v>1176000</v>
      </c>
      <c r="J34" s="307">
        <v>800</v>
      </c>
      <c r="K34" s="6">
        <v>1470</v>
      </c>
      <c r="L34" s="5" t="s">
        <v>1199</v>
      </c>
      <c r="M34" s="62" t="s">
        <v>452</v>
      </c>
      <c r="N34" s="62" t="s">
        <v>464</v>
      </c>
      <c r="O34" s="62" t="s">
        <v>1347</v>
      </c>
      <c r="P34" s="100" t="s">
        <v>597</v>
      </c>
      <c r="Q34" s="309" t="s">
        <v>1348</v>
      </c>
      <c r="R34" s="309" t="s">
        <v>1377</v>
      </c>
      <c r="S34" s="5" t="s">
        <v>1350</v>
      </c>
      <c r="T34" s="5" t="s">
        <v>445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customFormat="1" ht="14">
      <c r="A35" s="9"/>
      <c r="B35" s="5"/>
      <c r="C35" s="5"/>
      <c r="D35" s="214" t="s">
        <v>383</v>
      </c>
      <c r="E35" s="212" t="str">
        <f>+VLOOKUP(F35,Resumen_Base!$B$6:$F$69,5,0)</f>
        <v>Services/House</v>
      </c>
      <c r="F35" s="5" t="s">
        <v>148</v>
      </c>
      <c r="G35" s="309" t="s">
        <v>283</v>
      </c>
      <c r="H35" s="5" t="str">
        <f t="shared" si="0"/>
        <v>DEL5226</v>
      </c>
      <c r="I35" s="306">
        <v>1136000</v>
      </c>
      <c r="J35" s="307">
        <v>800</v>
      </c>
      <c r="K35" s="6">
        <v>1420</v>
      </c>
      <c r="L35" s="5" t="s">
        <v>1218</v>
      </c>
      <c r="M35" s="62" t="s">
        <v>452</v>
      </c>
      <c r="N35" s="62" t="s">
        <v>464</v>
      </c>
      <c r="O35" s="62" t="s">
        <v>1351</v>
      </c>
      <c r="P35" s="100" t="s">
        <v>597</v>
      </c>
      <c r="Q35" s="309" t="s">
        <v>1352</v>
      </c>
      <c r="R35" s="309" t="s">
        <v>1378</v>
      </c>
      <c r="S35" s="5" t="s">
        <v>1354</v>
      </c>
      <c r="T35" s="5" t="s">
        <v>445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customFormat="1" ht="14">
      <c r="A36" s="9"/>
      <c r="B36" s="5"/>
      <c r="C36" s="5"/>
      <c r="D36" s="214" t="s">
        <v>383</v>
      </c>
      <c r="E36" s="212" t="str">
        <f>+VLOOKUP(F36,Resumen_Base!$B$6:$F$69,5,0)</f>
        <v>Guides</v>
      </c>
      <c r="F36" s="5" t="s">
        <v>149</v>
      </c>
      <c r="G36" s="309" t="s">
        <v>284</v>
      </c>
      <c r="H36" s="5" t="str">
        <f t="shared" si="0"/>
        <v>DEL5227</v>
      </c>
      <c r="I36" s="306">
        <v>2425500</v>
      </c>
      <c r="J36" s="307">
        <v>1650</v>
      </c>
      <c r="K36" s="6">
        <v>1470</v>
      </c>
      <c r="L36" s="5" t="s">
        <v>1199</v>
      </c>
      <c r="M36" s="62" t="s">
        <v>452</v>
      </c>
      <c r="N36" s="62" t="s">
        <v>464</v>
      </c>
      <c r="O36" s="62" t="s">
        <v>1312</v>
      </c>
      <c r="P36" s="100" t="s">
        <v>597</v>
      </c>
      <c r="Q36" s="309" t="s">
        <v>1313</v>
      </c>
      <c r="R36" s="309" t="s">
        <v>676</v>
      </c>
      <c r="S36" s="5" t="s">
        <v>1315</v>
      </c>
      <c r="T36" s="5" t="s">
        <v>445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customFormat="1" ht="14">
      <c r="A37" s="9"/>
      <c r="B37" s="5"/>
      <c r="C37" s="5"/>
      <c r="D37" s="214" t="s">
        <v>383</v>
      </c>
      <c r="E37" s="212" t="str">
        <f>+VLOOKUP(F37,Resumen_Base!$B$6:$F$69,5,0)</f>
        <v>Guides</v>
      </c>
      <c r="F37" s="5" t="s">
        <v>149</v>
      </c>
      <c r="G37" s="309" t="s">
        <v>284</v>
      </c>
      <c r="H37" s="5" t="str">
        <f t="shared" si="0"/>
        <v>DEL5227</v>
      </c>
      <c r="I37" s="306">
        <v>30000</v>
      </c>
      <c r="J37" s="307">
        <v>21.126760563380302</v>
      </c>
      <c r="K37" s="6">
        <v>1420</v>
      </c>
      <c r="L37" s="5" t="s">
        <v>1254</v>
      </c>
      <c r="M37" s="62" t="s">
        <v>452</v>
      </c>
      <c r="N37" s="62" t="s">
        <v>464</v>
      </c>
      <c r="O37" s="62" t="s">
        <v>1255</v>
      </c>
      <c r="P37" s="100" t="s">
        <v>597</v>
      </c>
      <c r="Q37" s="309" t="s">
        <v>1256</v>
      </c>
      <c r="R37" s="309" t="s">
        <v>1321</v>
      </c>
      <c r="S37" s="5" t="s">
        <v>1258</v>
      </c>
      <c r="T37" s="5" t="s">
        <v>445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customFormat="1" ht="14">
      <c r="A38" s="9"/>
      <c r="B38" s="5"/>
      <c r="C38" s="5"/>
      <c r="D38" s="214" t="s">
        <v>383</v>
      </c>
      <c r="E38" s="212" t="str">
        <f>+VLOOKUP(F38,Resumen_Base!$B$6:$F$69,5,0)</f>
        <v>Guides</v>
      </c>
      <c r="F38" s="5" t="s">
        <v>149</v>
      </c>
      <c r="G38" s="309" t="s">
        <v>284</v>
      </c>
      <c r="H38" s="5" t="str">
        <f t="shared" si="0"/>
        <v>DEL5227</v>
      </c>
      <c r="I38" s="306">
        <v>1633000</v>
      </c>
      <c r="J38" s="307">
        <v>1150</v>
      </c>
      <c r="K38" s="6">
        <v>1420</v>
      </c>
      <c r="L38" s="5" t="s">
        <v>1254</v>
      </c>
      <c r="M38" s="62" t="s">
        <v>452</v>
      </c>
      <c r="N38" s="62" t="s">
        <v>464</v>
      </c>
      <c r="O38" s="62" t="s">
        <v>1296</v>
      </c>
      <c r="P38" s="100" t="s">
        <v>597</v>
      </c>
      <c r="Q38" s="309" t="s">
        <v>1297</v>
      </c>
      <c r="R38" s="309" t="s">
        <v>1325</v>
      </c>
      <c r="S38" s="5" t="s">
        <v>1299</v>
      </c>
      <c r="T38" s="5" t="s">
        <v>445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customFormat="1" ht="14">
      <c r="A39" s="9"/>
      <c r="B39" s="5"/>
      <c r="C39" s="5"/>
      <c r="D39" s="214" t="s">
        <v>383</v>
      </c>
      <c r="E39" s="212" t="str">
        <f>+VLOOKUP(F39,Resumen_Base!$B$6:$F$69,5,0)</f>
        <v>Guides</v>
      </c>
      <c r="F39" s="5" t="s">
        <v>149</v>
      </c>
      <c r="G39" s="309" t="s">
        <v>284</v>
      </c>
      <c r="H39" s="5" t="str">
        <f t="shared" si="0"/>
        <v>DEL5227</v>
      </c>
      <c r="I39" s="306">
        <v>2940000</v>
      </c>
      <c r="J39" s="307">
        <v>2000</v>
      </c>
      <c r="K39" s="6">
        <v>1470</v>
      </c>
      <c r="L39" s="5" t="s">
        <v>1199</v>
      </c>
      <c r="M39" s="62" t="s">
        <v>452</v>
      </c>
      <c r="N39" s="62" t="s">
        <v>464</v>
      </c>
      <c r="O39" s="62" t="s">
        <v>1347</v>
      </c>
      <c r="P39" s="100" t="s">
        <v>597</v>
      </c>
      <c r="Q39" s="309" t="s">
        <v>1348</v>
      </c>
      <c r="R39" s="309" t="s">
        <v>1349</v>
      </c>
      <c r="S39" s="5" t="s">
        <v>1350</v>
      </c>
      <c r="T39" s="5" t="s">
        <v>445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customFormat="1" ht="14">
      <c r="A40" s="9"/>
      <c r="B40" s="5"/>
      <c r="C40" s="5"/>
      <c r="D40" s="214" t="s">
        <v>383</v>
      </c>
      <c r="E40" s="212" t="str">
        <f>+VLOOKUP(F40,Resumen_Base!$B$6:$F$69,5,0)</f>
        <v>Manager</v>
      </c>
      <c r="F40" s="5" t="s">
        <v>150</v>
      </c>
      <c r="G40" s="309" t="s">
        <v>285</v>
      </c>
      <c r="H40" s="5" t="str">
        <f t="shared" si="0"/>
        <v>DEL5228</v>
      </c>
      <c r="I40" s="306">
        <v>1808100</v>
      </c>
      <c r="J40" s="307">
        <v>1230</v>
      </c>
      <c r="K40" s="6">
        <v>1470</v>
      </c>
      <c r="L40" s="5" t="s">
        <v>1199</v>
      </c>
      <c r="M40" s="62" t="s">
        <v>452</v>
      </c>
      <c r="N40" s="62" t="s">
        <v>464</v>
      </c>
      <c r="O40" s="62" t="s">
        <v>1312</v>
      </c>
      <c r="P40" s="100" t="s">
        <v>597</v>
      </c>
      <c r="Q40" s="309" t="s">
        <v>1313</v>
      </c>
      <c r="R40" s="309" t="s">
        <v>1326</v>
      </c>
      <c r="S40" s="5" t="s">
        <v>1315</v>
      </c>
      <c r="T40" s="5" t="s">
        <v>445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customFormat="1" ht="14">
      <c r="A41" s="9"/>
      <c r="B41" s="5"/>
      <c r="C41" s="5"/>
      <c r="D41" s="214" t="s">
        <v>383</v>
      </c>
      <c r="E41" s="212" t="str">
        <f>+VLOOKUP(F41,Resumen_Base!$B$6:$F$69,5,0)</f>
        <v>Electricity</v>
      </c>
      <c r="F41" s="5" t="s">
        <v>39</v>
      </c>
      <c r="G41" s="309" t="s">
        <v>38</v>
      </c>
      <c r="H41" s="5" t="str">
        <f t="shared" si="0"/>
        <v>DEL5247</v>
      </c>
      <c r="I41" s="306">
        <v>247500</v>
      </c>
      <c r="J41" s="307">
        <v>174.29577464788699</v>
      </c>
      <c r="K41" s="6">
        <v>1420</v>
      </c>
      <c r="L41" s="5" t="s">
        <v>1259</v>
      </c>
      <c r="M41" s="62" t="s">
        <v>452</v>
      </c>
      <c r="N41" s="62" t="s">
        <v>464</v>
      </c>
      <c r="O41" s="62" t="s">
        <v>1260</v>
      </c>
      <c r="P41" s="100" t="s">
        <v>597</v>
      </c>
      <c r="Q41" s="309" t="s">
        <v>1261</v>
      </c>
      <c r="R41" s="309" t="s">
        <v>1293</v>
      </c>
      <c r="S41" s="5" t="s">
        <v>1262</v>
      </c>
      <c r="T41" s="5" t="s">
        <v>445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customFormat="1" ht="14">
      <c r="A42" s="9"/>
      <c r="B42" s="5"/>
      <c r="C42" s="5"/>
      <c r="D42" s="214" t="s">
        <v>383</v>
      </c>
      <c r="E42" s="212" t="str">
        <f>+VLOOKUP(F42,Resumen_Base!$B$6:$F$69,5,0)</f>
        <v>Electricity</v>
      </c>
      <c r="F42" s="5" t="s">
        <v>39</v>
      </c>
      <c r="G42" s="309" t="s">
        <v>38</v>
      </c>
      <c r="H42" s="5" t="str">
        <f t="shared" si="0"/>
        <v>DEL5247</v>
      </c>
      <c r="I42" s="306">
        <v>206200</v>
      </c>
      <c r="J42" s="307">
        <v>140.27210884353701</v>
      </c>
      <c r="K42" s="6">
        <v>1470</v>
      </c>
      <c r="L42" s="5" t="s">
        <v>1199</v>
      </c>
      <c r="M42" s="62" t="s">
        <v>452</v>
      </c>
      <c r="N42" s="62" t="s">
        <v>464</v>
      </c>
      <c r="O42" s="62" t="s">
        <v>1249</v>
      </c>
      <c r="P42" s="100" t="s">
        <v>597</v>
      </c>
      <c r="Q42" s="309" t="s">
        <v>1250</v>
      </c>
      <c r="R42" s="309" t="s">
        <v>1294</v>
      </c>
      <c r="S42" s="5" t="s">
        <v>1252</v>
      </c>
      <c r="T42" s="5" t="s">
        <v>445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customFormat="1" ht="14">
      <c r="A43" s="9"/>
      <c r="B43" s="5"/>
      <c r="C43" s="5"/>
      <c r="D43" s="214" t="s">
        <v>383</v>
      </c>
      <c r="E43" s="212" t="str">
        <f>+VLOOKUP(F43,Resumen_Base!$B$6:$F$69,5,0)</f>
        <v>Electricity - Gas for Boats &amp; Vehicles</v>
      </c>
      <c r="F43" s="5" t="s">
        <v>60</v>
      </c>
      <c r="G43" s="309" t="s">
        <v>61</v>
      </c>
      <c r="H43" s="5" t="str">
        <f t="shared" si="0"/>
        <v>DEL5248</v>
      </c>
      <c r="I43" s="306">
        <v>176632</v>
      </c>
      <c r="J43" s="307">
        <v>124.388732394366</v>
      </c>
      <c r="K43" s="6">
        <v>1420</v>
      </c>
      <c r="L43" s="5" t="s">
        <v>1259</v>
      </c>
      <c r="M43" s="62" t="s">
        <v>452</v>
      </c>
      <c r="N43" s="62" t="s">
        <v>464</v>
      </c>
      <c r="O43" s="62" t="s">
        <v>1260</v>
      </c>
      <c r="P43" s="100" t="s">
        <v>597</v>
      </c>
      <c r="Q43" s="309" t="s">
        <v>1261</v>
      </c>
      <c r="R43" s="309" t="s">
        <v>651</v>
      </c>
      <c r="S43" s="5" t="s">
        <v>1262</v>
      </c>
      <c r="T43" s="5" t="s">
        <v>445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customFormat="1" ht="14">
      <c r="A44" s="9"/>
      <c r="B44" s="5"/>
      <c r="C44" s="5"/>
      <c r="D44" s="214" t="s">
        <v>383</v>
      </c>
      <c r="E44" s="212" t="str">
        <f>+VLOOKUP(F44,Resumen_Base!$B$6:$F$69,5,0)</f>
        <v>Electricity - Gas for Boats &amp; Vehicles</v>
      </c>
      <c r="F44" s="5" t="s">
        <v>60</v>
      </c>
      <c r="G44" s="309" t="s">
        <v>61</v>
      </c>
      <c r="H44" s="5" t="str">
        <f t="shared" ref="H44:H75" si="1">+D44&amp;F44</f>
        <v>DEL5248</v>
      </c>
      <c r="I44" s="306">
        <v>162208</v>
      </c>
      <c r="J44" s="307">
        <v>114.23098591549299</v>
      </c>
      <c r="K44" s="6">
        <v>1420</v>
      </c>
      <c r="L44" s="5" t="s">
        <v>1259</v>
      </c>
      <c r="M44" s="62" t="s">
        <v>452</v>
      </c>
      <c r="N44" s="62" t="s">
        <v>464</v>
      </c>
      <c r="O44" s="62" t="s">
        <v>1260</v>
      </c>
      <c r="P44" s="100" t="s">
        <v>597</v>
      </c>
      <c r="Q44" s="309" t="s">
        <v>1261</v>
      </c>
      <c r="R44" s="309" t="s">
        <v>651</v>
      </c>
      <c r="S44" s="5" t="s">
        <v>1262</v>
      </c>
      <c r="T44" s="5" t="s">
        <v>445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customFormat="1" ht="14">
      <c r="A45" s="9"/>
      <c r="B45" s="5"/>
      <c r="C45" s="5"/>
      <c r="D45" s="214" t="s">
        <v>383</v>
      </c>
      <c r="E45" s="212" t="str">
        <f>+VLOOKUP(F45,Resumen_Base!$B$6:$F$69,5,0)</f>
        <v>Electricity - Gas for Boats &amp; Vehicles</v>
      </c>
      <c r="F45" s="5" t="s">
        <v>60</v>
      </c>
      <c r="G45" s="309" t="s">
        <v>61</v>
      </c>
      <c r="H45" s="5" t="str">
        <f t="shared" si="1"/>
        <v>DEL5248</v>
      </c>
      <c r="I45" s="306">
        <v>192200</v>
      </c>
      <c r="J45" s="307">
        <v>135.35211267605601</v>
      </c>
      <c r="K45" s="6">
        <v>1420</v>
      </c>
      <c r="L45" s="5" t="s">
        <v>1259</v>
      </c>
      <c r="M45" s="62" t="s">
        <v>452</v>
      </c>
      <c r="N45" s="62" t="s">
        <v>464</v>
      </c>
      <c r="O45" s="62" t="s">
        <v>1260</v>
      </c>
      <c r="P45" s="100" t="s">
        <v>597</v>
      </c>
      <c r="Q45" s="309" t="s">
        <v>1261</v>
      </c>
      <c r="R45" s="309" t="s">
        <v>651</v>
      </c>
      <c r="S45" s="5" t="s">
        <v>1262</v>
      </c>
      <c r="T45" s="5" t="s">
        <v>445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customFormat="1" ht="14">
      <c r="A46" s="9"/>
      <c r="B46" s="5"/>
      <c r="C46" s="5"/>
      <c r="D46" s="214" t="s">
        <v>383</v>
      </c>
      <c r="E46" s="212" t="str">
        <f>+VLOOKUP(F46,Resumen_Base!$B$6:$F$69,5,0)</f>
        <v>Electricity - Gas for Boats &amp; Vehicles</v>
      </c>
      <c r="F46" s="5" t="s">
        <v>60</v>
      </c>
      <c r="G46" s="309" t="s">
        <v>61</v>
      </c>
      <c r="H46" s="5" t="str">
        <f t="shared" si="1"/>
        <v>DEL5248</v>
      </c>
      <c r="I46" s="306">
        <v>189240</v>
      </c>
      <c r="J46" s="307">
        <v>133.26760563380299</v>
      </c>
      <c r="K46" s="6">
        <v>1420</v>
      </c>
      <c r="L46" s="5" t="s">
        <v>1259</v>
      </c>
      <c r="M46" s="62" t="s">
        <v>452</v>
      </c>
      <c r="N46" s="62" t="s">
        <v>464</v>
      </c>
      <c r="O46" s="62" t="s">
        <v>1260</v>
      </c>
      <c r="P46" s="100" t="s">
        <v>597</v>
      </c>
      <c r="Q46" s="309" t="s">
        <v>1261</v>
      </c>
      <c r="R46" s="309" t="s">
        <v>651</v>
      </c>
      <c r="S46" s="5" t="s">
        <v>1262</v>
      </c>
      <c r="T46" s="5" t="s">
        <v>445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customFormat="1" ht="14">
      <c r="A47" s="9"/>
      <c r="B47" s="5"/>
      <c r="C47" s="5"/>
      <c r="D47" s="214" t="s">
        <v>383</v>
      </c>
      <c r="E47" s="212" t="str">
        <f>+VLOOKUP(F47,Resumen_Base!$B$6:$F$69,5,0)</f>
        <v>Electricity - Gas for Boats &amp; Vehicles</v>
      </c>
      <c r="F47" s="5" t="s">
        <v>60</v>
      </c>
      <c r="G47" s="309" t="s">
        <v>61</v>
      </c>
      <c r="H47" s="5" t="str">
        <f t="shared" si="1"/>
        <v>DEL5248</v>
      </c>
      <c r="I47" s="306">
        <v>117186</v>
      </c>
      <c r="J47" s="307">
        <v>82.525352112676103</v>
      </c>
      <c r="K47" s="6">
        <v>1420</v>
      </c>
      <c r="L47" s="5" t="s">
        <v>1254</v>
      </c>
      <c r="M47" s="62" t="s">
        <v>452</v>
      </c>
      <c r="N47" s="62" t="s">
        <v>464</v>
      </c>
      <c r="O47" s="62" t="s">
        <v>1255</v>
      </c>
      <c r="P47" s="100" t="s">
        <v>597</v>
      </c>
      <c r="Q47" s="309" t="s">
        <v>1256</v>
      </c>
      <c r="R47" s="309" t="s">
        <v>651</v>
      </c>
      <c r="S47" s="5" t="s">
        <v>1258</v>
      </c>
      <c r="T47" s="5" t="s">
        <v>445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customFormat="1" ht="14">
      <c r="A48" s="9"/>
      <c r="B48" s="5"/>
      <c r="C48" s="5"/>
      <c r="D48" s="214" t="s">
        <v>383</v>
      </c>
      <c r="E48" s="212" t="str">
        <f>+VLOOKUP(F48,Resumen_Base!$B$6:$F$69,5,0)</f>
        <v>Electricity - Gas for Boats &amp; Vehicles</v>
      </c>
      <c r="F48" s="5" t="s">
        <v>60</v>
      </c>
      <c r="G48" s="309" t="s">
        <v>61</v>
      </c>
      <c r="H48" s="5" t="str">
        <f t="shared" si="1"/>
        <v>DEL5248</v>
      </c>
      <c r="I48" s="306">
        <v>337000</v>
      </c>
      <c r="J48" s="307">
        <v>237.32394366197201</v>
      </c>
      <c r="K48" s="6">
        <v>1420</v>
      </c>
      <c r="L48" s="5" t="s">
        <v>1254</v>
      </c>
      <c r="M48" s="62" t="s">
        <v>452</v>
      </c>
      <c r="N48" s="62" t="s">
        <v>464</v>
      </c>
      <c r="O48" s="62" t="s">
        <v>1255</v>
      </c>
      <c r="P48" s="100" t="s">
        <v>597</v>
      </c>
      <c r="Q48" s="309" t="s">
        <v>1256</v>
      </c>
      <c r="R48" s="309" t="s">
        <v>651</v>
      </c>
      <c r="S48" s="5" t="s">
        <v>1258</v>
      </c>
      <c r="T48" s="5" t="s">
        <v>445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customFormat="1" ht="14">
      <c r="A49" s="9"/>
      <c r="B49" s="5"/>
      <c r="C49" s="5"/>
      <c r="D49" s="214" t="s">
        <v>383</v>
      </c>
      <c r="E49" s="212" t="str">
        <f>+VLOOKUP(F49,Resumen_Base!$B$6:$F$69,5,0)</f>
        <v>Electricity - Gas for Boats &amp; Vehicles</v>
      </c>
      <c r="F49" s="5" t="s">
        <v>60</v>
      </c>
      <c r="G49" s="309" t="s">
        <v>61</v>
      </c>
      <c r="H49" s="5" t="str">
        <f t="shared" si="1"/>
        <v>DEL5248</v>
      </c>
      <c r="I49" s="306">
        <v>218320</v>
      </c>
      <c r="J49" s="307">
        <v>148.517006802721</v>
      </c>
      <c r="K49" s="6">
        <v>1470</v>
      </c>
      <c r="L49" s="5" t="s">
        <v>1199</v>
      </c>
      <c r="M49" s="62" t="s">
        <v>452</v>
      </c>
      <c r="N49" s="62" t="s">
        <v>464</v>
      </c>
      <c r="O49" s="62" t="s">
        <v>1249</v>
      </c>
      <c r="P49" s="100" t="s">
        <v>597</v>
      </c>
      <c r="Q49" s="309" t="s">
        <v>1250</v>
      </c>
      <c r="R49" s="309" t="s">
        <v>651</v>
      </c>
      <c r="S49" s="5" t="s">
        <v>1252</v>
      </c>
      <c r="T49" s="5" t="s">
        <v>445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customFormat="1" ht="14">
      <c r="A50" s="9"/>
      <c r="B50" s="5"/>
      <c r="C50" s="5"/>
      <c r="D50" s="214" t="s">
        <v>383</v>
      </c>
      <c r="E50" s="212" t="str">
        <f>+VLOOKUP(F50,Resumen_Base!$B$6:$F$69,5,0)</f>
        <v>Electricity - Gas for Boats &amp; Vehicles</v>
      </c>
      <c r="F50" s="5" t="s">
        <v>60</v>
      </c>
      <c r="G50" s="309" t="s">
        <v>61</v>
      </c>
      <c r="H50" s="5" t="str">
        <f t="shared" si="1"/>
        <v>DEL5248</v>
      </c>
      <c r="I50" s="306">
        <v>205500</v>
      </c>
      <c r="J50" s="307">
        <v>139.79591836734701</v>
      </c>
      <c r="K50" s="6">
        <v>1470</v>
      </c>
      <c r="L50" s="5" t="s">
        <v>1199</v>
      </c>
      <c r="M50" s="62" t="s">
        <v>452</v>
      </c>
      <c r="N50" s="62" t="s">
        <v>464</v>
      </c>
      <c r="O50" s="62" t="s">
        <v>1249</v>
      </c>
      <c r="P50" s="100" t="s">
        <v>597</v>
      </c>
      <c r="Q50" s="309" t="s">
        <v>1250</v>
      </c>
      <c r="R50" s="309" t="s">
        <v>651</v>
      </c>
      <c r="S50" s="5" t="s">
        <v>1252</v>
      </c>
      <c r="T50" s="5" t="s">
        <v>445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customFormat="1" ht="14">
      <c r="A51" s="9"/>
      <c r="B51" s="5"/>
      <c r="C51" s="5"/>
      <c r="D51" s="214" t="s">
        <v>383</v>
      </c>
      <c r="E51" s="212" t="str">
        <f>+VLOOKUP(F51,Resumen_Base!$B$6:$F$69,5,0)</f>
        <v>Propane</v>
      </c>
      <c r="F51" s="5" t="s">
        <v>37</v>
      </c>
      <c r="G51" s="309" t="s">
        <v>36</v>
      </c>
      <c r="H51" s="5" t="str">
        <f t="shared" si="1"/>
        <v>DEL5249</v>
      </c>
      <c r="I51" s="306">
        <v>213000</v>
      </c>
      <c r="J51" s="307">
        <v>144.89795918367301</v>
      </c>
      <c r="K51" s="6">
        <v>1470</v>
      </c>
      <c r="L51" s="5" t="s">
        <v>1199</v>
      </c>
      <c r="M51" s="62" t="s">
        <v>452</v>
      </c>
      <c r="N51" s="62" t="s">
        <v>464</v>
      </c>
      <c r="O51" s="62" t="s">
        <v>1249</v>
      </c>
      <c r="P51" s="100" t="s">
        <v>597</v>
      </c>
      <c r="Q51" s="309" t="s">
        <v>1250</v>
      </c>
      <c r="R51" s="309" t="s">
        <v>759</v>
      </c>
      <c r="S51" s="5" t="s">
        <v>1252</v>
      </c>
      <c r="T51" s="5" t="s">
        <v>445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customFormat="1" ht="14">
      <c r="A52" s="9"/>
      <c r="B52" s="5"/>
      <c r="C52" s="5"/>
      <c r="D52" s="214" t="s">
        <v>383</v>
      </c>
      <c r="E52" s="212" t="str">
        <f>+VLOOKUP(F52,Resumen_Base!$B$6:$F$69,5,0)</f>
        <v>Propane</v>
      </c>
      <c r="F52" s="5" t="s">
        <v>37</v>
      </c>
      <c r="G52" s="309" t="s">
        <v>36</v>
      </c>
      <c r="H52" s="5" t="str">
        <f t="shared" si="1"/>
        <v>DEL5249</v>
      </c>
      <c r="I52" s="306">
        <v>104000</v>
      </c>
      <c r="J52" s="307">
        <v>73.239436619718305</v>
      </c>
      <c r="K52" s="6">
        <v>1420</v>
      </c>
      <c r="L52" s="5" t="s">
        <v>1259</v>
      </c>
      <c r="M52" s="62" t="s">
        <v>452</v>
      </c>
      <c r="N52" s="62" t="s">
        <v>464</v>
      </c>
      <c r="O52" s="62" t="s">
        <v>1260</v>
      </c>
      <c r="P52" s="100" t="s">
        <v>597</v>
      </c>
      <c r="Q52" s="309" t="s">
        <v>1261</v>
      </c>
      <c r="R52" s="309" t="s">
        <v>1331</v>
      </c>
      <c r="S52" s="5" t="s">
        <v>1262</v>
      </c>
      <c r="T52" s="5" t="s">
        <v>445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customFormat="1" ht="14">
      <c r="A53" s="9"/>
      <c r="B53" s="5"/>
      <c r="C53" s="5"/>
      <c r="D53" s="214" t="s">
        <v>383</v>
      </c>
      <c r="E53" s="212" t="str">
        <f>+VLOOKUP(F53,Resumen_Base!$B$6:$F$69,5,0)</f>
        <v>Food &amp; Wine</v>
      </c>
      <c r="F53" s="5" t="s">
        <v>35</v>
      </c>
      <c r="G53" s="309" t="s">
        <v>34</v>
      </c>
      <c r="H53" s="5" t="str">
        <f t="shared" si="1"/>
        <v>DEL5250</v>
      </c>
      <c r="I53" s="306">
        <v>84989</v>
      </c>
      <c r="J53" s="307">
        <v>57.815646258503399</v>
      </c>
      <c r="K53" s="6">
        <v>1470</v>
      </c>
      <c r="L53" s="5" t="s">
        <v>1199</v>
      </c>
      <c r="M53" s="62" t="s">
        <v>452</v>
      </c>
      <c r="N53" s="62" t="s">
        <v>464</v>
      </c>
      <c r="O53" s="62" t="s">
        <v>1249</v>
      </c>
      <c r="P53" s="100" t="s">
        <v>597</v>
      </c>
      <c r="Q53" s="309" t="s">
        <v>1250</v>
      </c>
      <c r="R53" s="309" t="s">
        <v>1251</v>
      </c>
      <c r="S53" s="5" t="s">
        <v>1252</v>
      </c>
      <c r="T53" s="5" t="s">
        <v>445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customFormat="1" ht="14">
      <c r="A54" s="9"/>
      <c r="B54" s="5"/>
      <c r="C54" s="5"/>
      <c r="D54" s="214" t="s">
        <v>383</v>
      </c>
      <c r="E54" s="212" t="str">
        <f>+VLOOKUP(F54,Resumen_Base!$B$6:$F$69,5,0)</f>
        <v>Food &amp; Wine</v>
      </c>
      <c r="F54" s="5" t="s">
        <v>35</v>
      </c>
      <c r="G54" s="309" t="s">
        <v>34</v>
      </c>
      <c r="H54" s="5" t="str">
        <f t="shared" si="1"/>
        <v>DEL5250</v>
      </c>
      <c r="I54" s="306">
        <v>39900</v>
      </c>
      <c r="J54" s="307">
        <v>28.098591549295801</v>
      </c>
      <c r="K54" s="6">
        <v>1420</v>
      </c>
      <c r="L54" s="5" t="s">
        <v>1254</v>
      </c>
      <c r="M54" s="62" t="s">
        <v>452</v>
      </c>
      <c r="N54" s="62" t="s">
        <v>464</v>
      </c>
      <c r="O54" s="62" t="s">
        <v>1255</v>
      </c>
      <c r="P54" s="100" t="s">
        <v>597</v>
      </c>
      <c r="Q54" s="309" t="s">
        <v>1256</v>
      </c>
      <c r="R54" s="309" t="s">
        <v>636</v>
      </c>
      <c r="S54" s="5" t="s">
        <v>1258</v>
      </c>
      <c r="T54" s="5" t="s">
        <v>445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customFormat="1" ht="14">
      <c r="A55" s="9"/>
      <c r="B55" s="5"/>
      <c r="C55" s="5"/>
      <c r="D55" s="214" t="s">
        <v>383</v>
      </c>
      <c r="E55" s="212" t="str">
        <f>+VLOOKUP(F55,Resumen_Base!$B$6:$F$69,5,0)</f>
        <v>Food &amp; Wine</v>
      </c>
      <c r="F55" s="5" t="s">
        <v>35</v>
      </c>
      <c r="G55" s="309" t="s">
        <v>34</v>
      </c>
      <c r="H55" s="5" t="str">
        <f t="shared" si="1"/>
        <v>DEL5250</v>
      </c>
      <c r="I55" s="306">
        <v>63900</v>
      </c>
      <c r="J55" s="307">
        <v>43.469387755101998</v>
      </c>
      <c r="K55" s="6">
        <v>1470</v>
      </c>
      <c r="L55" s="5" t="s">
        <v>1199</v>
      </c>
      <c r="M55" s="62" t="s">
        <v>452</v>
      </c>
      <c r="N55" s="62" t="s">
        <v>464</v>
      </c>
      <c r="O55" s="62" t="s">
        <v>1249</v>
      </c>
      <c r="P55" s="100" t="s">
        <v>597</v>
      </c>
      <c r="Q55" s="309" t="s">
        <v>1250</v>
      </c>
      <c r="R55" s="309" t="s">
        <v>663</v>
      </c>
      <c r="S55" s="5" t="s">
        <v>1252</v>
      </c>
      <c r="T55" s="5" t="s">
        <v>445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customFormat="1" ht="14">
      <c r="A56" s="9"/>
      <c r="B56" s="5"/>
      <c r="C56" s="5"/>
      <c r="D56" s="214" t="s">
        <v>383</v>
      </c>
      <c r="E56" s="212" t="str">
        <f>+VLOOKUP(F56,Resumen_Base!$B$6:$F$69,5,0)</f>
        <v>Food &amp; Wine</v>
      </c>
      <c r="F56" s="5" t="s">
        <v>35</v>
      </c>
      <c r="G56" s="309" t="s">
        <v>34</v>
      </c>
      <c r="H56" s="5" t="str">
        <f t="shared" si="1"/>
        <v>DEL5250</v>
      </c>
      <c r="I56" s="306">
        <v>54769</v>
      </c>
      <c r="J56" s="307">
        <v>37.257823129251697</v>
      </c>
      <c r="K56" s="6">
        <v>1470</v>
      </c>
      <c r="L56" s="5" t="s">
        <v>1199</v>
      </c>
      <c r="M56" s="62" t="s">
        <v>452</v>
      </c>
      <c r="N56" s="62" t="s">
        <v>464</v>
      </c>
      <c r="O56" s="62" t="s">
        <v>1249</v>
      </c>
      <c r="P56" s="100" t="s">
        <v>597</v>
      </c>
      <c r="Q56" s="309" t="s">
        <v>1250</v>
      </c>
      <c r="R56" s="309" t="s">
        <v>663</v>
      </c>
      <c r="S56" s="5" t="s">
        <v>1252</v>
      </c>
      <c r="T56" s="5" t="s">
        <v>445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customFormat="1" ht="14">
      <c r="A57" s="9"/>
      <c r="B57" s="5"/>
      <c r="C57" s="5"/>
      <c r="D57" s="214" t="s">
        <v>383</v>
      </c>
      <c r="E57" s="212" t="str">
        <f>+VLOOKUP(F57,Resumen_Base!$B$6:$F$69,5,0)</f>
        <v>Food &amp; Wine</v>
      </c>
      <c r="F57" s="5" t="s">
        <v>35</v>
      </c>
      <c r="G57" s="309" t="s">
        <v>34</v>
      </c>
      <c r="H57" s="5" t="str">
        <f t="shared" si="1"/>
        <v>DEL5250</v>
      </c>
      <c r="I57" s="306">
        <v>51400</v>
      </c>
      <c r="J57" s="307">
        <v>36.197183098591601</v>
      </c>
      <c r="K57" s="6">
        <v>1420</v>
      </c>
      <c r="L57" s="5" t="s">
        <v>1259</v>
      </c>
      <c r="M57" s="62" t="s">
        <v>452</v>
      </c>
      <c r="N57" s="62" t="s">
        <v>464</v>
      </c>
      <c r="O57" s="62" t="s">
        <v>1260</v>
      </c>
      <c r="P57" s="100" t="s">
        <v>597</v>
      </c>
      <c r="Q57" s="309" t="s">
        <v>1261</v>
      </c>
      <c r="R57" s="309" t="s">
        <v>1269</v>
      </c>
      <c r="S57" s="5" t="s">
        <v>1262</v>
      </c>
      <c r="T57" s="5" t="s">
        <v>445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customFormat="1" ht="14">
      <c r="A58" s="9"/>
      <c r="B58" s="5"/>
      <c r="C58" s="5"/>
      <c r="D58" s="214" t="s">
        <v>383</v>
      </c>
      <c r="E58" s="212" t="str">
        <f>+VLOOKUP(F58,Resumen_Base!$B$6:$F$69,5,0)</f>
        <v>Food &amp; Wine</v>
      </c>
      <c r="F58" s="5" t="s">
        <v>35</v>
      </c>
      <c r="G58" s="309" t="s">
        <v>34</v>
      </c>
      <c r="H58" s="5" t="str">
        <f t="shared" si="1"/>
        <v>DEL5250</v>
      </c>
      <c r="I58" s="306">
        <v>70000</v>
      </c>
      <c r="J58" s="307">
        <v>47.619047619047599</v>
      </c>
      <c r="K58" s="6">
        <v>1470</v>
      </c>
      <c r="L58" s="5" t="s">
        <v>1199</v>
      </c>
      <c r="M58" s="62" t="s">
        <v>452</v>
      </c>
      <c r="N58" s="62" t="s">
        <v>464</v>
      </c>
      <c r="O58" s="62" t="s">
        <v>1249</v>
      </c>
      <c r="P58" s="100" t="s">
        <v>597</v>
      </c>
      <c r="Q58" s="309" t="s">
        <v>1250</v>
      </c>
      <c r="R58" s="309" t="s">
        <v>1270</v>
      </c>
      <c r="S58" s="5" t="s">
        <v>1252</v>
      </c>
      <c r="T58" s="5" t="s">
        <v>445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customFormat="1" ht="14">
      <c r="A59" s="9"/>
      <c r="B59" s="5"/>
      <c r="C59" s="5"/>
      <c r="D59" s="214" t="s">
        <v>383</v>
      </c>
      <c r="E59" s="212" t="str">
        <f>+VLOOKUP(F59,Resumen_Base!$B$6:$F$69,5,0)</f>
        <v>Food &amp; Wine</v>
      </c>
      <c r="F59" s="5" t="s">
        <v>35</v>
      </c>
      <c r="G59" s="309" t="s">
        <v>34</v>
      </c>
      <c r="H59" s="5" t="str">
        <f t="shared" si="1"/>
        <v>DEL5250</v>
      </c>
      <c r="I59" s="306">
        <v>59000</v>
      </c>
      <c r="J59" s="307">
        <v>40.136054421768698</v>
      </c>
      <c r="K59" s="6">
        <v>1470</v>
      </c>
      <c r="L59" s="5" t="s">
        <v>1199</v>
      </c>
      <c r="M59" s="62" t="s">
        <v>452</v>
      </c>
      <c r="N59" s="62" t="s">
        <v>464</v>
      </c>
      <c r="O59" s="62" t="s">
        <v>1249</v>
      </c>
      <c r="P59" s="100" t="s">
        <v>597</v>
      </c>
      <c r="Q59" s="309" t="s">
        <v>1250</v>
      </c>
      <c r="R59" s="309" t="s">
        <v>1272</v>
      </c>
      <c r="S59" s="5" t="s">
        <v>1252</v>
      </c>
      <c r="T59" s="5" t="s">
        <v>445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customFormat="1" ht="14">
      <c r="A60" s="9"/>
      <c r="B60" s="5"/>
      <c r="C60" s="5"/>
      <c r="D60" s="214" t="s">
        <v>383</v>
      </c>
      <c r="E60" s="212" t="str">
        <f>+VLOOKUP(F60,Resumen_Base!$B$6:$F$69,5,0)</f>
        <v>Food &amp; Wine</v>
      </c>
      <c r="F60" s="5" t="s">
        <v>35</v>
      </c>
      <c r="G60" s="309" t="s">
        <v>34</v>
      </c>
      <c r="H60" s="5" t="str">
        <f t="shared" si="1"/>
        <v>DEL5250</v>
      </c>
      <c r="I60" s="306">
        <v>27000</v>
      </c>
      <c r="J60" s="307">
        <v>18.367346938775501</v>
      </c>
      <c r="K60" s="6">
        <v>1470</v>
      </c>
      <c r="L60" s="5" t="s">
        <v>1199</v>
      </c>
      <c r="M60" s="62" t="s">
        <v>452</v>
      </c>
      <c r="N60" s="62" t="s">
        <v>464</v>
      </c>
      <c r="O60" s="62" t="s">
        <v>1249</v>
      </c>
      <c r="P60" s="100" t="s">
        <v>597</v>
      </c>
      <c r="Q60" s="309" t="s">
        <v>1250</v>
      </c>
      <c r="R60" s="309" t="s">
        <v>1276</v>
      </c>
      <c r="S60" s="5" t="s">
        <v>1252</v>
      </c>
      <c r="T60" s="5" t="s">
        <v>445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customFormat="1" ht="14">
      <c r="A61" s="9"/>
      <c r="B61" s="5"/>
      <c r="C61" s="5"/>
      <c r="D61" s="214" t="s">
        <v>383</v>
      </c>
      <c r="E61" s="212" t="str">
        <f>+VLOOKUP(F61,Resumen_Base!$B$6:$F$69,5,0)</f>
        <v>Food &amp; Wine</v>
      </c>
      <c r="F61" s="5" t="s">
        <v>35</v>
      </c>
      <c r="G61" s="309" t="s">
        <v>34</v>
      </c>
      <c r="H61" s="5" t="str">
        <f t="shared" si="1"/>
        <v>DEL5250</v>
      </c>
      <c r="I61" s="306">
        <v>20000</v>
      </c>
      <c r="J61" s="307">
        <v>14.084507042253501</v>
      </c>
      <c r="K61" s="6">
        <v>1420</v>
      </c>
      <c r="L61" s="5" t="s">
        <v>1254</v>
      </c>
      <c r="M61" s="62" t="s">
        <v>452</v>
      </c>
      <c r="N61" s="62" t="s">
        <v>464</v>
      </c>
      <c r="O61" s="62" t="s">
        <v>1255</v>
      </c>
      <c r="P61" s="100" t="s">
        <v>597</v>
      </c>
      <c r="Q61" s="309" t="s">
        <v>1256</v>
      </c>
      <c r="R61" s="309" t="s">
        <v>764</v>
      </c>
      <c r="S61" s="5" t="s">
        <v>1258</v>
      </c>
      <c r="T61" s="5" t="s">
        <v>445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customFormat="1" ht="14">
      <c r="A62" s="9"/>
      <c r="B62" s="5"/>
      <c r="C62" s="5"/>
      <c r="D62" s="214" t="s">
        <v>383</v>
      </c>
      <c r="E62" s="212" t="str">
        <f>+VLOOKUP(F62,Resumen_Base!$B$6:$F$69,5,0)</f>
        <v>Food &amp; Wine</v>
      </c>
      <c r="F62" s="5" t="s">
        <v>35</v>
      </c>
      <c r="G62" s="309" t="s">
        <v>34</v>
      </c>
      <c r="H62" s="5" t="str">
        <f t="shared" si="1"/>
        <v>DEL5250</v>
      </c>
      <c r="I62" s="306">
        <v>16100</v>
      </c>
      <c r="J62" s="307">
        <v>11.3380281690141</v>
      </c>
      <c r="K62" s="6">
        <v>1420</v>
      </c>
      <c r="L62" s="5" t="s">
        <v>1254</v>
      </c>
      <c r="M62" s="62" t="s">
        <v>452</v>
      </c>
      <c r="N62" s="62" t="s">
        <v>464</v>
      </c>
      <c r="O62" s="62" t="s">
        <v>1255</v>
      </c>
      <c r="P62" s="100" t="s">
        <v>597</v>
      </c>
      <c r="Q62" s="309" t="s">
        <v>1256</v>
      </c>
      <c r="R62" s="309" t="s">
        <v>1327</v>
      </c>
      <c r="S62" s="5" t="s">
        <v>1258</v>
      </c>
      <c r="T62" s="5" t="s">
        <v>445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customFormat="1" ht="14">
      <c r="A63" s="9"/>
      <c r="B63" s="5"/>
      <c r="C63" s="5"/>
      <c r="D63" s="214" t="s">
        <v>383</v>
      </c>
      <c r="E63" s="212" t="str">
        <f>+VLOOKUP(F63,Resumen_Base!$B$6:$F$69,5,0)</f>
        <v>Food &amp; Wine</v>
      </c>
      <c r="F63" s="5" t="s">
        <v>35</v>
      </c>
      <c r="G63" s="309" t="s">
        <v>34</v>
      </c>
      <c r="H63" s="5" t="str">
        <f t="shared" si="1"/>
        <v>DEL5250</v>
      </c>
      <c r="I63" s="306">
        <v>16200</v>
      </c>
      <c r="J63" s="307">
        <v>11.4084507042254</v>
      </c>
      <c r="K63" s="6">
        <v>1420</v>
      </c>
      <c r="L63" s="5" t="s">
        <v>1254</v>
      </c>
      <c r="M63" s="62" t="s">
        <v>452</v>
      </c>
      <c r="N63" s="62" t="s">
        <v>464</v>
      </c>
      <c r="O63" s="62" t="s">
        <v>1255</v>
      </c>
      <c r="P63" s="100" t="s">
        <v>597</v>
      </c>
      <c r="Q63" s="309" t="s">
        <v>1256</v>
      </c>
      <c r="R63" s="309" t="s">
        <v>634</v>
      </c>
      <c r="S63" s="5" t="s">
        <v>1258</v>
      </c>
      <c r="T63" s="5" t="s">
        <v>445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customFormat="1" ht="14">
      <c r="A64" s="9"/>
      <c r="B64" s="5"/>
      <c r="C64" s="5"/>
      <c r="D64" s="214" t="s">
        <v>383</v>
      </c>
      <c r="E64" s="212" t="str">
        <f>+VLOOKUP(F64,Resumen_Base!$B$6:$F$69,5,0)</f>
        <v>Food &amp; Wine</v>
      </c>
      <c r="F64" s="5" t="s">
        <v>35</v>
      </c>
      <c r="G64" s="309" t="s">
        <v>34</v>
      </c>
      <c r="H64" s="5" t="str">
        <f t="shared" si="1"/>
        <v>DEL5250</v>
      </c>
      <c r="I64" s="306">
        <v>7200</v>
      </c>
      <c r="J64" s="307">
        <v>5.0704225352112697</v>
      </c>
      <c r="K64" s="6">
        <v>1420</v>
      </c>
      <c r="L64" s="5" t="s">
        <v>1259</v>
      </c>
      <c r="M64" s="62" t="s">
        <v>452</v>
      </c>
      <c r="N64" s="62" t="s">
        <v>464</v>
      </c>
      <c r="O64" s="62" t="s">
        <v>1260</v>
      </c>
      <c r="P64" s="100" t="s">
        <v>597</v>
      </c>
      <c r="Q64" s="309" t="s">
        <v>1261</v>
      </c>
      <c r="R64" s="309" t="s">
        <v>763</v>
      </c>
      <c r="S64" s="5" t="s">
        <v>1262</v>
      </c>
      <c r="T64" s="5" t="s">
        <v>445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customFormat="1" ht="14">
      <c r="A65" s="9"/>
      <c r="B65" s="5"/>
      <c r="C65" s="5"/>
      <c r="D65" s="214" t="s">
        <v>383</v>
      </c>
      <c r="E65" s="212" t="str">
        <f>+VLOOKUP(F65,Resumen_Base!$B$6:$F$69,5,0)</f>
        <v>Food &amp; Wine</v>
      </c>
      <c r="F65" s="5" t="s">
        <v>35</v>
      </c>
      <c r="G65" s="309" t="s">
        <v>34</v>
      </c>
      <c r="H65" s="5" t="str">
        <f t="shared" si="1"/>
        <v>DEL5250</v>
      </c>
      <c r="I65" s="306">
        <v>11991</v>
      </c>
      <c r="J65" s="307">
        <v>8.4443661971831006</v>
      </c>
      <c r="K65" s="6">
        <v>1420</v>
      </c>
      <c r="L65" s="5" t="s">
        <v>1254</v>
      </c>
      <c r="M65" s="62" t="s">
        <v>452</v>
      </c>
      <c r="N65" s="62" t="s">
        <v>464</v>
      </c>
      <c r="O65" s="62" t="s">
        <v>1255</v>
      </c>
      <c r="P65" s="100" t="s">
        <v>597</v>
      </c>
      <c r="Q65" s="309" t="s">
        <v>1256</v>
      </c>
      <c r="R65" s="309" t="s">
        <v>763</v>
      </c>
      <c r="S65" s="5" t="s">
        <v>1258</v>
      </c>
      <c r="T65" s="5" t="s">
        <v>445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customFormat="1" ht="14">
      <c r="A66" s="9"/>
      <c r="B66" s="5"/>
      <c r="C66" s="5"/>
      <c r="D66" s="214" t="s">
        <v>383</v>
      </c>
      <c r="E66" s="212" t="str">
        <f>+VLOOKUP(F66,Resumen_Base!$B$6:$F$69,5,0)</f>
        <v>Food &amp; Wine</v>
      </c>
      <c r="F66" s="5" t="s">
        <v>35</v>
      </c>
      <c r="G66" s="309" t="s">
        <v>34</v>
      </c>
      <c r="H66" s="5" t="str">
        <f t="shared" si="1"/>
        <v>DEL5250</v>
      </c>
      <c r="I66" s="306">
        <v>10980</v>
      </c>
      <c r="J66" s="307">
        <v>7.7323943661971803</v>
      </c>
      <c r="K66" s="6">
        <v>1420</v>
      </c>
      <c r="L66" s="5" t="s">
        <v>1254</v>
      </c>
      <c r="M66" s="62" t="s">
        <v>452</v>
      </c>
      <c r="N66" s="62" t="s">
        <v>464</v>
      </c>
      <c r="O66" s="62" t="s">
        <v>1255</v>
      </c>
      <c r="P66" s="100" t="s">
        <v>597</v>
      </c>
      <c r="Q66" s="309" t="s">
        <v>1256</v>
      </c>
      <c r="R66" s="309" t="s">
        <v>763</v>
      </c>
      <c r="S66" s="5" t="s">
        <v>1258</v>
      </c>
      <c r="T66" s="5" t="s">
        <v>445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customFormat="1" ht="14">
      <c r="A67" s="9"/>
      <c r="B67" s="5"/>
      <c r="C67" s="5"/>
      <c r="D67" s="214" t="s">
        <v>383</v>
      </c>
      <c r="E67" s="212" t="str">
        <f>+VLOOKUP(F67,Resumen_Base!$B$6:$F$69,5,0)</f>
        <v>Food &amp; Wine</v>
      </c>
      <c r="F67" s="5" t="s">
        <v>35</v>
      </c>
      <c r="G67" s="309" t="s">
        <v>34</v>
      </c>
      <c r="H67" s="5" t="str">
        <f t="shared" si="1"/>
        <v>DEL5250</v>
      </c>
      <c r="I67" s="306">
        <v>41640</v>
      </c>
      <c r="J67" s="307">
        <v>29.3239436619718</v>
      </c>
      <c r="K67" s="6">
        <v>1420</v>
      </c>
      <c r="L67" s="5" t="s">
        <v>1254</v>
      </c>
      <c r="M67" s="62" t="s">
        <v>452</v>
      </c>
      <c r="N67" s="62" t="s">
        <v>464</v>
      </c>
      <c r="O67" s="62" t="s">
        <v>1255</v>
      </c>
      <c r="P67" s="100" t="s">
        <v>597</v>
      </c>
      <c r="Q67" s="309" t="s">
        <v>1256</v>
      </c>
      <c r="R67" s="309" t="s">
        <v>763</v>
      </c>
      <c r="S67" s="5" t="s">
        <v>1258</v>
      </c>
      <c r="T67" s="5" t="s">
        <v>445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customFormat="1" ht="14">
      <c r="A68" s="9"/>
      <c r="B68" s="5"/>
      <c r="C68" s="5"/>
      <c r="D68" s="214" t="s">
        <v>383</v>
      </c>
      <c r="E68" s="212" t="str">
        <f>+VLOOKUP(F68,Resumen_Base!$B$6:$F$69,5,0)</f>
        <v>Food &amp; Wine</v>
      </c>
      <c r="F68" s="5" t="s">
        <v>35</v>
      </c>
      <c r="G68" s="309" t="s">
        <v>34</v>
      </c>
      <c r="H68" s="5" t="str">
        <f t="shared" si="1"/>
        <v>DEL5250</v>
      </c>
      <c r="I68" s="306">
        <v>33336</v>
      </c>
      <c r="J68" s="307">
        <v>22.677551020408199</v>
      </c>
      <c r="K68" s="6">
        <v>1470</v>
      </c>
      <c r="L68" s="5" t="s">
        <v>1199</v>
      </c>
      <c r="M68" s="62" t="s">
        <v>452</v>
      </c>
      <c r="N68" s="62" t="s">
        <v>464</v>
      </c>
      <c r="O68" s="62" t="s">
        <v>1249</v>
      </c>
      <c r="P68" s="100" t="s">
        <v>597</v>
      </c>
      <c r="Q68" s="309" t="s">
        <v>1250</v>
      </c>
      <c r="R68" s="309" t="s">
        <v>763</v>
      </c>
      <c r="S68" s="5" t="s">
        <v>1252</v>
      </c>
      <c r="T68" s="5" t="s">
        <v>445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customFormat="1" ht="14">
      <c r="A69" s="9"/>
      <c r="B69" s="5"/>
      <c r="C69" s="5"/>
      <c r="D69" s="214" t="s">
        <v>383</v>
      </c>
      <c r="E69" s="212" t="str">
        <f>+VLOOKUP(F69,Resumen_Base!$B$6:$F$69,5,0)</f>
        <v>Food &amp; Wine</v>
      </c>
      <c r="F69" s="5" t="s">
        <v>35</v>
      </c>
      <c r="G69" s="309" t="s">
        <v>34</v>
      </c>
      <c r="H69" s="5" t="str">
        <f t="shared" si="1"/>
        <v>DEL5250</v>
      </c>
      <c r="I69" s="306">
        <v>208765</v>
      </c>
      <c r="J69" s="307">
        <v>142.017006802721</v>
      </c>
      <c r="K69" s="6">
        <v>1470</v>
      </c>
      <c r="L69" s="5" t="s">
        <v>1199</v>
      </c>
      <c r="M69" s="62" t="s">
        <v>452</v>
      </c>
      <c r="N69" s="62" t="s">
        <v>464</v>
      </c>
      <c r="O69" s="62" t="s">
        <v>1249</v>
      </c>
      <c r="P69" s="100" t="s">
        <v>597</v>
      </c>
      <c r="Q69" s="309" t="s">
        <v>1250</v>
      </c>
      <c r="R69" s="309" t="s">
        <v>763</v>
      </c>
      <c r="S69" s="5" t="s">
        <v>1252</v>
      </c>
      <c r="T69" s="5" t="s">
        <v>445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customFormat="1" ht="14">
      <c r="A70" s="9"/>
      <c r="B70" s="5"/>
      <c r="C70" s="5"/>
      <c r="D70" s="214" t="s">
        <v>383</v>
      </c>
      <c r="E70" s="212" t="str">
        <f>+VLOOKUP(F70,Resumen_Base!$B$6:$F$69,5,0)</f>
        <v>Food &amp; Wine</v>
      </c>
      <c r="F70" s="5" t="s">
        <v>35</v>
      </c>
      <c r="G70" s="309" t="s">
        <v>34</v>
      </c>
      <c r="H70" s="5" t="str">
        <f t="shared" si="1"/>
        <v>DEL5250</v>
      </c>
      <c r="I70" s="306">
        <v>1399802</v>
      </c>
      <c r="J70" s="307">
        <v>985.77605633802796</v>
      </c>
      <c r="K70" s="6">
        <v>1420</v>
      </c>
      <c r="L70" s="5" t="s">
        <v>1242</v>
      </c>
      <c r="M70" s="62" t="s">
        <v>452</v>
      </c>
      <c r="N70" s="62" t="s">
        <v>464</v>
      </c>
      <c r="O70" s="62" t="s">
        <v>1364</v>
      </c>
      <c r="P70" s="100" t="s">
        <v>597</v>
      </c>
      <c r="Q70" s="309" t="s">
        <v>1365</v>
      </c>
      <c r="R70" s="309" t="s">
        <v>1366</v>
      </c>
      <c r="S70" s="5" t="s">
        <v>1367</v>
      </c>
      <c r="T70" s="5" t="s">
        <v>445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customFormat="1" ht="14">
      <c r="A71" s="9"/>
      <c r="B71" s="5"/>
      <c r="C71" s="5"/>
      <c r="D71" s="214" t="s">
        <v>383</v>
      </c>
      <c r="E71" s="212" t="str">
        <f>+VLOOKUP(F71,Resumen_Base!$B$6:$F$69,5,0)</f>
        <v>Food &amp; Wine</v>
      </c>
      <c r="F71" s="5" t="s">
        <v>35</v>
      </c>
      <c r="G71" s="309" t="s">
        <v>34</v>
      </c>
      <c r="H71" s="5" t="str">
        <f t="shared" si="1"/>
        <v>DEL5250</v>
      </c>
      <c r="I71" s="306">
        <v>639045</v>
      </c>
      <c r="J71" s="307">
        <v>450.031690140845</v>
      </c>
      <c r="K71" s="6">
        <v>1420</v>
      </c>
      <c r="L71" s="5" t="s">
        <v>1242</v>
      </c>
      <c r="M71" s="62" t="s">
        <v>452</v>
      </c>
      <c r="N71" s="62" t="s">
        <v>464</v>
      </c>
      <c r="O71" s="62" t="s">
        <v>1364</v>
      </c>
      <c r="P71" s="100" t="s">
        <v>597</v>
      </c>
      <c r="Q71" s="309" t="s">
        <v>1365</v>
      </c>
      <c r="R71" s="309" t="s">
        <v>1368</v>
      </c>
      <c r="S71" s="5" t="s">
        <v>1367</v>
      </c>
      <c r="T71" s="5" t="s">
        <v>445</v>
      </c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customFormat="1" ht="14">
      <c r="A72" s="9"/>
      <c r="B72" s="5"/>
      <c r="C72" s="5"/>
      <c r="D72" s="214" t="s">
        <v>383</v>
      </c>
      <c r="E72" s="212" t="str">
        <f>+VLOOKUP(F72,Resumen_Base!$B$6:$F$69,5,0)</f>
        <v>Maintenance Lodge</v>
      </c>
      <c r="F72" s="5" t="s">
        <v>31</v>
      </c>
      <c r="G72" s="309" t="s">
        <v>30</v>
      </c>
      <c r="H72" s="5" t="str">
        <f t="shared" si="1"/>
        <v>DEL5252</v>
      </c>
      <c r="I72" s="306">
        <v>46000</v>
      </c>
      <c r="J72" s="307">
        <v>32.394366197183103</v>
      </c>
      <c r="K72" s="6">
        <v>1420</v>
      </c>
      <c r="L72" s="5" t="s">
        <v>1259</v>
      </c>
      <c r="M72" s="62" t="s">
        <v>452</v>
      </c>
      <c r="N72" s="62" t="s">
        <v>464</v>
      </c>
      <c r="O72" s="62" t="s">
        <v>1260</v>
      </c>
      <c r="P72" s="100" t="s">
        <v>597</v>
      </c>
      <c r="Q72" s="309" t="s">
        <v>1261</v>
      </c>
      <c r="R72" s="309" t="s">
        <v>689</v>
      </c>
      <c r="S72" s="5" t="s">
        <v>1262</v>
      </c>
      <c r="T72" s="5" t="s">
        <v>445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customFormat="1" ht="14">
      <c r="A73" s="9"/>
      <c r="B73" s="5"/>
      <c r="C73" s="5"/>
      <c r="D73" s="214" t="s">
        <v>383</v>
      </c>
      <c r="E73" s="212" t="str">
        <f>+VLOOKUP(F73,Resumen_Base!$B$6:$F$69,5,0)</f>
        <v>Maintenance Lodge</v>
      </c>
      <c r="F73" s="5" t="s">
        <v>31</v>
      </c>
      <c r="G73" s="309" t="s">
        <v>30</v>
      </c>
      <c r="H73" s="5" t="str">
        <f t="shared" si="1"/>
        <v>DEL5252</v>
      </c>
      <c r="I73" s="306">
        <v>52000</v>
      </c>
      <c r="J73" s="307">
        <v>36.619718309859202</v>
      </c>
      <c r="K73" s="6">
        <v>1420</v>
      </c>
      <c r="L73" s="5" t="s">
        <v>1254</v>
      </c>
      <c r="M73" s="62" t="s">
        <v>452</v>
      </c>
      <c r="N73" s="62" t="s">
        <v>464</v>
      </c>
      <c r="O73" s="62" t="s">
        <v>1255</v>
      </c>
      <c r="P73" s="100" t="s">
        <v>597</v>
      </c>
      <c r="Q73" s="309" t="s">
        <v>1256</v>
      </c>
      <c r="R73" s="309" t="s">
        <v>1263</v>
      </c>
      <c r="S73" s="5" t="s">
        <v>1258</v>
      </c>
      <c r="T73" s="5" t="s">
        <v>445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customFormat="1" ht="14">
      <c r="A74" s="9"/>
      <c r="B74" s="5"/>
      <c r="C74" s="5"/>
      <c r="D74" s="214" t="s">
        <v>383</v>
      </c>
      <c r="E74" s="212" t="str">
        <f>+VLOOKUP(F74,Resumen_Base!$B$6:$F$69,5,0)</f>
        <v>Maintenance Lodge</v>
      </c>
      <c r="F74" s="5" t="s">
        <v>31</v>
      </c>
      <c r="G74" s="309" t="s">
        <v>30</v>
      </c>
      <c r="H74" s="5" t="str">
        <f t="shared" si="1"/>
        <v>DEL5252</v>
      </c>
      <c r="I74" s="306">
        <v>24000</v>
      </c>
      <c r="J74" s="307">
        <v>16.326530612244898</v>
      </c>
      <c r="K74" s="6">
        <v>1470</v>
      </c>
      <c r="L74" s="5" t="s">
        <v>1199</v>
      </c>
      <c r="M74" s="62" t="s">
        <v>452</v>
      </c>
      <c r="N74" s="62" t="s">
        <v>464</v>
      </c>
      <c r="O74" s="62" t="s">
        <v>1249</v>
      </c>
      <c r="P74" s="100" t="s">
        <v>597</v>
      </c>
      <c r="Q74" s="309" t="s">
        <v>1250</v>
      </c>
      <c r="R74" s="309" t="s">
        <v>1264</v>
      </c>
      <c r="S74" s="5" t="s">
        <v>1252</v>
      </c>
      <c r="T74" s="5" t="s">
        <v>445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customFormat="1" ht="14">
      <c r="A75" s="9"/>
      <c r="B75" s="5"/>
      <c r="C75" s="5"/>
      <c r="D75" s="214" t="s">
        <v>383</v>
      </c>
      <c r="E75" s="212" t="str">
        <f>+VLOOKUP(F75,Resumen_Base!$B$6:$F$69,5,0)</f>
        <v>Maintenance Lodge</v>
      </c>
      <c r="F75" s="5" t="s">
        <v>31</v>
      </c>
      <c r="G75" s="309" t="s">
        <v>30</v>
      </c>
      <c r="H75" s="5" t="str">
        <f t="shared" si="1"/>
        <v>DEL5252</v>
      </c>
      <c r="I75" s="306">
        <v>5715</v>
      </c>
      <c r="J75" s="307">
        <v>4.0246478873239404</v>
      </c>
      <c r="K75" s="6">
        <v>1420</v>
      </c>
      <c r="L75" s="5" t="s">
        <v>1259</v>
      </c>
      <c r="M75" s="62" t="s">
        <v>452</v>
      </c>
      <c r="N75" s="62" t="s">
        <v>464</v>
      </c>
      <c r="O75" s="62" t="s">
        <v>1260</v>
      </c>
      <c r="P75" s="100" t="s">
        <v>597</v>
      </c>
      <c r="Q75" s="309" t="s">
        <v>1261</v>
      </c>
      <c r="R75" s="309" t="s">
        <v>1265</v>
      </c>
      <c r="S75" s="5" t="s">
        <v>1262</v>
      </c>
      <c r="T75" s="5" t="s">
        <v>445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customFormat="1" ht="14">
      <c r="A76" s="9"/>
      <c r="B76" s="5"/>
      <c r="C76" s="5"/>
      <c r="D76" s="214" t="s">
        <v>383</v>
      </c>
      <c r="E76" s="212" t="str">
        <f>+VLOOKUP(F76,Resumen_Base!$B$6:$F$69,5,0)</f>
        <v>Maintenance Lodge</v>
      </c>
      <c r="F76" s="5" t="s">
        <v>31</v>
      </c>
      <c r="G76" s="309" t="s">
        <v>30</v>
      </c>
      <c r="H76" s="5" t="str">
        <f t="shared" ref="H76:H107" si="2">+D76&amp;F76</f>
        <v>DEL5252</v>
      </c>
      <c r="I76" s="306">
        <v>71447</v>
      </c>
      <c r="J76" s="307">
        <v>50.314788732394398</v>
      </c>
      <c r="K76" s="6">
        <v>1420</v>
      </c>
      <c r="L76" s="5" t="s">
        <v>1259</v>
      </c>
      <c r="M76" s="62" t="s">
        <v>452</v>
      </c>
      <c r="N76" s="62" t="s">
        <v>464</v>
      </c>
      <c r="O76" s="62" t="s">
        <v>1260</v>
      </c>
      <c r="P76" s="100" t="s">
        <v>597</v>
      </c>
      <c r="Q76" s="309" t="s">
        <v>1261</v>
      </c>
      <c r="R76" s="309" t="s">
        <v>1266</v>
      </c>
      <c r="S76" s="5" t="s">
        <v>1262</v>
      </c>
      <c r="T76" s="5" t="s">
        <v>445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customFormat="1" ht="14">
      <c r="A77" s="9"/>
      <c r="B77" s="5"/>
      <c r="C77" s="5"/>
      <c r="D77" s="214" t="s">
        <v>383</v>
      </c>
      <c r="E77" s="212" t="str">
        <f>+VLOOKUP(F77,Resumen_Base!$B$6:$F$69,5,0)</f>
        <v>Maintenance Lodge</v>
      </c>
      <c r="F77" s="5" t="s">
        <v>31</v>
      </c>
      <c r="G77" s="309" t="s">
        <v>30</v>
      </c>
      <c r="H77" s="5" t="str">
        <f t="shared" si="2"/>
        <v>DEL5252</v>
      </c>
      <c r="I77" s="310">
        <v>245387</v>
      </c>
      <c r="J77" s="311">
        <v>172.80774647887301</v>
      </c>
      <c r="K77" s="312">
        <v>1420</v>
      </c>
      <c r="L77" s="313" t="s">
        <v>1254</v>
      </c>
      <c r="M77" s="314" t="s">
        <v>452</v>
      </c>
      <c r="N77" s="314" t="s">
        <v>464</v>
      </c>
      <c r="O77" s="314" t="s">
        <v>1255</v>
      </c>
      <c r="P77" s="315" t="s">
        <v>597</v>
      </c>
      <c r="Q77" s="316" t="s">
        <v>1256</v>
      </c>
      <c r="R77" s="316" t="s">
        <v>1268</v>
      </c>
      <c r="S77" s="5" t="s">
        <v>1258</v>
      </c>
      <c r="T77" s="5" t="s">
        <v>445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customFormat="1" ht="14">
      <c r="A78" s="9"/>
      <c r="B78" s="5"/>
      <c r="C78" s="5"/>
      <c r="D78" s="214" t="s">
        <v>383</v>
      </c>
      <c r="E78" s="212" t="str">
        <f>+VLOOKUP(F78,Resumen_Base!$B$6:$F$69,5,0)</f>
        <v>Maintenance Lodge</v>
      </c>
      <c r="F78" s="5" t="s">
        <v>31</v>
      </c>
      <c r="G78" s="309" t="s">
        <v>30</v>
      </c>
      <c r="H78" s="5" t="str">
        <f t="shared" si="2"/>
        <v>DEL5252</v>
      </c>
      <c r="I78" s="310">
        <v>83200</v>
      </c>
      <c r="J78" s="311">
        <v>56.598639455782298</v>
      </c>
      <c r="K78" s="312">
        <v>1470</v>
      </c>
      <c r="L78" s="313" t="s">
        <v>1199</v>
      </c>
      <c r="M78" s="314" t="s">
        <v>452</v>
      </c>
      <c r="N78" s="314" t="s">
        <v>464</v>
      </c>
      <c r="O78" s="314" t="s">
        <v>1249</v>
      </c>
      <c r="P78" s="315" t="s">
        <v>597</v>
      </c>
      <c r="Q78" s="316" t="s">
        <v>1250</v>
      </c>
      <c r="R78" s="316" t="s">
        <v>1272</v>
      </c>
      <c r="S78" s="5" t="s">
        <v>1252</v>
      </c>
      <c r="T78" s="5" t="s">
        <v>445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customFormat="1" ht="14">
      <c r="A79" s="9"/>
      <c r="B79" s="5"/>
      <c r="C79" s="5"/>
      <c r="D79" s="214" t="s">
        <v>383</v>
      </c>
      <c r="E79" s="212" t="str">
        <f>+VLOOKUP(F79,Resumen_Base!$B$6:$F$69,5,0)</f>
        <v>Maintenance Lodge</v>
      </c>
      <c r="F79" s="5" t="s">
        <v>31</v>
      </c>
      <c r="G79" s="309" t="s">
        <v>30</v>
      </c>
      <c r="H79" s="5" t="str">
        <f t="shared" si="2"/>
        <v>DEL5252</v>
      </c>
      <c r="I79" s="310">
        <v>143604</v>
      </c>
      <c r="J79" s="311">
        <v>97.689795918367395</v>
      </c>
      <c r="K79" s="312">
        <v>1470</v>
      </c>
      <c r="L79" s="313" t="s">
        <v>1199</v>
      </c>
      <c r="M79" s="314" t="s">
        <v>452</v>
      </c>
      <c r="N79" s="314" t="s">
        <v>464</v>
      </c>
      <c r="O79" s="314" t="s">
        <v>1249</v>
      </c>
      <c r="P79" s="315" t="s">
        <v>597</v>
      </c>
      <c r="Q79" s="316" t="s">
        <v>1250</v>
      </c>
      <c r="R79" s="316" t="s">
        <v>1275</v>
      </c>
      <c r="S79" s="5" t="s">
        <v>1252</v>
      </c>
      <c r="T79" s="5" t="s">
        <v>445</v>
      </c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customFormat="1" ht="14">
      <c r="A80" s="9"/>
      <c r="B80" s="5"/>
      <c r="C80" s="5"/>
      <c r="D80" s="214" t="s">
        <v>383</v>
      </c>
      <c r="E80" s="212" t="str">
        <f>+VLOOKUP(F80,Resumen_Base!$B$6:$F$69,5,0)</f>
        <v>Maintenance Lodge</v>
      </c>
      <c r="F80" s="5" t="s">
        <v>31</v>
      </c>
      <c r="G80" s="309" t="s">
        <v>30</v>
      </c>
      <c r="H80" s="5" t="str">
        <f t="shared" si="2"/>
        <v>DEL5252</v>
      </c>
      <c r="I80" s="310">
        <v>263966</v>
      </c>
      <c r="J80" s="311">
        <v>179.56870748299301</v>
      </c>
      <c r="K80" s="312">
        <v>1470</v>
      </c>
      <c r="L80" s="313" t="s">
        <v>1199</v>
      </c>
      <c r="M80" s="314" t="s">
        <v>452</v>
      </c>
      <c r="N80" s="314" t="s">
        <v>464</v>
      </c>
      <c r="O80" s="314" t="s">
        <v>1249</v>
      </c>
      <c r="P80" s="315" t="s">
        <v>597</v>
      </c>
      <c r="Q80" s="316" t="s">
        <v>1250</v>
      </c>
      <c r="R80" s="316" t="s">
        <v>1275</v>
      </c>
      <c r="S80" s="5" t="s">
        <v>1252</v>
      </c>
      <c r="T80" s="5" t="s">
        <v>445</v>
      </c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customFormat="1" ht="14">
      <c r="A81" s="9">
        <v>5252</v>
      </c>
      <c r="B81" s="5">
        <v>5220</v>
      </c>
      <c r="C81" s="5"/>
      <c r="D81" s="214" t="s">
        <v>383</v>
      </c>
      <c r="E81" s="212" t="str">
        <f>+VLOOKUP(F81,Resumen_Base!$B$6:$F$69,5,0)</f>
        <v>Maintenance Lodge</v>
      </c>
      <c r="F81" s="5" t="s">
        <v>31</v>
      </c>
      <c r="G81" s="309" t="s">
        <v>30</v>
      </c>
      <c r="H81" s="5" t="str">
        <f t="shared" si="2"/>
        <v>DEL5252</v>
      </c>
      <c r="I81" s="306">
        <v>139000</v>
      </c>
      <c r="J81" s="307">
        <v>94.557823129251702</v>
      </c>
      <c r="K81" s="6">
        <v>1470</v>
      </c>
      <c r="L81" s="5" t="s">
        <v>1199</v>
      </c>
      <c r="M81" s="62" t="s">
        <v>452</v>
      </c>
      <c r="N81" s="62" t="s">
        <v>464</v>
      </c>
      <c r="O81" s="62" t="s">
        <v>1249</v>
      </c>
      <c r="P81" s="100" t="s">
        <v>597</v>
      </c>
      <c r="Q81" s="309" t="s">
        <v>1250</v>
      </c>
      <c r="R81" s="309" t="s">
        <v>1277</v>
      </c>
      <c r="S81" s="5" t="s">
        <v>1252</v>
      </c>
      <c r="T81" s="5" t="s">
        <v>445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customFormat="1" ht="14">
      <c r="A82" s="9"/>
      <c r="B82" s="5"/>
      <c r="C82" s="5"/>
      <c r="D82" s="214" t="s">
        <v>383</v>
      </c>
      <c r="E82" s="212" t="str">
        <f>+VLOOKUP(F82,Resumen_Base!$B$6:$F$69,5,0)</f>
        <v>Maintenance Lodge</v>
      </c>
      <c r="F82" s="5" t="s">
        <v>31</v>
      </c>
      <c r="G82" s="309" t="s">
        <v>30</v>
      </c>
      <c r="H82" s="5" t="str">
        <f t="shared" si="2"/>
        <v>DEL5252</v>
      </c>
      <c r="I82" s="306">
        <v>28000</v>
      </c>
      <c r="J82" s="307">
        <v>19.7183098591549</v>
      </c>
      <c r="K82" s="6">
        <v>1420</v>
      </c>
      <c r="L82" s="5" t="s">
        <v>1259</v>
      </c>
      <c r="M82" s="62" t="s">
        <v>452</v>
      </c>
      <c r="N82" s="62" t="s">
        <v>464</v>
      </c>
      <c r="O82" s="62" t="s">
        <v>1260</v>
      </c>
      <c r="P82" s="100" t="s">
        <v>597</v>
      </c>
      <c r="Q82" s="309" t="s">
        <v>1261</v>
      </c>
      <c r="R82" s="309" t="s">
        <v>1291</v>
      </c>
      <c r="S82" s="5" t="s">
        <v>1262</v>
      </c>
      <c r="T82" s="5" t="s">
        <v>445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customFormat="1" ht="14">
      <c r="A83" s="9"/>
      <c r="B83" s="5"/>
      <c r="C83" s="5"/>
      <c r="D83" s="214" t="s">
        <v>383</v>
      </c>
      <c r="E83" s="212" t="str">
        <f>+VLOOKUP(F83,Resumen_Base!$B$6:$F$69,5,0)</f>
        <v>Maintenance Lodge</v>
      </c>
      <c r="F83" s="5" t="s">
        <v>31</v>
      </c>
      <c r="G83" s="309" t="s">
        <v>30</v>
      </c>
      <c r="H83" s="5" t="str">
        <f t="shared" si="2"/>
        <v>DEL5252</v>
      </c>
      <c r="I83" s="306">
        <v>131400</v>
      </c>
      <c r="J83" s="307">
        <v>89.387755102040799</v>
      </c>
      <c r="K83" s="6">
        <v>1470</v>
      </c>
      <c r="L83" s="5" t="s">
        <v>1199</v>
      </c>
      <c r="M83" s="62" t="s">
        <v>452</v>
      </c>
      <c r="N83" s="62" t="s">
        <v>464</v>
      </c>
      <c r="O83" s="62" t="s">
        <v>1249</v>
      </c>
      <c r="P83" s="100" t="s">
        <v>597</v>
      </c>
      <c r="Q83" s="309" t="s">
        <v>1250</v>
      </c>
      <c r="R83" s="309" t="s">
        <v>1310</v>
      </c>
      <c r="S83" s="5" t="s">
        <v>1252</v>
      </c>
      <c r="T83" s="5" t="s">
        <v>445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customFormat="1" ht="14">
      <c r="A84" s="9"/>
      <c r="B84" s="5"/>
      <c r="C84" s="5"/>
      <c r="D84" s="214" t="s">
        <v>383</v>
      </c>
      <c r="E84" s="212" t="str">
        <f>+VLOOKUP(F84,Resumen_Base!$B$6:$F$69,5,0)</f>
        <v>Maintenance Lodge</v>
      </c>
      <c r="F84" s="5" t="s">
        <v>31</v>
      </c>
      <c r="G84" s="309" t="s">
        <v>30</v>
      </c>
      <c r="H84" s="5" t="str">
        <f t="shared" si="2"/>
        <v>DEL5252</v>
      </c>
      <c r="I84" s="306">
        <v>40000</v>
      </c>
      <c r="J84" s="307">
        <v>28.169014084507001</v>
      </c>
      <c r="K84" s="6">
        <v>1420</v>
      </c>
      <c r="L84" s="5" t="s">
        <v>1259</v>
      </c>
      <c r="M84" s="62" t="s">
        <v>452</v>
      </c>
      <c r="N84" s="62" t="s">
        <v>464</v>
      </c>
      <c r="O84" s="62" t="s">
        <v>1260</v>
      </c>
      <c r="P84" s="100" t="s">
        <v>597</v>
      </c>
      <c r="Q84" s="309" t="s">
        <v>1261</v>
      </c>
      <c r="R84" s="309" t="s">
        <v>1311</v>
      </c>
      <c r="S84" s="5" t="s">
        <v>1262</v>
      </c>
      <c r="T84" s="5" t="s">
        <v>445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customFormat="1" ht="14">
      <c r="A85" s="9"/>
      <c r="B85" s="5"/>
      <c r="C85" s="5"/>
      <c r="D85" s="214" t="s">
        <v>383</v>
      </c>
      <c r="E85" s="212" t="str">
        <f>+VLOOKUP(F85,Resumen_Base!$B$6:$F$69,5,0)</f>
        <v>Maintenance Lodge</v>
      </c>
      <c r="F85" s="5" t="s">
        <v>31</v>
      </c>
      <c r="G85" s="309" t="s">
        <v>30</v>
      </c>
      <c r="H85" s="5" t="str">
        <f t="shared" si="2"/>
        <v>DEL5252</v>
      </c>
      <c r="I85" s="306">
        <v>20000</v>
      </c>
      <c r="J85" s="307">
        <v>14.084507042253501</v>
      </c>
      <c r="K85" s="6">
        <v>1420</v>
      </c>
      <c r="L85" s="5" t="s">
        <v>1259</v>
      </c>
      <c r="M85" s="62" t="s">
        <v>452</v>
      </c>
      <c r="N85" s="62" t="s">
        <v>464</v>
      </c>
      <c r="O85" s="62" t="s">
        <v>1260</v>
      </c>
      <c r="P85" s="100" t="s">
        <v>597</v>
      </c>
      <c r="Q85" s="309" t="s">
        <v>1261</v>
      </c>
      <c r="R85" s="309" t="s">
        <v>1317</v>
      </c>
      <c r="S85" s="5" t="s">
        <v>1262</v>
      </c>
      <c r="T85" s="5" t="s">
        <v>445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customFormat="1" ht="14">
      <c r="A86" s="9"/>
      <c r="B86" s="5"/>
      <c r="C86" s="5"/>
      <c r="D86" s="214" t="s">
        <v>383</v>
      </c>
      <c r="E86" s="212" t="str">
        <f>+VLOOKUP(F86,Resumen_Base!$B$6:$F$69,5,0)</f>
        <v>Maintenance Lodge</v>
      </c>
      <c r="F86" s="5" t="s">
        <v>31</v>
      </c>
      <c r="G86" s="309" t="s">
        <v>30</v>
      </c>
      <c r="H86" s="5" t="str">
        <f t="shared" si="2"/>
        <v>DEL5252</v>
      </c>
      <c r="I86" s="306">
        <v>6000</v>
      </c>
      <c r="J86" s="307">
        <v>4.2253521126760596</v>
      </c>
      <c r="K86" s="6">
        <v>1420</v>
      </c>
      <c r="L86" s="5" t="s">
        <v>1254</v>
      </c>
      <c r="M86" s="62" t="s">
        <v>452</v>
      </c>
      <c r="N86" s="62" t="s">
        <v>464</v>
      </c>
      <c r="O86" s="62" t="s">
        <v>1255</v>
      </c>
      <c r="P86" s="100" t="s">
        <v>597</v>
      </c>
      <c r="Q86" s="309" t="s">
        <v>1256</v>
      </c>
      <c r="R86" s="309" t="s">
        <v>1329</v>
      </c>
      <c r="S86" s="5" t="s">
        <v>1258</v>
      </c>
      <c r="T86" s="5" t="s">
        <v>445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customFormat="1" ht="14">
      <c r="A87" s="9"/>
      <c r="B87" s="5"/>
      <c r="C87" s="5"/>
      <c r="D87" s="214" t="s">
        <v>383</v>
      </c>
      <c r="E87" s="212" t="str">
        <f>+VLOOKUP(F87,Resumen_Base!$B$6:$F$69,5,0)</f>
        <v>Maintenance Lodge</v>
      </c>
      <c r="F87" s="5" t="s">
        <v>31</v>
      </c>
      <c r="G87" s="309" t="s">
        <v>30</v>
      </c>
      <c r="H87" s="5" t="str">
        <f t="shared" si="2"/>
        <v>DEL5252</v>
      </c>
      <c r="I87" s="306">
        <v>79615</v>
      </c>
      <c r="J87" s="307">
        <v>56.066901408450697</v>
      </c>
      <c r="K87" s="6">
        <v>1420</v>
      </c>
      <c r="L87" s="5" t="s">
        <v>1254</v>
      </c>
      <c r="M87" s="62" t="s">
        <v>452</v>
      </c>
      <c r="N87" s="62" t="s">
        <v>464</v>
      </c>
      <c r="O87" s="62" t="s">
        <v>1255</v>
      </c>
      <c r="P87" s="100" t="s">
        <v>597</v>
      </c>
      <c r="Q87" s="309" t="s">
        <v>1256</v>
      </c>
      <c r="R87" s="309" t="s">
        <v>1330</v>
      </c>
      <c r="S87" s="5" t="s">
        <v>1258</v>
      </c>
      <c r="T87" s="5" t="s">
        <v>445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customFormat="1" ht="14">
      <c r="A88" s="9"/>
      <c r="B88" s="5"/>
      <c r="C88" s="5"/>
      <c r="D88" s="214" t="s">
        <v>383</v>
      </c>
      <c r="E88" s="212" t="str">
        <f>+VLOOKUP(F88,Resumen_Base!$B$6:$F$69,5,0)</f>
        <v>Maintenance Lodge</v>
      </c>
      <c r="F88" s="5" t="s">
        <v>31</v>
      </c>
      <c r="G88" s="309" t="s">
        <v>30</v>
      </c>
      <c r="H88" s="5" t="str">
        <f t="shared" si="2"/>
        <v>DEL5252</v>
      </c>
      <c r="I88" s="306">
        <v>43000</v>
      </c>
      <c r="J88" s="307">
        <v>30.2816901408451</v>
      </c>
      <c r="K88" s="6">
        <v>1420</v>
      </c>
      <c r="L88" s="5" t="s">
        <v>1254</v>
      </c>
      <c r="M88" s="62" t="s">
        <v>452</v>
      </c>
      <c r="N88" s="62" t="s">
        <v>464</v>
      </c>
      <c r="O88" s="62" t="s">
        <v>1255</v>
      </c>
      <c r="P88" s="100" t="s">
        <v>597</v>
      </c>
      <c r="Q88" s="309" t="s">
        <v>1256</v>
      </c>
      <c r="R88" s="309" t="s">
        <v>1332</v>
      </c>
      <c r="S88" s="5" t="s">
        <v>1258</v>
      </c>
      <c r="T88" s="5" t="s">
        <v>445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customFormat="1" ht="14">
      <c r="A89" s="9"/>
      <c r="B89" s="5"/>
      <c r="C89" s="5"/>
      <c r="D89" s="214" t="s">
        <v>383</v>
      </c>
      <c r="E89" s="212" t="str">
        <f>+VLOOKUP(F89,Resumen_Base!$B$6:$F$69,5,0)</f>
        <v>Maintenance Lodge</v>
      </c>
      <c r="F89" s="5" t="s">
        <v>31</v>
      </c>
      <c r="G89" s="309" t="s">
        <v>30</v>
      </c>
      <c r="H89" s="5" t="str">
        <f t="shared" si="2"/>
        <v>DEL5252</v>
      </c>
      <c r="I89" s="306">
        <v>22100</v>
      </c>
      <c r="J89" s="307">
        <v>15.563380281690099</v>
      </c>
      <c r="K89" s="6">
        <v>1420</v>
      </c>
      <c r="L89" s="5" t="s">
        <v>1259</v>
      </c>
      <c r="M89" s="62" t="s">
        <v>452</v>
      </c>
      <c r="N89" s="62" t="s">
        <v>464</v>
      </c>
      <c r="O89" s="62" t="s">
        <v>1260</v>
      </c>
      <c r="P89" s="100" t="s">
        <v>597</v>
      </c>
      <c r="Q89" s="309" t="s">
        <v>1261</v>
      </c>
      <c r="R89" s="309" t="s">
        <v>1333</v>
      </c>
      <c r="S89" s="5" t="s">
        <v>1262</v>
      </c>
      <c r="T89" s="5" t="s">
        <v>445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customFormat="1" ht="14">
      <c r="A90" s="9"/>
      <c r="B90" s="5"/>
      <c r="C90" s="5"/>
      <c r="D90" s="214" t="s">
        <v>383</v>
      </c>
      <c r="E90" s="212" t="str">
        <f>+VLOOKUP(F90,Resumen_Base!$B$6:$F$69,5,0)</f>
        <v>Maintenance Lodge</v>
      </c>
      <c r="F90" s="5" t="s">
        <v>31</v>
      </c>
      <c r="G90" s="309" t="s">
        <v>30</v>
      </c>
      <c r="H90" s="5" t="str">
        <f t="shared" si="2"/>
        <v>DEL5252</v>
      </c>
      <c r="I90" s="306">
        <v>43500</v>
      </c>
      <c r="J90" s="307">
        <v>29.591836734693899</v>
      </c>
      <c r="K90" s="6">
        <v>1470</v>
      </c>
      <c r="L90" s="5" t="s">
        <v>1199</v>
      </c>
      <c r="M90" s="62" t="s">
        <v>452</v>
      </c>
      <c r="N90" s="62" t="s">
        <v>464</v>
      </c>
      <c r="O90" s="62" t="s">
        <v>1249</v>
      </c>
      <c r="P90" s="100" t="s">
        <v>597</v>
      </c>
      <c r="Q90" s="309" t="s">
        <v>1250</v>
      </c>
      <c r="R90" s="309" t="s">
        <v>1335</v>
      </c>
      <c r="S90" s="5" t="s">
        <v>1252</v>
      </c>
      <c r="T90" s="5" t="s">
        <v>445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customFormat="1" ht="14">
      <c r="A91" s="9"/>
      <c r="B91" s="5"/>
      <c r="C91" s="5"/>
      <c r="D91" s="214" t="s">
        <v>383</v>
      </c>
      <c r="E91" s="212" t="str">
        <f>+VLOOKUP(F91,Resumen_Base!$B$6:$F$69,5,0)</f>
        <v>Maintenance Lodge</v>
      </c>
      <c r="F91" s="5" t="s">
        <v>31</v>
      </c>
      <c r="G91" s="309" t="s">
        <v>30</v>
      </c>
      <c r="H91" s="5" t="str">
        <f t="shared" si="2"/>
        <v>DEL5252</v>
      </c>
      <c r="I91" s="306">
        <v>26000</v>
      </c>
      <c r="J91" s="307">
        <v>18.309859154929601</v>
      </c>
      <c r="K91" s="6">
        <v>1420</v>
      </c>
      <c r="L91" s="5" t="s">
        <v>1259</v>
      </c>
      <c r="M91" s="62" t="s">
        <v>452</v>
      </c>
      <c r="N91" s="62" t="s">
        <v>464</v>
      </c>
      <c r="O91" s="62" t="s">
        <v>1260</v>
      </c>
      <c r="P91" s="100" t="s">
        <v>597</v>
      </c>
      <c r="Q91" s="309" t="s">
        <v>1261</v>
      </c>
      <c r="R91" s="309" t="s">
        <v>1336</v>
      </c>
      <c r="S91" s="5" t="s">
        <v>1262</v>
      </c>
      <c r="T91" s="5" t="s">
        <v>445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customFormat="1" ht="14">
      <c r="A92" s="9"/>
      <c r="B92" s="5"/>
      <c r="C92" s="5"/>
      <c r="D92" s="214" t="s">
        <v>383</v>
      </c>
      <c r="E92" s="212" t="str">
        <f>+VLOOKUP(F92,Resumen_Base!$B$6:$F$69,5,0)</f>
        <v>Maintenance Lodge</v>
      </c>
      <c r="F92" s="5" t="s">
        <v>31</v>
      </c>
      <c r="G92" s="309" t="s">
        <v>30</v>
      </c>
      <c r="H92" s="5" t="str">
        <f t="shared" si="2"/>
        <v>DEL5252</v>
      </c>
      <c r="I92" s="306">
        <v>27500</v>
      </c>
      <c r="J92" s="307">
        <v>19.366197183098599</v>
      </c>
      <c r="K92" s="6">
        <v>1420</v>
      </c>
      <c r="L92" s="5" t="s">
        <v>1259</v>
      </c>
      <c r="M92" s="62" t="s">
        <v>452</v>
      </c>
      <c r="N92" s="62" t="s">
        <v>464</v>
      </c>
      <c r="O92" s="62" t="s">
        <v>1260</v>
      </c>
      <c r="P92" s="100" t="s">
        <v>597</v>
      </c>
      <c r="Q92" s="309" t="s">
        <v>1261</v>
      </c>
      <c r="R92" s="309" t="s">
        <v>1337</v>
      </c>
      <c r="S92" s="5" t="s">
        <v>1262</v>
      </c>
      <c r="T92" s="5" t="s">
        <v>445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customFormat="1" ht="14">
      <c r="A93" s="9"/>
      <c r="B93" s="5"/>
      <c r="C93" s="5"/>
      <c r="D93" s="214" t="s">
        <v>383</v>
      </c>
      <c r="E93" s="212" t="str">
        <f>+VLOOKUP(F93,Resumen_Base!$B$6:$F$69,5,0)</f>
        <v>Maintenance Lodge</v>
      </c>
      <c r="F93" s="5" t="s">
        <v>31</v>
      </c>
      <c r="G93" s="309" t="s">
        <v>30</v>
      </c>
      <c r="H93" s="5" t="str">
        <f t="shared" si="2"/>
        <v>DEL5252</v>
      </c>
      <c r="I93" s="306">
        <v>258500</v>
      </c>
      <c r="J93" s="307">
        <v>175.850340136054</v>
      </c>
      <c r="K93" s="6">
        <v>1470</v>
      </c>
      <c r="L93" s="5" t="s">
        <v>1199</v>
      </c>
      <c r="M93" s="62" t="s">
        <v>452</v>
      </c>
      <c r="N93" s="62" t="s">
        <v>464</v>
      </c>
      <c r="O93" s="62" t="s">
        <v>1249</v>
      </c>
      <c r="P93" s="100" t="s">
        <v>597</v>
      </c>
      <c r="Q93" s="309" t="s">
        <v>1250</v>
      </c>
      <c r="R93" s="309" t="s">
        <v>1339</v>
      </c>
      <c r="S93" s="5" t="s">
        <v>1252</v>
      </c>
      <c r="T93" s="5" t="s">
        <v>445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customFormat="1" ht="14">
      <c r="A94" s="9"/>
      <c r="B94" s="5"/>
      <c r="C94" s="5"/>
      <c r="D94" s="214" t="s">
        <v>383</v>
      </c>
      <c r="E94" s="212" t="str">
        <f>+VLOOKUP(F94,Resumen_Base!$B$6:$F$69,5,0)</f>
        <v>Maintenance Lodge</v>
      </c>
      <c r="F94" s="5" t="s">
        <v>31</v>
      </c>
      <c r="G94" s="309" t="s">
        <v>30</v>
      </c>
      <c r="H94" s="5" t="str">
        <f t="shared" si="2"/>
        <v>DEL5252</v>
      </c>
      <c r="I94" s="310">
        <v>44600</v>
      </c>
      <c r="J94" s="311">
        <v>31.408450704225402</v>
      </c>
      <c r="K94" s="312">
        <v>1420</v>
      </c>
      <c r="L94" s="313" t="s">
        <v>1259</v>
      </c>
      <c r="M94" s="314" t="s">
        <v>452</v>
      </c>
      <c r="N94" s="314" t="s">
        <v>464</v>
      </c>
      <c r="O94" s="314" t="s">
        <v>1260</v>
      </c>
      <c r="P94" s="315" t="s">
        <v>597</v>
      </c>
      <c r="Q94" s="316" t="s">
        <v>1261</v>
      </c>
      <c r="R94" s="316" t="s">
        <v>634</v>
      </c>
      <c r="S94" s="5" t="s">
        <v>1262</v>
      </c>
      <c r="T94" s="5" t="s">
        <v>445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customFormat="1" ht="14">
      <c r="A95" s="9"/>
      <c r="B95" s="5"/>
      <c r="C95" s="5"/>
      <c r="D95" s="214" t="s">
        <v>383</v>
      </c>
      <c r="E95" s="212" t="str">
        <f>+VLOOKUP(F95,Resumen_Base!$B$6:$F$69,5,0)</f>
        <v>Maintenance Lodge</v>
      </c>
      <c r="F95" s="5" t="s">
        <v>31</v>
      </c>
      <c r="G95" s="309" t="s">
        <v>30</v>
      </c>
      <c r="H95" s="5" t="str">
        <f t="shared" si="2"/>
        <v>DEL5252</v>
      </c>
      <c r="I95" s="310">
        <v>4500</v>
      </c>
      <c r="J95" s="311">
        <v>3.1690140845070398</v>
      </c>
      <c r="K95" s="312">
        <v>1420</v>
      </c>
      <c r="L95" s="313" t="s">
        <v>1259</v>
      </c>
      <c r="M95" s="314" t="s">
        <v>452</v>
      </c>
      <c r="N95" s="314" t="s">
        <v>464</v>
      </c>
      <c r="O95" s="314" t="s">
        <v>1260</v>
      </c>
      <c r="P95" s="315" t="s">
        <v>597</v>
      </c>
      <c r="Q95" s="316" t="s">
        <v>1261</v>
      </c>
      <c r="R95" s="316" t="s">
        <v>634</v>
      </c>
      <c r="S95" s="5" t="s">
        <v>1262</v>
      </c>
      <c r="T95" s="5" t="s">
        <v>445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customFormat="1" ht="14">
      <c r="A96" s="9"/>
      <c r="B96" s="5"/>
      <c r="C96" s="5"/>
      <c r="D96" s="214" t="s">
        <v>383</v>
      </c>
      <c r="E96" s="212" t="str">
        <f>+VLOOKUP(F96,Resumen_Base!$B$6:$F$69,5,0)</f>
        <v>Maintenance Lodge</v>
      </c>
      <c r="F96" s="5" t="s">
        <v>31</v>
      </c>
      <c r="G96" s="309" t="s">
        <v>30</v>
      </c>
      <c r="H96" s="5" t="str">
        <f t="shared" si="2"/>
        <v>DEL5252</v>
      </c>
      <c r="I96" s="310">
        <v>32900</v>
      </c>
      <c r="J96" s="311">
        <v>23.169014084507001</v>
      </c>
      <c r="K96" s="312">
        <v>1420</v>
      </c>
      <c r="L96" s="313" t="s">
        <v>1254</v>
      </c>
      <c r="M96" s="314" t="s">
        <v>452</v>
      </c>
      <c r="N96" s="314" t="s">
        <v>464</v>
      </c>
      <c r="O96" s="314" t="s">
        <v>1255</v>
      </c>
      <c r="P96" s="315" t="s">
        <v>597</v>
      </c>
      <c r="Q96" s="316" t="s">
        <v>1256</v>
      </c>
      <c r="R96" s="316" t="s">
        <v>634</v>
      </c>
      <c r="S96" s="5" t="s">
        <v>1258</v>
      </c>
      <c r="T96" s="5" t="s">
        <v>445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customFormat="1" ht="14">
      <c r="A97" s="9"/>
      <c r="B97" s="5"/>
      <c r="C97" s="5"/>
      <c r="D97" s="214" t="s">
        <v>383</v>
      </c>
      <c r="E97" s="212" t="str">
        <f>+VLOOKUP(F97,Resumen_Base!$B$6:$F$69,5,0)</f>
        <v>Maintenance Lodge</v>
      </c>
      <c r="F97" s="5" t="s">
        <v>31</v>
      </c>
      <c r="G97" s="309" t="s">
        <v>30</v>
      </c>
      <c r="H97" s="5" t="str">
        <f t="shared" si="2"/>
        <v>DEL5252</v>
      </c>
      <c r="I97" s="306">
        <v>12100</v>
      </c>
      <c r="J97" s="307">
        <v>8.52112676056338</v>
      </c>
      <c r="K97" s="6">
        <v>1420</v>
      </c>
      <c r="L97" s="5" t="s">
        <v>1259</v>
      </c>
      <c r="M97" s="62" t="s">
        <v>452</v>
      </c>
      <c r="N97" s="62" t="s">
        <v>464</v>
      </c>
      <c r="O97" s="62" t="s">
        <v>1260</v>
      </c>
      <c r="P97" s="100" t="s">
        <v>597</v>
      </c>
      <c r="Q97" s="309" t="s">
        <v>1261</v>
      </c>
      <c r="R97" s="309" t="s">
        <v>1341</v>
      </c>
      <c r="S97" s="5" t="s">
        <v>1262</v>
      </c>
      <c r="T97" s="5" t="s">
        <v>445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customFormat="1" ht="14">
      <c r="A98" s="9"/>
      <c r="B98" s="5"/>
      <c r="C98" s="5"/>
      <c r="D98" s="214" t="s">
        <v>383</v>
      </c>
      <c r="E98" s="212" t="str">
        <f>+VLOOKUP(F98,Resumen_Base!$B$6:$F$69,5,0)</f>
        <v>Maintenance Lodge</v>
      </c>
      <c r="F98" s="5" t="s">
        <v>31</v>
      </c>
      <c r="G98" s="309" t="s">
        <v>30</v>
      </c>
      <c r="H98" s="5" t="str">
        <f t="shared" si="2"/>
        <v>DEL5252</v>
      </c>
      <c r="I98" s="306">
        <v>34800</v>
      </c>
      <c r="J98" s="307">
        <v>24.507042253521099</v>
      </c>
      <c r="K98" s="6">
        <v>1420</v>
      </c>
      <c r="L98" s="5" t="s">
        <v>1259</v>
      </c>
      <c r="M98" s="62" t="s">
        <v>452</v>
      </c>
      <c r="N98" s="62" t="s">
        <v>464</v>
      </c>
      <c r="O98" s="62" t="s">
        <v>1260</v>
      </c>
      <c r="P98" s="100" t="s">
        <v>597</v>
      </c>
      <c r="Q98" s="309" t="s">
        <v>1261</v>
      </c>
      <c r="R98" s="309" t="s">
        <v>639</v>
      </c>
      <c r="S98" s="5" t="s">
        <v>1262</v>
      </c>
      <c r="T98" s="5" t="s">
        <v>445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customFormat="1" ht="14">
      <c r="A99" s="9"/>
      <c r="B99" s="5"/>
      <c r="C99" s="5"/>
      <c r="D99" s="214" t="s">
        <v>383</v>
      </c>
      <c r="E99" s="212" t="str">
        <f>+VLOOKUP(F99,Resumen_Base!$B$6:$F$69,5,0)</f>
        <v>Maintenance Lodge</v>
      </c>
      <c r="F99" s="5" t="s">
        <v>31</v>
      </c>
      <c r="G99" s="309" t="s">
        <v>30</v>
      </c>
      <c r="H99" s="5" t="str">
        <f t="shared" si="2"/>
        <v>DEL5252</v>
      </c>
      <c r="I99" s="306">
        <v>4000</v>
      </c>
      <c r="J99" s="307">
        <v>2.8169014084507</v>
      </c>
      <c r="K99" s="6">
        <v>1420</v>
      </c>
      <c r="L99" s="5" t="s">
        <v>1259</v>
      </c>
      <c r="M99" s="62" t="s">
        <v>452</v>
      </c>
      <c r="N99" s="62" t="s">
        <v>464</v>
      </c>
      <c r="O99" s="62" t="s">
        <v>1260</v>
      </c>
      <c r="P99" s="100" t="s">
        <v>597</v>
      </c>
      <c r="Q99" s="309" t="s">
        <v>1261</v>
      </c>
      <c r="R99" s="309" t="s">
        <v>639</v>
      </c>
      <c r="S99" s="5" t="s">
        <v>1262</v>
      </c>
      <c r="T99" s="5" t="s">
        <v>445</v>
      </c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customFormat="1" ht="14">
      <c r="A100" s="9"/>
      <c r="B100" s="5"/>
      <c r="C100" s="5"/>
      <c r="D100" s="214" t="s">
        <v>383</v>
      </c>
      <c r="E100" s="212" t="str">
        <f>+VLOOKUP(F100,Resumen_Base!$B$6:$F$69,5,0)</f>
        <v>Maintenance Lodge</v>
      </c>
      <c r="F100" s="5" t="s">
        <v>31</v>
      </c>
      <c r="G100" s="309" t="s">
        <v>30</v>
      </c>
      <c r="H100" s="5" t="str">
        <f t="shared" si="2"/>
        <v>DEL5252</v>
      </c>
      <c r="I100" s="306">
        <v>8000</v>
      </c>
      <c r="J100" s="307">
        <v>5.6338028169014098</v>
      </c>
      <c r="K100" s="6">
        <v>1420</v>
      </c>
      <c r="L100" s="5" t="s">
        <v>1254</v>
      </c>
      <c r="M100" s="62" t="s">
        <v>452</v>
      </c>
      <c r="N100" s="62" t="s">
        <v>464</v>
      </c>
      <c r="O100" s="62" t="s">
        <v>1255</v>
      </c>
      <c r="P100" s="100" t="s">
        <v>597</v>
      </c>
      <c r="Q100" s="309" t="s">
        <v>1256</v>
      </c>
      <c r="R100" s="309" t="s">
        <v>1342</v>
      </c>
      <c r="S100" s="5" t="s">
        <v>1258</v>
      </c>
      <c r="T100" s="5" t="s">
        <v>445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customFormat="1" ht="14">
      <c r="A101" s="9"/>
      <c r="B101" s="5"/>
      <c r="C101" s="5"/>
      <c r="D101" s="214" t="s">
        <v>383</v>
      </c>
      <c r="E101" s="212" t="str">
        <f>+VLOOKUP(F101,Resumen_Base!$B$6:$F$69,5,0)</f>
        <v>Maintenance Lodge</v>
      </c>
      <c r="F101" s="5" t="s">
        <v>31</v>
      </c>
      <c r="G101" s="309" t="s">
        <v>30</v>
      </c>
      <c r="H101" s="5" t="str">
        <f t="shared" si="2"/>
        <v>DEL5252</v>
      </c>
      <c r="I101" s="306">
        <v>340000</v>
      </c>
      <c r="J101" s="307">
        <v>239.43661971831</v>
      </c>
      <c r="K101" s="6">
        <v>1420</v>
      </c>
      <c r="L101" s="5" t="s">
        <v>1237</v>
      </c>
      <c r="M101" s="62" t="s">
        <v>452</v>
      </c>
      <c r="N101" s="62" t="s">
        <v>464</v>
      </c>
      <c r="O101" s="62" t="s">
        <v>1343</v>
      </c>
      <c r="P101" s="100" t="s">
        <v>597</v>
      </c>
      <c r="Q101" s="309" t="s">
        <v>1344</v>
      </c>
      <c r="R101" s="309" t="s">
        <v>1345</v>
      </c>
      <c r="S101" s="5" t="s">
        <v>1346</v>
      </c>
      <c r="T101" s="5" t="s">
        <v>445</v>
      </c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customFormat="1" ht="14">
      <c r="A102" s="9"/>
      <c r="B102" s="5"/>
      <c r="C102" s="5"/>
      <c r="D102" s="214" t="s">
        <v>383</v>
      </c>
      <c r="E102" s="212" t="str">
        <f>+VLOOKUP(F102,Resumen_Base!$B$6:$F$69,5,0)</f>
        <v>Maintenance  Boats / Vehicles</v>
      </c>
      <c r="F102" s="5" t="s">
        <v>62</v>
      </c>
      <c r="G102" s="309" t="s">
        <v>63</v>
      </c>
      <c r="H102" s="5" t="str">
        <f t="shared" si="2"/>
        <v>DEL5253</v>
      </c>
      <c r="I102" s="306">
        <v>100000</v>
      </c>
      <c r="J102" s="307">
        <v>70.422535211267601</v>
      </c>
      <c r="K102" s="6">
        <v>1420</v>
      </c>
      <c r="L102" s="5" t="s">
        <v>1259</v>
      </c>
      <c r="M102" s="62" t="s">
        <v>452</v>
      </c>
      <c r="N102" s="62" t="s">
        <v>464</v>
      </c>
      <c r="O102" s="62" t="s">
        <v>1260</v>
      </c>
      <c r="P102" s="100" t="s">
        <v>597</v>
      </c>
      <c r="Q102" s="309" t="s">
        <v>1261</v>
      </c>
      <c r="R102" s="309" t="s">
        <v>1292</v>
      </c>
      <c r="S102" s="5" t="s">
        <v>1262</v>
      </c>
      <c r="T102" s="5" t="s">
        <v>445</v>
      </c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customFormat="1" ht="14">
      <c r="A103" s="9"/>
      <c r="B103" s="5"/>
      <c r="C103" s="5"/>
      <c r="D103" s="214" t="s">
        <v>383</v>
      </c>
      <c r="E103" s="212" t="str">
        <f>+VLOOKUP(F103,Resumen_Base!$B$6:$F$69,5,0)</f>
        <v>Maintenance  Boats / Vehicles</v>
      </c>
      <c r="F103" s="5" t="s">
        <v>62</v>
      </c>
      <c r="G103" s="309" t="s">
        <v>63</v>
      </c>
      <c r="H103" s="5" t="str">
        <f t="shared" si="2"/>
        <v>DEL5253</v>
      </c>
      <c r="I103" s="306">
        <v>284000</v>
      </c>
      <c r="J103" s="307">
        <v>200</v>
      </c>
      <c r="K103" s="6">
        <v>1420</v>
      </c>
      <c r="L103" s="5" t="s">
        <v>1259</v>
      </c>
      <c r="M103" s="62" t="s">
        <v>452</v>
      </c>
      <c r="N103" s="62" t="s">
        <v>464</v>
      </c>
      <c r="O103" s="62" t="s">
        <v>1302</v>
      </c>
      <c r="P103" s="100" t="s">
        <v>597</v>
      </c>
      <c r="Q103" s="309" t="s">
        <v>1303</v>
      </c>
      <c r="R103" s="309" t="s">
        <v>1304</v>
      </c>
      <c r="S103" s="5" t="s">
        <v>1305</v>
      </c>
      <c r="T103" s="5" t="s">
        <v>445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customFormat="1" ht="14">
      <c r="A104" s="9"/>
      <c r="B104" s="5"/>
      <c r="C104" s="5"/>
      <c r="D104" s="214" t="s">
        <v>383</v>
      </c>
      <c r="E104" s="212" t="str">
        <f>+VLOOKUP(F104,Resumen_Base!$B$6:$F$69,5,0)</f>
        <v>Maintenance  Boats / Vehicles</v>
      </c>
      <c r="F104" s="5" t="s">
        <v>62</v>
      </c>
      <c r="G104" s="309" t="s">
        <v>63</v>
      </c>
      <c r="H104" s="5" t="str">
        <f t="shared" si="2"/>
        <v>DEL5253</v>
      </c>
      <c r="I104" s="306">
        <v>80000</v>
      </c>
      <c r="J104" s="307">
        <v>56.338028169014102</v>
      </c>
      <c r="K104" s="6">
        <v>1420</v>
      </c>
      <c r="L104" s="5" t="s">
        <v>1259</v>
      </c>
      <c r="M104" s="62" t="s">
        <v>452</v>
      </c>
      <c r="N104" s="62" t="s">
        <v>464</v>
      </c>
      <c r="O104" s="62" t="s">
        <v>1260</v>
      </c>
      <c r="P104" s="100" t="s">
        <v>597</v>
      </c>
      <c r="Q104" s="309" t="s">
        <v>1261</v>
      </c>
      <c r="R104" s="309" t="s">
        <v>1306</v>
      </c>
      <c r="S104" s="5" t="s">
        <v>1262</v>
      </c>
      <c r="T104" s="5" t="s">
        <v>445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customFormat="1" ht="14">
      <c r="A105" s="9"/>
      <c r="B105" s="5"/>
      <c r="C105" s="5"/>
      <c r="D105" s="214" t="s">
        <v>383</v>
      </c>
      <c r="E105" s="212" t="str">
        <f>+VLOOKUP(F105,Resumen_Base!$B$6:$F$69,5,0)</f>
        <v>Maintenance  Boats / Vehicles</v>
      </c>
      <c r="F105" s="5" t="s">
        <v>62</v>
      </c>
      <c r="G105" s="309" t="s">
        <v>63</v>
      </c>
      <c r="H105" s="5" t="str">
        <f t="shared" si="2"/>
        <v>DEL5253</v>
      </c>
      <c r="I105" s="306">
        <v>150000</v>
      </c>
      <c r="J105" s="307">
        <v>102.040816326531</v>
      </c>
      <c r="K105" s="6">
        <v>1470</v>
      </c>
      <c r="L105" s="5" t="s">
        <v>1199</v>
      </c>
      <c r="M105" s="62" t="s">
        <v>452</v>
      </c>
      <c r="N105" s="62" t="s">
        <v>464</v>
      </c>
      <c r="O105" s="62" t="s">
        <v>1249</v>
      </c>
      <c r="P105" s="100" t="s">
        <v>597</v>
      </c>
      <c r="Q105" s="309" t="s">
        <v>1250</v>
      </c>
      <c r="R105" s="309" t="s">
        <v>1045</v>
      </c>
      <c r="S105" s="5" t="s">
        <v>1252</v>
      </c>
      <c r="T105" s="5" t="s">
        <v>445</v>
      </c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customFormat="1" ht="14">
      <c r="A106" s="9"/>
      <c r="B106" s="5"/>
      <c r="C106" s="5"/>
      <c r="D106" s="214" t="s">
        <v>383</v>
      </c>
      <c r="E106" s="212" t="str">
        <f>+VLOOKUP(F106,Resumen_Base!$B$6:$F$69,5,0)</f>
        <v>Maintenance  Boats / Vehicles</v>
      </c>
      <c r="F106" s="5" t="s">
        <v>62</v>
      </c>
      <c r="G106" s="309" t="s">
        <v>63</v>
      </c>
      <c r="H106" s="5" t="str">
        <f t="shared" si="2"/>
        <v>DEL5253</v>
      </c>
      <c r="I106" s="306">
        <v>270000</v>
      </c>
      <c r="J106" s="307">
        <v>190.14084507042301</v>
      </c>
      <c r="K106" s="6">
        <v>1420</v>
      </c>
      <c r="L106" s="5" t="s">
        <v>1242</v>
      </c>
      <c r="M106" s="62" t="s">
        <v>452</v>
      </c>
      <c r="N106" s="62" t="s">
        <v>464</v>
      </c>
      <c r="O106" s="62" t="s">
        <v>1364</v>
      </c>
      <c r="P106" s="100" t="s">
        <v>597</v>
      </c>
      <c r="Q106" s="309" t="s">
        <v>1365</v>
      </c>
      <c r="R106" s="309" t="s">
        <v>1370</v>
      </c>
      <c r="S106" s="5" t="s">
        <v>1367</v>
      </c>
      <c r="T106" s="5" t="s">
        <v>445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customFormat="1" ht="14">
      <c r="A107" s="9"/>
      <c r="B107" s="5"/>
      <c r="C107" s="5"/>
      <c r="D107" s="214" t="s">
        <v>383</v>
      </c>
      <c r="E107" s="212" t="str">
        <f>+VLOOKUP(F107,Resumen_Base!$B$6:$F$69,5,0)</f>
        <v>Maintenance  Equipment</v>
      </c>
      <c r="F107" s="5" t="s">
        <v>29</v>
      </c>
      <c r="G107" s="309" t="s">
        <v>312</v>
      </c>
      <c r="H107" s="5" t="str">
        <f t="shared" si="2"/>
        <v>DEL5254</v>
      </c>
      <c r="I107" s="306">
        <v>53000</v>
      </c>
      <c r="J107" s="307">
        <v>37.323943661971803</v>
      </c>
      <c r="K107" s="6">
        <v>1420</v>
      </c>
      <c r="L107" s="5" t="s">
        <v>1259</v>
      </c>
      <c r="M107" s="62" t="s">
        <v>452</v>
      </c>
      <c r="N107" s="62" t="s">
        <v>464</v>
      </c>
      <c r="O107" s="62" t="s">
        <v>1260</v>
      </c>
      <c r="P107" s="100" t="s">
        <v>597</v>
      </c>
      <c r="Q107" s="309" t="s">
        <v>1261</v>
      </c>
      <c r="R107" s="309" t="s">
        <v>1271</v>
      </c>
      <c r="S107" s="5" t="s">
        <v>1262</v>
      </c>
      <c r="T107" s="5" t="s">
        <v>445</v>
      </c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customFormat="1" ht="14">
      <c r="A108" s="9"/>
      <c r="B108" s="5"/>
      <c r="C108" s="5"/>
      <c r="D108" s="214" t="s">
        <v>383</v>
      </c>
      <c r="E108" s="212" t="str">
        <f>+VLOOKUP(F108,Resumen_Base!$B$6:$F$69,5,0)</f>
        <v>Maintenance  Equipment</v>
      </c>
      <c r="F108" s="5" t="s">
        <v>29</v>
      </c>
      <c r="G108" s="309" t="s">
        <v>312</v>
      </c>
      <c r="H108" s="5" t="str">
        <f t="shared" ref="H108:H123" si="3">+D108&amp;F108</f>
        <v>DEL5254</v>
      </c>
      <c r="I108" s="306">
        <v>27000</v>
      </c>
      <c r="J108" s="307">
        <v>19.014084507042298</v>
      </c>
      <c r="K108" s="6">
        <v>1420</v>
      </c>
      <c r="L108" s="5" t="s">
        <v>1254</v>
      </c>
      <c r="M108" s="62" t="s">
        <v>452</v>
      </c>
      <c r="N108" s="62" t="s">
        <v>464</v>
      </c>
      <c r="O108" s="62" t="s">
        <v>1255</v>
      </c>
      <c r="P108" s="100" t="s">
        <v>597</v>
      </c>
      <c r="Q108" s="309" t="s">
        <v>1256</v>
      </c>
      <c r="R108" s="309" t="s">
        <v>1334</v>
      </c>
      <c r="S108" s="5" t="s">
        <v>1258</v>
      </c>
      <c r="T108" s="5" t="s">
        <v>445</v>
      </c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customFormat="1" ht="14">
      <c r="A109" s="9"/>
      <c r="B109" s="5"/>
      <c r="C109" s="5"/>
      <c r="D109" s="214" t="s">
        <v>383</v>
      </c>
      <c r="E109" s="212" t="str">
        <f>+VLOOKUP(F109,Resumen_Base!$B$6:$F$69,5,0)</f>
        <v>Travel for personnel (employees)</v>
      </c>
      <c r="F109" s="5" t="s">
        <v>64</v>
      </c>
      <c r="G109" s="309" t="s">
        <v>65</v>
      </c>
      <c r="H109" s="5" t="str">
        <f t="shared" si="3"/>
        <v>DEL5255</v>
      </c>
      <c r="I109" s="306">
        <v>30000</v>
      </c>
      <c r="J109" s="307">
        <v>20.408163265306101</v>
      </c>
      <c r="K109" s="6">
        <v>1470</v>
      </c>
      <c r="L109" s="5" t="s">
        <v>1199</v>
      </c>
      <c r="M109" s="62" t="s">
        <v>452</v>
      </c>
      <c r="N109" s="62" t="s">
        <v>464</v>
      </c>
      <c r="O109" s="62" t="s">
        <v>1249</v>
      </c>
      <c r="P109" s="100" t="s">
        <v>597</v>
      </c>
      <c r="Q109" s="309" t="s">
        <v>1250</v>
      </c>
      <c r="R109" s="309" t="s">
        <v>491</v>
      </c>
      <c r="S109" s="5" t="s">
        <v>1252</v>
      </c>
      <c r="T109" s="5" t="s">
        <v>445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customFormat="1" ht="14">
      <c r="A110" s="9"/>
      <c r="B110" s="5"/>
      <c r="C110" s="5"/>
      <c r="D110" s="214" t="s">
        <v>383</v>
      </c>
      <c r="E110" s="212" t="str">
        <f>+VLOOKUP(F110,Resumen_Base!$B$6:$F$69,5,0)</f>
        <v>Travel for personnel (employees)</v>
      </c>
      <c r="F110" s="5" t="s">
        <v>64</v>
      </c>
      <c r="G110" s="309" t="s">
        <v>65</v>
      </c>
      <c r="H110" s="5" t="str">
        <f t="shared" si="3"/>
        <v>DEL5255</v>
      </c>
      <c r="I110" s="306">
        <v>900</v>
      </c>
      <c r="J110" s="307">
        <v>0.61224489795918402</v>
      </c>
      <c r="K110" s="6">
        <v>1470</v>
      </c>
      <c r="L110" s="5" t="s">
        <v>1199</v>
      </c>
      <c r="M110" s="62" t="s">
        <v>452</v>
      </c>
      <c r="N110" s="62" t="s">
        <v>464</v>
      </c>
      <c r="O110" s="62" t="s">
        <v>1249</v>
      </c>
      <c r="P110" s="100" t="s">
        <v>597</v>
      </c>
      <c r="Q110" s="309" t="s">
        <v>1250</v>
      </c>
      <c r="R110" s="309" t="s">
        <v>660</v>
      </c>
      <c r="S110" s="5" t="s">
        <v>1252</v>
      </c>
      <c r="T110" s="5" t="s">
        <v>445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customFormat="1" ht="14">
      <c r="A111" s="9"/>
      <c r="B111" s="5"/>
      <c r="C111" s="5"/>
      <c r="D111" s="214" t="s">
        <v>383</v>
      </c>
      <c r="E111" s="212" t="str">
        <f>+VLOOKUP(F111,Resumen_Base!$B$6:$F$69,5,0)</f>
        <v>Travel for personnel (employees)</v>
      </c>
      <c r="F111" s="5" t="s">
        <v>64</v>
      </c>
      <c r="G111" s="309" t="s">
        <v>65</v>
      </c>
      <c r="H111" s="5" t="str">
        <f t="shared" si="3"/>
        <v>DEL5255</v>
      </c>
      <c r="I111" s="306">
        <v>53800</v>
      </c>
      <c r="J111" s="307">
        <v>36.598639455782298</v>
      </c>
      <c r="K111" s="6">
        <v>1470</v>
      </c>
      <c r="L111" s="5" t="s">
        <v>1218</v>
      </c>
      <c r="M111" s="62" t="s">
        <v>452</v>
      </c>
      <c r="N111" s="62" t="s">
        <v>464</v>
      </c>
      <c r="O111" s="62" t="s">
        <v>1360</v>
      </c>
      <c r="P111" s="100" t="s">
        <v>597</v>
      </c>
      <c r="Q111" s="309" t="s">
        <v>1361</v>
      </c>
      <c r="R111" s="309" t="s">
        <v>1371</v>
      </c>
      <c r="S111" s="5" t="s">
        <v>1363</v>
      </c>
      <c r="T111" s="5" t="s">
        <v>445</v>
      </c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customFormat="1" ht="14">
      <c r="A112" s="9"/>
      <c r="B112" s="5"/>
      <c r="C112" s="5"/>
      <c r="D112" s="214" t="s">
        <v>383</v>
      </c>
      <c r="E112" s="212" t="str">
        <f>+VLOOKUP(F112,Resumen_Base!$B$6:$F$69,5,0)</f>
        <v>Miscellaneous &amp; Shipping</v>
      </c>
      <c r="F112" s="5" t="s">
        <v>26</v>
      </c>
      <c r="G112" s="309" t="s">
        <v>313</v>
      </c>
      <c r="H112" s="5" t="str">
        <f t="shared" si="3"/>
        <v>DEL5263</v>
      </c>
      <c r="I112" s="306">
        <v>2000</v>
      </c>
      <c r="J112" s="307">
        <v>1.3605442176870699</v>
      </c>
      <c r="K112" s="6">
        <v>1470</v>
      </c>
      <c r="L112" s="5" t="s">
        <v>1199</v>
      </c>
      <c r="M112" s="62" t="s">
        <v>452</v>
      </c>
      <c r="N112" s="62" t="s">
        <v>464</v>
      </c>
      <c r="O112" s="62" t="s">
        <v>1249</v>
      </c>
      <c r="P112" s="100" t="s">
        <v>597</v>
      </c>
      <c r="Q112" s="309" t="s">
        <v>1250</v>
      </c>
      <c r="R112" s="309" t="s">
        <v>1253</v>
      </c>
      <c r="S112" s="5" t="s">
        <v>1252</v>
      </c>
      <c r="T112" s="5" t="s">
        <v>445</v>
      </c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256" customFormat="1" ht="14">
      <c r="A113" s="9"/>
      <c r="B113" s="5"/>
      <c r="C113" s="5"/>
      <c r="D113" s="214" t="s">
        <v>383</v>
      </c>
      <c r="E113" s="212" t="str">
        <f>+VLOOKUP(F113,Resumen_Base!$B$6:$F$69,5,0)</f>
        <v>Miscellaneous &amp; Shipping</v>
      </c>
      <c r="F113" s="5" t="s">
        <v>26</v>
      </c>
      <c r="G113" s="309" t="s">
        <v>313</v>
      </c>
      <c r="H113" s="5" t="str">
        <f t="shared" si="3"/>
        <v>DEL5263</v>
      </c>
      <c r="I113" s="306">
        <v>3000</v>
      </c>
      <c r="J113" s="307">
        <v>2.1126760563380298</v>
      </c>
      <c r="K113" s="6">
        <v>1420</v>
      </c>
      <c r="L113" s="5" t="s">
        <v>1254</v>
      </c>
      <c r="M113" s="62" t="s">
        <v>452</v>
      </c>
      <c r="N113" s="62" t="s">
        <v>464</v>
      </c>
      <c r="O113" s="62" t="s">
        <v>1255</v>
      </c>
      <c r="P113" s="100" t="s">
        <v>597</v>
      </c>
      <c r="Q113" s="309" t="s">
        <v>1256</v>
      </c>
      <c r="R113" s="309" t="s">
        <v>1307</v>
      </c>
      <c r="S113" s="5" t="s">
        <v>1258</v>
      </c>
      <c r="T113" s="5" t="s">
        <v>445</v>
      </c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256" customFormat="1" ht="14">
      <c r="A114" s="9"/>
      <c r="B114" s="5"/>
      <c r="C114" s="5"/>
      <c r="D114" s="214" t="s">
        <v>383</v>
      </c>
      <c r="E114" s="212" t="str">
        <f>+VLOOKUP(F114,Resumen_Base!$B$6:$F$69,5,0)</f>
        <v>Miscellaneous &amp; Shipping</v>
      </c>
      <c r="F114" s="5" t="s">
        <v>26</v>
      </c>
      <c r="G114" s="309" t="s">
        <v>313</v>
      </c>
      <c r="H114" s="5" t="str">
        <f t="shared" si="3"/>
        <v>DEL5263</v>
      </c>
      <c r="I114" s="306">
        <v>8000</v>
      </c>
      <c r="J114" s="307">
        <v>5.4421768707483</v>
      </c>
      <c r="K114" s="6">
        <v>1470</v>
      </c>
      <c r="L114" s="5" t="s">
        <v>1199</v>
      </c>
      <c r="M114" s="62" t="s">
        <v>452</v>
      </c>
      <c r="N114" s="62" t="s">
        <v>464</v>
      </c>
      <c r="O114" s="62" t="s">
        <v>1249</v>
      </c>
      <c r="P114" s="100" t="s">
        <v>597</v>
      </c>
      <c r="Q114" s="309" t="s">
        <v>1250</v>
      </c>
      <c r="R114" s="309" t="s">
        <v>1308</v>
      </c>
      <c r="S114" s="5" t="s">
        <v>1252</v>
      </c>
      <c r="T114" s="5" t="s">
        <v>445</v>
      </c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256" customFormat="1" ht="14">
      <c r="A115" s="9">
        <v>5255</v>
      </c>
      <c r="B115" s="5">
        <v>5263</v>
      </c>
      <c r="C115" s="5"/>
      <c r="D115" s="214" t="s">
        <v>383</v>
      </c>
      <c r="E115" s="212" t="str">
        <f>+VLOOKUP(F115,Resumen_Base!$B$6:$F$69,5,0)</f>
        <v>Miscellaneous &amp; Shipping</v>
      </c>
      <c r="F115" s="5" t="s">
        <v>26</v>
      </c>
      <c r="G115" s="309" t="s">
        <v>313</v>
      </c>
      <c r="H115" s="5" t="str">
        <f t="shared" si="3"/>
        <v>DEL5263</v>
      </c>
      <c r="I115" s="306">
        <v>7200</v>
      </c>
      <c r="J115" s="307">
        <v>5.0704225352112697</v>
      </c>
      <c r="K115" s="6">
        <v>1420</v>
      </c>
      <c r="L115" s="5" t="s">
        <v>1254</v>
      </c>
      <c r="M115" s="62" t="s">
        <v>452</v>
      </c>
      <c r="N115" s="62" t="s">
        <v>464</v>
      </c>
      <c r="O115" s="62" t="s">
        <v>1255</v>
      </c>
      <c r="P115" s="100" t="s">
        <v>597</v>
      </c>
      <c r="Q115" s="309" t="s">
        <v>1256</v>
      </c>
      <c r="R115" s="309" t="s">
        <v>1309</v>
      </c>
      <c r="S115" s="5" t="s">
        <v>1258</v>
      </c>
      <c r="T115" s="5" t="s">
        <v>445</v>
      </c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256" customFormat="1" ht="14">
      <c r="A116" s="9">
        <v>5255</v>
      </c>
      <c r="B116" s="5">
        <v>5263</v>
      </c>
      <c r="C116" s="5"/>
      <c r="D116" s="214" t="s">
        <v>383</v>
      </c>
      <c r="E116" s="212" t="str">
        <f>+VLOOKUP(F116,Resumen_Base!$B$6:$F$69,5,0)</f>
        <v>Miscellaneous &amp; Shipping</v>
      </c>
      <c r="F116" s="5" t="s">
        <v>26</v>
      </c>
      <c r="G116" s="309" t="s">
        <v>313</v>
      </c>
      <c r="H116" s="5" t="str">
        <f t="shared" si="3"/>
        <v>DEL5263</v>
      </c>
      <c r="I116" s="306">
        <v>106000</v>
      </c>
      <c r="J116" s="307">
        <v>72.108843537414998</v>
      </c>
      <c r="K116" s="6">
        <v>1470</v>
      </c>
      <c r="L116" s="5" t="s">
        <v>1199</v>
      </c>
      <c r="M116" s="62" t="s">
        <v>452</v>
      </c>
      <c r="N116" s="62" t="s">
        <v>464</v>
      </c>
      <c r="O116" s="62" t="s">
        <v>1249</v>
      </c>
      <c r="P116" s="100" t="s">
        <v>597</v>
      </c>
      <c r="Q116" s="309" t="s">
        <v>1250</v>
      </c>
      <c r="R116" s="309" t="s">
        <v>1319</v>
      </c>
      <c r="S116" s="5" t="s">
        <v>1252</v>
      </c>
      <c r="T116" s="5" t="s">
        <v>445</v>
      </c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256" customFormat="1" ht="14">
      <c r="A117" s="9">
        <v>5252</v>
      </c>
      <c r="B117" s="5">
        <v>5263</v>
      </c>
      <c r="C117" s="5"/>
      <c r="D117" s="214" t="s">
        <v>383</v>
      </c>
      <c r="E117" s="212" t="str">
        <f>+VLOOKUP(F117,Resumen_Base!$B$6:$F$69,5,0)</f>
        <v>Miscellaneous &amp; Shipping</v>
      </c>
      <c r="F117" s="5" t="s">
        <v>26</v>
      </c>
      <c r="G117" s="309" t="s">
        <v>313</v>
      </c>
      <c r="H117" s="5" t="str">
        <f t="shared" si="3"/>
        <v>DEL5263</v>
      </c>
      <c r="I117" s="306">
        <v>80000</v>
      </c>
      <c r="J117" s="307">
        <v>56.338028169014102</v>
      </c>
      <c r="K117" s="6">
        <v>1420</v>
      </c>
      <c r="L117" s="5" t="s">
        <v>1254</v>
      </c>
      <c r="M117" s="62" t="s">
        <v>452</v>
      </c>
      <c r="N117" s="62" t="s">
        <v>464</v>
      </c>
      <c r="O117" s="62" t="s">
        <v>1255</v>
      </c>
      <c r="P117" s="100" t="s">
        <v>597</v>
      </c>
      <c r="Q117" s="309" t="s">
        <v>1256</v>
      </c>
      <c r="R117" s="309" t="s">
        <v>1338</v>
      </c>
      <c r="S117" s="5" t="s">
        <v>1258</v>
      </c>
      <c r="T117" s="5" t="s">
        <v>445</v>
      </c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256" customFormat="1" ht="14">
      <c r="A118" s="9">
        <v>5252</v>
      </c>
      <c r="B118" s="5">
        <v>5263</v>
      </c>
      <c r="C118" s="5"/>
      <c r="D118" s="214" t="s">
        <v>383</v>
      </c>
      <c r="E118" s="212" t="str">
        <f>+VLOOKUP(F118,Resumen_Base!$B$6:$F$69,5,0)</f>
        <v>Miscellaneous &amp; Shipping</v>
      </c>
      <c r="F118" s="5" t="s">
        <v>26</v>
      </c>
      <c r="G118" s="309" t="s">
        <v>313</v>
      </c>
      <c r="H118" s="5" t="str">
        <f t="shared" si="3"/>
        <v>DEL5263</v>
      </c>
      <c r="I118" s="306">
        <v>10000</v>
      </c>
      <c r="J118" s="307">
        <v>6.8027210884353702</v>
      </c>
      <c r="K118" s="6">
        <v>1470</v>
      </c>
      <c r="L118" s="5" t="s">
        <v>1199</v>
      </c>
      <c r="M118" s="62" t="s">
        <v>452</v>
      </c>
      <c r="N118" s="62" t="s">
        <v>464</v>
      </c>
      <c r="O118" s="62" t="s">
        <v>1249</v>
      </c>
      <c r="P118" s="100" t="s">
        <v>597</v>
      </c>
      <c r="Q118" s="309" t="s">
        <v>1250</v>
      </c>
      <c r="R118" s="309" t="s">
        <v>1340</v>
      </c>
      <c r="S118" s="5" t="s">
        <v>1252</v>
      </c>
      <c r="T118" s="5" t="s">
        <v>445</v>
      </c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256" customFormat="1" ht="14">
      <c r="A119" s="9"/>
      <c r="B119" s="5"/>
      <c r="C119" s="5"/>
      <c r="D119" s="214" t="s">
        <v>383</v>
      </c>
      <c r="E119" s="212" t="str">
        <f>+VLOOKUP(F119,Resumen_Base!$B$6:$F$69,5,0)</f>
        <v>Miscellaneous &amp; Shipping</v>
      </c>
      <c r="F119" s="5" t="s">
        <v>26</v>
      </c>
      <c r="G119" s="309" t="s">
        <v>313</v>
      </c>
      <c r="H119" s="5" t="str">
        <f t="shared" si="3"/>
        <v>DEL5263</v>
      </c>
      <c r="I119" s="306">
        <v>34000</v>
      </c>
      <c r="J119" s="307">
        <v>23.943661971830998</v>
      </c>
      <c r="K119" s="6">
        <v>1420</v>
      </c>
      <c r="L119" s="5" t="s">
        <v>1237</v>
      </c>
      <c r="M119" s="62" t="s">
        <v>452</v>
      </c>
      <c r="N119" s="62" t="s">
        <v>464</v>
      </c>
      <c r="O119" s="62" t="s">
        <v>1343</v>
      </c>
      <c r="P119" s="100" t="s">
        <v>597</v>
      </c>
      <c r="Q119" s="309" t="s">
        <v>1344</v>
      </c>
      <c r="R119" s="309" t="s">
        <v>1345</v>
      </c>
      <c r="S119" s="5" t="s">
        <v>1346</v>
      </c>
      <c r="T119" s="5" t="s">
        <v>445</v>
      </c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256" customFormat="1" ht="14">
      <c r="A120" s="9"/>
      <c r="B120" s="5"/>
      <c r="C120" s="5"/>
      <c r="D120" s="214" t="s">
        <v>383</v>
      </c>
      <c r="E120" s="212" t="str">
        <f>+VLOOKUP(F120,Resumen_Base!$B$6:$F$69,5,0)</f>
        <v>Food &amp; Wine</v>
      </c>
      <c r="F120" s="5" t="s">
        <v>119</v>
      </c>
      <c r="G120" s="309" t="s">
        <v>120</v>
      </c>
      <c r="H120" s="5" t="str">
        <f t="shared" si="3"/>
        <v>DEL5289</v>
      </c>
      <c r="I120" s="306">
        <v>28000</v>
      </c>
      <c r="J120" s="307">
        <v>19.047619047619001</v>
      </c>
      <c r="K120" s="6">
        <v>1470</v>
      </c>
      <c r="L120" s="5" t="s">
        <v>1199</v>
      </c>
      <c r="M120" s="62" t="s">
        <v>452</v>
      </c>
      <c r="N120" s="62" t="s">
        <v>464</v>
      </c>
      <c r="O120" s="62" t="s">
        <v>1249</v>
      </c>
      <c r="P120" s="100" t="s">
        <v>597</v>
      </c>
      <c r="Q120" s="309" t="s">
        <v>1250</v>
      </c>
      <c r="R120" s="309" t="s">
        <v>1267</v>
      </c>
      <c r="S120" s="5" t="s">
        <v>1252</v>
      </c>
      <c r="T120" s="5" t="s">
        <v>445</v>
      </c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256" customFormat="1" ht="14">
      <c r="A121" s="9"/>
      <c r="B121" s="5"/>
      <c r="C121" s="5"/>
      <c r="D121" s="214" t="s">
        <v>383</v>
      </c>
      <c r="E121" s="212" t="str">
        <f>+VLOOKUP(F121,Resumen_Base!$B$6:$F$69,5,0)</f>
        <v>Food &amp; Wine</v>
      </c>
      <c r="F121" s="5" t="s">
        <v>119</v>
      </c>
      <c r="G121" s="309" t="s">
        <v>120</v>
      </c>
      <c r="H121" s="5" t="str">
        <f t="shared" si="3"/>
        <v>DEL5289</v>
      </c>
      <c r="I121" s="306">
        <v>42200</v>
      </c>
      <c r="J121" s="307">
        <v>28.707482993197299</v>
      </c>
      <c r="K121" s="6">
        <v>1470</v>
      </c>
      <c r="L121" s="5" t="s">
        <v>1199</v>
      </c>
      <c r="M121" s="62" t="s">
        <v>452</v>
      </c>
      <c r="N121" s="62" t="s">
        <v>464</v>
      </c>
      <c r="O121" s="62" t="s">
        <v>1249</v>
      </c>
      <c r="P121" s="100" t="s">
        <v>597</v>
      </c>
      <c r="Q121" s="309" t="s">
        <v>1250</v>
      </c>
      <c r="R121" s="309" t="s">
        <v>1273</v>
      </c>
      <c r="S121" s="5" t="s">
        <v>1252</v>
      </c>
      <c r="T121" s="5" t="s">
        <v>445</v>
      </c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256" customFormat="1" ht="14">
      <c r="A122" s="9"/>
      <c r="B122" s="5"/>
      <c r="C122" s="5"/>
      <c r="D122" s="214" t="s">
        <v>383</v>
      </c>
      <c r="E122" s="212" t="str">
        <f>+VLOOKUP(F122,Resumen_Base!$B$6:$F$69,5,0)</f>
        <v>Food &amp; Wine</v>
      </c>
      <c r="F122" s="5" t="s">
        <v>119</v>
      </c>
      <c r="G122" s="309" t="s">
        <v>120</v>
      </c>
      <c r="H122" s="5" t="str">
        <f t="shared" si="3"/>
        <v>DEL5289</v>
      </c>
      <c r="I122" s="306">
        <v>39300</v>
      </c>
      <c r="J122" s="307">
        <v>26.734693877550999</v>
      </c>
      <c r="K122" s="6">
        <v>1470</v>
      </c>
      <c r="L122" s="5" t="s">
        <v>1199</v>
      </c>
      <c r="M122" s="62" t="s">
        <v>452</v>
      </c>
      <c r="N122" s="62" t="s">
        <v>464</v>
      </c>
      <c r="O122" s="62" t="s">
        <v>1249</v>
      </c>
      <c r="P122" s="100" t="s">
        <v>597</v>
      </c>
      <c r="Q122" s="309" t="s">
        <v>1250</v>
      </c>
      <c r="R122" s="309" t="s">
        <v>1274</v>
      </c>
      <c r="S122" s="5" t="s">
        <v>1252</v>
      </c>
      <c r="T122" s="5" t="s">
        <v>445</v>
      </c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256" customFormat="1" ht="14">
      <c r="A123" s="9">
        <v>5250</v>
      </c>
      <c r="B123" s="5">
        <v>5291</v>
      </c>
      <c r="C123" s="5"/>
      <c r="D123" s="214" t="s">
        <v>383</v>
      </c>
      <c r="E123" s="212" t="str">
        <f>+VLOOKUP(F123,Resumen_Base!$B$6:$F$69,5,0)</f>
        <v>Food &amp; Wine</v>
      </c>
      <c r="F123" s="5" t="s">
        <v>110</v>
      </c>
      <c r="G123" s="309" t="s">
        <v>111</v>
      </c>
      <c r="H123" s="5" t="str">
        <f t="shared" si="3"/>
        <v>DEL5291</v>
      </c>
      <c r="I123" s="306">
        <v>48180</v>
      </c>
      <c r="J123" s="307">
        <v>33.9295774647887</v>
      </c>
      <c r="K123" s="6">
        <v>1420</v>
      </c>
      <c r="L123" s="5" t="s">
        <v>1259</v>
      </c>
      <c r="M123" s="62" t="s">
        <v>452</v>
      </c>
      <c r="N123" s="62" t="s">
        <v>464</v>
      </c>
      <c r="O123" s="62" t="s">
        <v>1260</v>
      </c>
      <c r="P123" s="100" t="s">
        <v>597</v>
      </c>
      <c r="Q123" s="309" t="s">
        <v>1261</v>
      </c>
      <c r="R123" s="309" t="s">
        <v>1328</v>
      </c>
      <c r="S123" s="5" t="s">
        <v>1262</v>
      </c>
      <c r="T123" s="5" t="s">
        <v>445</v>
      </c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256" ht="15">
      <c r="A124" s="194"/>
      <c r="B124" s="194"/>
      <c r="C124" s="194"/>
      <c r="D124" s="194"/>
      <c r="E124" s="194"/>
      <c r="F124" s="193"/>
      <c r="G124" s="194"/>
      <c r="H124" s="194"/>
      <c r="I124" s="195"/>
      <c r="J124" s="195"/>
      <c r="K124" s="195"/>
      <c r="L124" s="2"/>
      <c r="M124" s="2"/>
      <c r="N124"/>
      <c r="O124"/>
      <c r="P124"/>
      <c r="Q124"/>
      <c r="R124"/>
      <c r="S124"/>
      <c r="T124"/>
      <c r="U124"/>
      <c r="V124"/>
      <c r="W124"/>
      <c r="X124" s="1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4"/>
      <c r="BT124" s="194"/>
      <c r="BU124" s="194"/>
      <c r="BV124" s="194"/>
      <c r="BW124" s="194"/>
      <c r="BX124" s="194"/>
      <c r="BY124" s="194"/>
      <c r="BZ124" s="194"/>
      <c r="CA124" s="194"/>
      <c r="CB124" s="194"/>
      <c r="CC124" s="194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4"/>
      <c r="CO124" s="194"/>
      <c r="CP124" s="194"/>
      <c r="CQ124" s="194"/>
      <c r="CR124" s="194"/>
      <c r="CS124" s="194"/>
      <c r="CT124" s="194"/>
      <c r="CU124" s="194"/>
      <c r="CV124" s="194"/>
      <c r="CW124" s="194"/>
      <c r="CX124" s="194"/>
      <c r="CY124" s="194"/>
      <c r="CZ124" s="194"/>
      <c r="DA124" s="194"/>
      <c r="DB124" s="194"/>
      <c r="DC124" s="194"/>
      <c r="DD124" s="194"/>
      <c r="DE124" s="194"/>
      <c r="DF124" s="194"/>
      <c r="DG124" s="194"/>
      <c r="DH124" s="194"/>
      <c r="DI124" s="194"/>
      <c r="DJ124" s="194"/>
      <c r="DK124" s="194"/>
      <c r="DL124" s="194"/>
      <c r="DM124" s="194"/>
      <c r="DN124" s="194"/>
      <c r="DO124" s="194"/>
      <c r="DP124" s="194"/>
      <c r="DQ124" s="194"/>
      <c r="DR124" s="194"/>
      <c r="DS124" s="194"/>
      <c r="DT124" s="194"/>
      <c r="DU124" s="194"/>
      <c r="DV124" s="194"/>
      <c r="DW124" s="194"/>
      <c r="DX124" s="194"/>
      <c r="DY124" s="194"/>
      <c r="DZ124" s="194"/>
      <c r="EA124" s="194"/>
      <c r="EB124" s="194"/>
      <c r="EC124" s="194"/>
      <c r="ED124" s="194"/>
      <c r="EE124" s="194"/>
      <c r="EF124" s="194"/>
      <c r="EG124" s="194"/>
      <c r="EH124" s="194"/>
      <c r="EI124" s="194"/>
      <c r="EJ124" s="194"/>
      <c r="EK124" s="194"/>
      <c r="EL124" s="194"/>
      <c r="EM124" s="194"/>
      <c r="EN124" s="194"/>
      <c r="EO124" s="194"/>
      <c r="EP124" s="194"/>
      <c r="EQ124" s="194"/>
      <c r="ER124" s="194"/>
      <c r="ES124" s="194"/>
      <c r="ET124" s="194"/>
      <c r="EU124" s="194"/>
      <c r="EV124" s="194"/>
      <c r="EW124" s="194"/>
      <c r="EX124" s="194"/>
      <c r="EY124" s="194"/>
      <c r="EZ124" s="194"/>
      <c r="FA124" s="194"/>
      <c r="FB124" s="194"/>
      <c r="FC124" s="194"/>
      <c r="FD124" s="194"/>
      <c r="FE124" s="194"/>
      <c r="FF124" s="194"/>
      <c r="FG124" s="194"/>
      <c r="FH124" s="194"/>
      <c r="FI124" s="194"/>
      <c r="FJ124" s="194"/>
      <c r="FK124" s="194"/>
      <c r="FL124" s="194"/>
      <c r="FM124" s="194"/>
      <c r="FN124" s="194"/>
      <c r="FO124" s="194"/>
      <c r="FP124" s="194"/>
      <c r="FQ124" s="194"/>
      <c r="FR124" s="194"/>
      <c r="FS124" s="194"/>
      <c r="FT124" s="194"/>
      <c r="FU124" s="194"/>
      <c r="FV124" s="194"/>
      <c r="FW124" s="194"/>
      <c r="FX124" s="194"/>
      <c r="FY124" s="194"/>
      <c r="FZ124" s="194"/>
      <c r="GA124" s="194"/>
      <c r="GB124" s="194"/>
      <c r="GC124" s="194"/>
      <c r="GD124" s="194"/>
      <c r="GE124" s="194"/>
      <c r="GF124" s="194"/>
      <c r="GG124" s="194"/>
      <c r="GH124" s="194"/>
      <c r="GI124" s="194"/>
      <c r="GJ124" s="194"/>
      <c r="GK124" s="194"/>
      <c r="GL124" s="194"/>
      <c r="GM124" s="194"/>
      <c r="GN124" s="194"/>
      <c r="GO124" s="194"/>
      <c r="GP124" s="194"/>
      <c r="GQ124" s="194"/>
      <c r="GR124" s="194"/>
      <c r="GS124" s="194"/>
      <c r="GT124" s="194"/>
      <c r="GU124" s="194"/>
      <c r="GV124" s="194"/>
      <c r="GW124" s="194"/>
      <c r="GX124" s="194"/>
      <c r="GY124" s="194"/>
      <c r="GZ124" s="194"/>
      <c r="HA124" s="194"/>
      <c r="HB124" s="194"/>
      <c r="HC124" s="194"/>
      <c r="HD124" s="194"/>
      <c r="HE124" s="194"/>
      <c r="HF124" s="194"/>
      <c r="HG124" s="194"/>
      <c r="HH124" s="194"/>
      <c r="HI124" s="194"/>
      <c r="HJ124" s="194"/>
      <c r="HK124" s="194"/>
      <c r="HL124" s="194"/>
      <c r="HM124" s="194"/>
      <c r="HN124" s="194"/>
      <c r="HO124" s="194"/>
      <c r="HP124" s="194"/>
      <c r="HQ124" s="194"/>
      <c r="HR124" s="194"/>
      <c r="HS124" s="194"/>
      <c r="HT124" s="194"/>
      <c r="HU124" s="194"/>
      <c r="HV124" s="194"/>
      <c r="HW124" s="194"/>
      <c r="HX124" s="194"/>
      <c r="HY124" s="194"/>
      <c r="HZ124" s="194"/>
      <c r="IA124" s="194"/>
      <c r="IB124" s="194"/>
      <c r="IC124" s="194"/>
      <c r="ID124" s="194"/>
      <c r="IE124" s="194"/>
      <c r="IF124" s="194"/>
      <c r="IG124" s="194"/>
      <c r="IH124" s="194"/>
      <c r="II124" s="194"/>
      <c r="IJ124" s="194"/>
      <c r="IK124" s="194"/>
      <c r="IL124" s="194"/>
      <c r="IM124" s="194"/>
      <c r="IN124" s="194"/>
      <c r="IO124" s="194"/>
      <c r="IP124" s="194"/>
      <c r="IQ124" s="194"/>
      <c r="IR124" s="194"/>
      <c r="IS124" s="194"/>
      <c r="IT124" s="194"/>
      <c r="IU124" s="194"/>
      <c r="IV124" s="194"/>
    </row>
    <row r="129" spans="1:256" ht="15">
      <c r="A129" s="194"/>
      <c r="B129" s="194"/>
      <c r="C129" s="103"/>
      <c r="D129" s="194"/>
      <c r="E129" s="194"/>
      <c r="F129" s="193"/>
      <c r="G129" s="194"/>
      <c r="H129" s="194"/>
      <c r="I129" s="195"/>
      <c r="J129" s="195"/>
      <c r="K129" s="195"/>
      <c r="L129" s="2"/>
      <c r="M129" s="2"/>
      <c r="N129"/>
      <c r="O129"/>
      <c r="P129"/>
      <c r="Q129"/>
      <c r="R129"/>
      <c r="S129"/>
      <c r="T129"/>
      <c r="U129"/>
      <c r="V129"/>
      <c r="W129"/>
      <c r="X129" s="1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4"/>
      <c r="BT129" s="194"/>
      <c r="BU129" s="194"/>
      <c r="BV129" s="194"/>
      <c r="BW129" s="194"/>
      <c r="BX129" s="194"/>
      <c r="BY129" s="194"/>
      <c r="BZ129" s="194"/>
      <c r="CA129" s="194"/>
      <c r="CB129" s="194"/>
      <c r="CC129" s="194"/>
      <c r="CD129" s="194"/>
      <c r="CE129" s="194"/>
      <c r="CF129" s="194"/>
      <c r="CG129" s="194"/>
      <c r="CH129" s="194"/>
      <c r="CI129" s="194"/>
      <c r="CJ129" s="194"/>
      <c r="CK129" s="194"/>
      <c r="CL129" s="194"/>
      <c r="CM129" s="194"/>
      <c r="CN129" s="194"/>
      <c r="CO129" s="194"/>
      <c r="CP129" s="194"/>
      <c r="CQ129" s="194"/>
      <c r="CR129" s="194"/>
      <c r="CS129" s="194"/>
      <c r="CT129" s="194"/>
      <c r="CU129" s="194"/>
      <c r="CV129" s="194"/>
      <c r="CW129" s="194"/>
      <c r="CX129" s="194"/>
      <c r="CY129" s="194"/>
      <c r="CZ129" s="194"/>
      <c r="DA129" s="194"/>
      <c r="DB129" s="194"/>
      <c r="DC129" s="194"/>
      <c r="DD129" s="194"/>
      <c r="DE129" s="194"/>
      <c r="DF129" s="194"/>
      <c r="DG129" s="194"/>
      <c r="DH129" s="194"/>
      <c r="DI129" s="194"/>
      <c r="DJ129" s="194"/>
      <c r="DK129" s="194"/>
      <c r="DL129" s="194"/>
      <c r="DM129" s="194"/>
      <c r="DN129" s="194"/>
      <c r="DO129" s="194"/>
      <c r="DP129" s="194"/>
      <c r="DQ129" s="194"/>
      <c r="DR129" s="194"/>
      <c r="DS129" s="194"/>
      <c r="DT129" s="194"/>
      <c r="DU129" s="194"/>
      <c r="DV129" s="194"/>
      <c r="DW129" s="194"/>
      <c r="DX129" s="194"/>
      <c r="DY129" s="194"/>
      <c r="DZ129" s="194"/>
      <c r="EA129" s="194"/>
      <c r="EB129" s="194"/>
      <c r="EC129" s="194"/>
      <c r="ED129" s="194"/>
      <c r="EE129" s="194"/>
      <c r="EF129" s="194"/>
      <c r="EG129" s="194"/>
      <c r="EH129" s="194"/>
      <c r="EI129" s="194"/>
      <c r="EJ129" s="194"/>
      <c r="EK129" s="194"/>
      <c r="EL129" s="194"/>
      <c r="EM129" s="194"/>
      <c r="EN129" s="194"/>
      <c r="EO129" s="194"/>
      <c r="EP129" s="194"/>
      <c r="EQ129" s="194"/>
      <c r="ER129" s="194"/>
      <c r="ES129" s="194"/>
      <c r="ET129" s="194"/>
      <c r="EU129" s="194"/>
      <c r="EV129" s="194"/>
      <c r="EW129" s="194"/>
      <c r="EX129" s="194"/>
      <c r="EY129" s="194"/>
      <c r="EZ129" s="194"/>
      <c r="FA129" s="194"/>
      <c r="FB129" s="194"/>
      <c r="FC129" s="194"/>
      <c r="FD129" s="194"/>
      <c r="FE129" s="194"/>
      <c r="FF129" s="194"/>
      <c r="FG129" s="194"/>
      <c r="FH129" s="194"/>
      <c r="FI129" s="194"/>
      <c r="FJ129" s="194"/>
      <c r="FK129" s="194"/>
      <c r="FL129" s="194"/>
      <c r="FM129" s="194"/>
      <c r="FN129" s="194"/>
      <c r="FO129" s="194"/>
      <c r="FP129" s="194"/>
      <c r="FQ129" s="194"/>
      <c r="FR129" s="194"/>
      <c r="FS129" s="194"/>
      <c r="FT129" s="194"/>
      <c r="FU129" s="194"/>
      <c r="FV129" s="194"/>
      <c r="FW129" s="194"/>
      <c r="FX129" s="194"/>
      <c r="FY129" s="194"/>
      <c r="FZ129" s="194"/>
      <c r="GA129" s="194"/>
      <c r="GB129" s="194"/>
      <c r="GC129" s="194"/>
      <c r="GD129" s="194"/>
      <c r="GE129" s="194"/>
      <c r="GF129" s="194"/>
      <c r="GG129" s="194"/>
      <c r="GH129" s="194"/>
      <c r="GI129" s="194"/>
      <c r="GJ129" s="194"/>
      <c r="GK129" s="194"/>
      <c r="GL129" s="194"/>
      <c r="GM129" s="194"/>
      <c r="GN129" s="194"/>
      <c r="GO129" s="194"/>
      <c r="GP129" s="194"/>
      <c r="GQ129" s="194"/>
      <c r="GR129" s="194"/>
      <c r="GS129" s="194"/>
      <c r="GT129" s="194"/>
      <c r="GU129" s="194"/>
      <c r="GV129" s="194"/>
      <c r="GW129" s="194"/>
      <c r="GX129" s="194"/>
      <c r="GY129" s="194"/>
      <c r="GZ129" s="194"/>
      <c r="HA129" s="194"/>
      <c r="HB129" s="194"/>
      <c r="HC129" s="194"/>
      <c r="HD129" s="194"/>
      <c r="HE129" s="194"/>
      <c r="HF129" s="194"/>
      <c r="HG129" s="194"/>
      <c r="HH129" s="194"/>
      <c r="HI129" s="194"/>
      <c r="HJ129" s="194"/>
      <c r="HK129" s="194"/>
      <c r="HL129" s="194"/>
      <c r="HM129" s="194"/>
      <c r="HN129" s="194"/>
      <c r="HO129" s="194"/>
      <c r="HP129" s="194"/>
      <c r="HQ129" s="194"/>
      <c r="HR129" s="194"/>
      <c r="HS129" s="194"/>
      <c r="HT129" s="194"/>
      <c r="HU129" s="194"/>
      <c r="HV129" s="194"/>
      <c r="HW129" s="194"/>
      <c r="HX129" s="194"/>
      <c r="HY129" s="194"/>
      <c r="HZ129" s="194"/>
      <c r="IA129" s="194"/>
      <c r="IB129" s="194"/>
      <c r="IC129" s="194"/>
      <c r="ID129" s="194"/>
      <c r="IE129" s="194"/>
      <c r="IF129" s="194"/>
      <c r="IG129" s="194"/>
      <c r="IH129" s="194"/>
      <c r="II129" s="194"/>
      <c r="IJ129" s="194"/>
      <c r="IK129" s="194"/>
      <c r="IL129" s="194"/>
      <c r="IM129" s="194"/>
      <c r="IN129" s="194"/>
      <c r="IO129" s="194"/>
      <c r="IP129" s="194"/>
      <c r="IQ129" s="194"/>
      <c r="IR129" s="194"/>
      <c r="IS129" s="194"/>
      <c r="IT129" s="194"/>
      <c r="IU129" s="194"/>
      <c r="IV129" s="194"/>
    </row>
    <row r="130" spans="1:256" ht="14">
      <c r="A130" s="10" t="s">
        <v>75</v>
      </c>
      <c r="B130" s="10" t="s">
        <v>75</v>
      </c>
      <c r="C130" s="10" t="s">
        <v>75</v>
      </c>
      <c r="D130" s="10" t="s">
        <v>75</v>
      </c>
      <c r="E130" s="10" t="s">
        <v>75</v>
      </c>
      <c r="F130" s="11" t="s">
        <v>75</v>
      </c>
      <c r="G130" s="11" t="s">
        <v>75</v>
      </c>
      <c r="H130" s="11" t="s">
        <v>75</v>
      </c>
      <c r="I130" s="35" t="s">
        <v>75</v>
      </c>
      <c r="J130" s="35" t="s">
        <v>75</v>
      </c>
      <c r="K130" s="35" t="s">
        <v>75</v>
      </c>
      <c r="L130" s="102" t="s">
        <v>75</v>
      </c>
      <c r="M130" s="11" t="s">
        <v>75</v>
      </c>
      <c r="N130" s="11" t="s">
        <v>75</v>
      </c>
      <c r="O130" s="11" t="s">
        <v>75</v>
      </c>
      <c r="P130" s="11" t="s">
        <v>75</v>
      </c>
      <c r="Q130" s="11" t="s">
        <v>75</v>
      </c>
      <c r="R130" s="11" t="s">
        <v>75</v>
      </c>
      <c r="S130" s="11" t="s">
        <v>75</v>
      </c>
      <c r="T130" s="11" t="s">
        <v>75</v>
      </c>
      <c r="U130" s="11" t="s">
        <v>75</v>
      </c>
      <c r="V130" s="11" t="s">
        <v>75</v>
      </c>
      <c r="W130" s="11" t="s">
        <v>75</v>
      </c>
    </row>
    <row r="132" spans="1:256" customFormat="1">
      <c r="A132" s="9"/>
      <c r="B132" s="5"/>
      <c r="C132" s="5"/>
      <c r="D132" s="5"/>
      <c r="E132" s="88"/>
      <c r="F132" s="5" t="s">
        <v>291</v>
      </c>
      <c r="G132" s="34" t="s">
        <v>292</v>
      </c>
      <c r="H132" s="34"/>
      <c r="I132" s="306">
        <v>-34000</v>
      </c>
      <c r="J132" s="307">
        <v>-23.943661971830998</v>
      </c>
      <c r="K132" s="6">
        <v>1420</v>
      </c>
      <c r="L132" s="5" t="s">
        <v>1237</v>
      </c>
      <c r="M132" s="62" t="s">
        <v>452</v>
      </c>
      <c r="N132" s="62" t="s">
        <v>464</v>
      </c>
      <c r="O132" s="62" t="s">
        <v>1343</v>
      </c>
      <c r="P132" s="100" t="s">
        <v>597</v>
      </c>
      <c r="Q132" s="5" t="s">
        <v>1344</v>
      </c>
      <c r="R132" s="34" t="s">
        <v>1345</v>
      </c>
      <c r="S132" s="5" t="s">
        <v>1346</v>
      </c>
      <c r="T132" s="5" t="s">
        <v>445</v>
      </c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256" customFormat="1">
      <c r="A133" s="9"/>
      <c r="B133" s="5"/>
      <c r="C133" s="5"/>
      <c r="D133" s="5"/>
      <c r="E133" s="88"/>
      <c r="F133" s="5" t="s">
        <v>291</v>
      </c>
      <c r="G133" s="34" t="s">
        <v>292</v>
      </c>
      <c r="H133" s="34"/>
      <c r="I133" s="306">
        <v>-4100000</v>
      </c>
      <c r="J133" s="307">
        <v>-2887.3239436619701</v>
      </c>
      <c r="K133" s="6">
        <v>1420</v>
      </c>
      <c r="L133" s="5" t="s">
        <v>1237</v>
      </c>
      <c r="M133" s="62" t="s">
        <v>452</v>
      </c>
      <c r="N133" s="62" t="s">
        <v>464</v>
      </c>
      <c r="O133" s="62" t="s">
        <v>1343</v>
      </c>
      <c r="P133" s="100" t="s">
        <v>597</v>
      </c>
      <c r="Q133" s="5" t="s">
        <v>1344</v>
      </c>
      <c r="R133" s="34" t="s">
        <v>1345</v>
      </c>
      <c r="S133" s="5" t="s">
        <v>1346</v>
      </c>
      <c r="T133" s="5" t="s">
        <v>445</v>
      </c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256" customFormat="1">
      <c r="A134" s="9"/>
      <c r="B134" s="5"/>
      <c r="C134" s="5"/>
      <c r="D134" s="5"/>
      <c r="E134" s="88"/>
      <c r="F134" s="5" t="s">
        <v>291</v>
      </c>
      <c r="G134" s="34" t="s">
        <v>292</v>
      </c>
      <c r="H134" s="34"/>
      <c r="I134" s="306">
        <v>-340000</v>
      </c>
      <c r="J134" s="307">
        <v>-239.43661971831</v>
      </c>
      <c r="K134" s="6">
        <v>1420</v>
      </c>
      <c r="L134" s="5" t="s">
        <v>1237</v>
      </c>
      <c r="M134" s="62" t="s">
        <v>452</v>
      </c>
      <c r="N134" s="62" t="s">
        <v>464</v>
      </c>
      <c r="O134" s="62" t="s">
        <v>1343</v>
      </c>
      <c r="P134" s="100" t="s">
        <v>597</v>
      </c>
      <c r="Q134" s="5" t="s">
        <v>1344</v>
      </c>
      <c r="R134" s="34" t="s">
        <v>1345</v>
      </c>
      <c r="S134" s="5" t="s">
        <v>1346</v>
      </c>
      <c r="T134" s="5" t="s">
        <v>445</v>
      </c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256" customFormat="1">
      <c r="A135" s="9"/>
      <c r="B135" s="5"/>
      <c r="C135" s="5"/>
      <c r="D135" s="5"/>
      <c r="E135" s="88"/>
      <c r="F135" s="5" t="s">
        <v>291</v>
      </c>
      <c r="G135" s="34" t="s">
        <v>292</v>
      </c>
      <c r="H135" s="34"/>
      <c r="I135" s="306">
        <v>-161998</v>
      </c>
      <c r="J135" s="307">
        <v>-114.083098591549</v>
      </c>
      <c r="K135" s="6">
        <v>1420</v>
      </c>
      <c r="L135" s="5" t="s">
        <v>1237</v>
      </c>
      <c r="M135" s="62" t="s">
        <v>452</v>
      </c>
      <c r="N135" s="62" t="s">
        <v>464</v>
      </c>
      <c r="O135" s="62" t="s">
        <v>1343</v>
      </c>
      <c r="P135" s="100" t="s">
        <v>597</v>
      </c>
      <c r="Q135" s="5" t="s">
        <v>1344</v>
      </c>
      <c r="R135" s="34" t="s">
        <v>1355</v>
      </c>
      <c r="S135" s="5" t="s">
        <v>1346</v>
      </c>
      <c r="T135" s="5" t="s">
        <v>445</v>
      </c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256" customFormat="1">
      <c r="A136" s="9"/>
      <c r="B136" s="5"/>
      <c r="C136" s="5"/>
      <c r="D136" s="5"/>
      <c r="E136" s="88"/>
      <c r="F136" s="5" t="s">
        <v>291</v>
      </c>
      <c r="G136" s="34" t="s">
        <v>292</v>
      </c>
      <c r="H136" s="34"/>
      <c r="I136" s="306">
        <v>-50402.05</v>
      </c>
      <c r="J136" s="307">
        <v>-34.287108843537403</v>
      </c>
      <c r="K136" s="6">
        <v>1470</v>
      </c>
      <c r="L136" s="5" t="s">
        <v>1218</v>
      </c>
      <c r="M136" s="62" t="s">
        <v>452</v>
      </c>
      <c r="N136" s="62" t="s">
        <v>464</v>
      </c>
      <c r="O136" s="62" t="s">
        <v>1360</v>
      </c>
      <c r="P136" s="100" t="s">
        <v>597</v>
      </c>
      <c r="Q136" s="5" t="s">
        <v>1361</v>
      </c>
      <c r="R136" s="34" t="s">
        <v>1362</v>
      </c>
      <c r="S136" s="5" t="s">
        <v>1363</v>
      </c>
      <c r="T136" s="5" t="s">
        <v>445</v>
      </c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256" customFormat="1">
      <c r="A137" s="9"/>
      <c r="B137" s="5"/>
      <c r="C137" s="5"/>
      <c r="D137" s="5"/>
      <c r="E137" s="88"/>
      <c r="F137" s="5" t="s">
        <v>291</v>
      </c>
      <c r="G137" s="34" t="s">
        <v>292</v>
      </c>
      <c r="H137" s="34"/>
      <c r="I137" s="306">
        <v>-1399802</v>
      </c>
      <c r="J137" s="307">
        <v>-985.77605633802796</v>
      </c>
      <c r="K137" s="6">
        <v>1420</v>
      </c>
      <c r="L137" s="5" t="s">
        <v>1242</v>
      </c>
      <c r="M137" s="62" t="s">
        <v>452</v>
      </c>
      <c r="N137" s="62" t="s">
        <v>464</v>
      </c>
      <c r="O137" s="62" t="s">
        <v>1364</v>
      </c>
      <c r="P137" s="100" t="s">
        <v>597</v>
      </c>
      <c r="Q137" s="5" t="s">
        <v>1365</v>
      </c>
      <c r="R137" s="34" t="s">
        <v>1366</v>
      </c>
      <c r="S137" s="5" t="s">
        <v>1367</v>
      </c>
      <c r="T137" s="5" t="s">
        <v>445</v>
      </c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256" customFormat="1">
      <c r="A138" s="9"/>
      <c r="B138" s="5"/>
      <c r="C138" s="5"/>
      <c r="D138" s="5"/>
      <c r="E138" s="88"/>
      <c r="F138" s="5" t="s">
        <v>291</v>
      </c>
      <c r="G138" s="34" t="s">
        <v>292</v>
      </c>
      <c r="H138" s="34"/>
      <c r="I138" s="306">
        <v>-639045</v>
      </c>
      <c r="J138" s="307">
        <v>-450.031690140845</v>
      </c>
      <c r="K138" s="6">
        <v>1420</v>
      </c>
      <c r="L138" s="5" t="s">
        <v>1242</v>
      </c>
      <c r="M138" s="62" t="s">
        <v>452</v>
      </c>
      <c r="N138" s="62" t="s">
        <v>464</v>
      </c>
      <c r="O138" s="62" t="s">
        <v>1364</v>
      </c>
      <c r="P138" s="100" t="s">
        <v>597</v>
      </c>
      <c r="Q138" s="5" t="s">
        <v>1365</v>
      </c>
      <c r="R138" s="34" t="s">
        <v>1368</v>
      </c>
      <c r="S138" s="5" t="s">
        <v>1367</v>
      </c>
      <c r="T138" s="5" t="s">
        <v>445</v>
      </c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256" customFormat="1">
      <c r="A139" s="9"/>
      <c r="B139" s="5"/>
      <c r="C139" s="5"/>
      <c r="D139" s="5"/>
      <c r="E139" s="88"/>
      <c r="F139" s="5" t="s">
        <v>291</v>
      </c>
      <c r="G139" s="34" t="s">
        <v>292</v>
      </c>
      <c r="H139" s="34"/>
      <c r="I139" s="306">
        <v>-1374000</v>
      </c>
      <c r="J139" s="307">
        <v>-967.60563380281701</v>
      </c>
      <c r="K139" s="6">
        <v>1420</v>
      </c>
      <c r="L139" s="5" t="s">
        <v>1237</v>
      </c>
      <c r="M139" s="62" t="s">
        <v>452</v>
      </c>
      <c r="N139" s="62" t="s">
        <v>464</v>
      </c>
      <c r="O139" s="62" t="s">
        <v>1343</v>
      </c>
      <c r="P139" s="100" t="s">
        <v>597</v>
      </c>
      <c r="Q139" s="5" t="s">
        <v>1344</v>
      </c>
      <c r="R139" s="34" t="s">
        <v>1369</v>
      </c>
      <c r="S139" s="5" t="s">
        <v>1346</v>
      </c>
      <c r="T139" s="5" t="s">
        <v>445</v>
      </c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256" customFormat="1">
      <c r="A140" s="9"/>
      <c r="B140" s="5"/>
      <c r="C140" s="5"/>
      <c r="D140" s="5"/>
      <c r="E140" s="88"/>
      <c r="F140" s="5" t="s">
        <v>291</v>
      </c>
      <c r="G140" s="34" t="s">
        <v>292</v>
      </c>
      <c r="H140" s="34"/>
      <c r="I140" s="306">
        <v>-270000</v>
      </c>
      <c r="J140" s="307">
        <v>-190.14084507042301</v>
      </c>
      <c r="K140" s="6">
        <v>1420</v>
      </c>
      <c r="L140" s="5" t="s">
        <v>1242</v>
      </c>
      <c r="M140" s="62" t="s">
        <v>452</v>
      </c>
      <c r="N140" s="62" t="s">
        <v>464</v>
      </c>
      <c r="O140" s="62" t="s">
        <v>1364</v>
      </c>
      <c r="P140" s="100" t="s">
        <v>597</v>
      </c>
      <c r="Q140" s="5" t="s">
        <v>1365</v>
      </c>
      <c r="R140" s="34" t="s">
        <v>1370</v>
      </c>
      <c r="S140" s="5" t="s">
        <v>1367</v>
      </c>
      <c r="T140" s="5" t="s">
        <v>445</v>
      </c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256" customFormat="1">
      <c r="A141" s="9"/>
      <c r="B141" s="5"/>
      <c r="C141" s="5"/>
      <c r="D141" s="5"/>
      <c r="E141" s="88"/>
      <c r="F141" s="5" t="s">
        <v>291</v>
      </c>
      <c r="G141" s="34" t="s">
        <v>292</v>
      </c>
      <c r="H141" s="34"/>
      <c r="I141" s="306">
        <v>-53800</v>
      </c>
      <c r="J141" s="307">
        <v>-36.598639455782298</v>
      </c>
      <c r="K141" s="6">
        <v>1470</v>
      </c>
      <c r="L141" s="5" t="s">
        <v>1218</v>
      </c>
      <c r="M141" s="62" t="s">
        <v>452</v>
      </c>
      <c r="N141" s="62" t="s">
        <v>464</v>
      </c>
      <c r="O141" s="62" t="s">
        <v>1360</v>
      </c>
      <c r="P141" s="100" t="s">
        <v>597</v>
      </c>
      <c r="Q141" s="5" t="s">
        <v>1361</v>
      </c>
      <c r="R141" s="34" t="s">
        <v>1371</v>
      </c>
      <c r="S141" s="5" t="s">
        <v>1363</v>
      </c>
      <c r="T141" s="5" t="s">
        <v>445</v>
      </c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256" customFormat="1">
      <c r="A142" s="9"/>
      <c r="B142" s="5"/>
      <c r="C142" s="5"/>
      <c r="D142" s="5"/>
      <c r="E142" s="88"/>
      <c r="F142" s="5" t="s">
        <v>291</v>
      </c>
      <c r="G142" s="34" t="s">
        <v>292</v>
      </c>
      <c r="H142" s="34"/>
      <c r="I142" s="306">
        <v>-17000</v>
      </c>
      <c r="J142" s="307">
        <v>-11.5646258503401</v>
      </c>
      <c r="K142" s="6">
        <v>1470</v>
      </c>
      <c r="L142" s="5" t="s">
        <v>1199</v>
      </c>
      <c r="M142" s="62" t="s">
        <v>452</v>
      </c>
      <c r="N142" s="62" t="s">
        <v>464</v>
      </c>
      <c r="O142" s="62" t="s">
        <v>1372</v>
      </c>
      <c r="P142" s="100" t="s">
        <v>597</v>
      </c>
      <c r="Q142" s="5" t="s">
        <v>1373</v>
      </c>
      <c r="R142" s="34" t="s">
        <v>1374</v>
      </c>
      <c r="S142" s="5" t="s">
        <v>1375</v>
      </c>
      <c r="T142" s="5" t="s">
        <v>445</v>
      </c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256" customFormat="1">
      <c r="A143" s="9"/>
      <c r="B143" s="5"/>
      <c r="C143" s="5"/>
      <c r="D143" s="5"/>
      <c r="E143" s="88"/>
      <c r="F143" s="5" t="s">
        <v>291</v>
      </c>
      <c r="G143" s="34" t="s">
        <v>292</v>
      </c>
      <c r="H143" s="34"/>
      <c r="I143" s="306">
        <v>800000</v>
      </c>
      <c r="J143" s="307">
        <v>563.38028169014103</v>
      </c>
      <c r="K143" s="6">
        <v>1420</v>
      </c>
      <c r="L143" s="5" t="s">
        <v>1443</v>
      </c>
      <c r="M143" s="62" t="s">
        <v>452</v>
      </c>
      <c r="N143" s="62" t="s">
        <v>442</v>
      </c>
      <c r="O143" s="62" t="s">
        <v>1444</v>
      </c>
      <c r="P143" s="100" t="s">
        <v>597</v>
      </c>
      <c r="Q143" s="5" t="s">
        <v>1445</v>
      </c>
      <c r="R143" s="34" t="s">
        <v>1445</v>
      </c>
      <c r="S143" s="5" t="s">
        <v>1446</v>
      </c>
      <c r="T143" s="5" t="s">
        <v>445</v>
      </c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256" customFormat="1">
      <c r="A144" s="9"/>
      <c r="B144" s="5"/>
      <c r="C144" s="5"/>
      <c r="D144" s="5"/>
      <c r="E144" s="88"/>
      <c r="F144" s="5" t="s">
        <v>291</v>
      </c>
      <c r="G144" s="34" t="s">
        <v>292</v>
      </c>
      <c r="H144" s="34"/>
      <c r="I144" s="306">
        <v>2300000</v>
      </c>
      <c r="J144" s="307">
        <v>1619.7183098591499</v>
      </c>
      <c r="K144" s="6">
        <v>1420</v>
      </c>
      <c r="L144" s="5" t="s">
        <v>1242</v>
      </c>
      <c r="M144" s="62" t="s">
        <v>452</v>
      </c>
      <c r="N144" s="62" t="s">
        <v>442</v>
      </c>
      <c r="O144" s="62" t="s">
        <v>1447</v>
      </c>
      <c r="P144" s="100" t="s">
        <v>597</v>
      </c>
      <c r="Q144" s="5" t="s">
        <v>1448</v>
      </c>
      <c r="R144" s="34" t="s">
        <v>1448</v>
      </c>
      <c r="S144" s="5" t="s">
        <v>1449</v>
      </c>
      <c r="T144" s="5" t="s">
        <v>445</v>
      </c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customFormat="1">
      <c r="A145" s="9"/>
      <c r="B145" s="5"/>
      <c r="C145" s="5"/>
      <c r="D145" s="5"/>
      <c r="E145" s="88"/>
      <c r="F145" s="5" t="s">
        <v>291</v>
      </c>
      <c r="G145" s="34" t="s">
        <v>292</v>
      </c>
      <c r="H145" s="34"/>
      <c r="I145" s="306">
        <v>610000000</v>
      </c>
      <c r="J145" s="307">
        <v>429577.464788732</v>
      </c>
      <c r="K145" s="6">
        <v>1420</v>
      </c>
      <c r="L145" s="5" t="s">
        <v>1237</v>
      </c>
      <c r="M145" s="62" t="s">
        <v>452</v>
      </c>
      <c r="N145" s="62" t="s">
        <v>442</v>
      </c>
      <c r="O145" s="62" t="s">
        <v>1450</v>
      </c>
      <c r="P145" s="100" t="s">
        <v>597</v>
      </c>
      <c r="Q145" s="5" t="s">
        <v>1451</v>
      </c>
      <c r="R145" s="34" t="s">
        <v>1451</v>
      </c>
      <c r="S145" s="5" t="s">
        <v>1452</v>
      </c>
      <c r="T145" s="5" t="s">
        <v>445</v>
      </c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customFormat="1">
      <c r="A146" s="9"/>
      <c r="B146" s="5"/>
      <c r="C146" s="5"/>
      <c r="D146" s="5"/>
      <c r="E146" s="88"/>
      <c r="F146" s="5" t="s">
        <v>291</v>
      </c>
      <c r="G146" s="34" t="s">
        <v>292</v>
      </c>
      <c r="H146" s="34"/>
      <c r="I146" s="306">
        <v>-610000000</v>
      </c>
      <c r="J146" s="307">
        <v>-429577.464788732</v>
      </c>
      <c r="K146" s="6">
        <v>1420</v>
      </c>
      <c r="L146" s="5" t="s">
        <v>1237</v>
      </c>
      <c r="M146" s="62" t="s">
        <v>452</v>
      </c>
      <c r="N146" s="62" t="s">
        <v>442</v>
      </c>
      <c r="O146" s="62" t="s">
        <v>1453</v>
      </c>
      <c r="P146" s="100" t="s">
        <v>597</v>
      </c>
      <c r="Q146" s="5" t="s">
        <v>1454</v>
      </c>
      <c r="R146" s="34" t="s">
        <v>1454</v>
      </c>
      <c r="S146" s="5" t="s">
        <v>1455</v>
      </c>
      <c r="T146" s="5" t="s">
        <v>445</v>
      </c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customFormat="1">
      <c r="A147" s="9"/>
      <c r="B147" s="5"/>
      <c r="C147" s="5"/>
      <c r="D147" s="5"/>
      <c r="E147" s="88"/>
      <c r="F147" s="5" t="s">
        <v>291</v>
      </c>
      <c r="G147" s="34" t="s">
        <v>292</v>
      </c>
      <c r="H147" s="34"/>
      <c r="I147" s="306">
        <v>6100000</v>
      </c>
      <c r="J147" s="307">
        <v>4295.7746478873196</v>
      </c>
      <c r="K147" s="6">
        <v>1420</v>
      </c>
      <c r="L147" s="5" t="s">
        <v>1237</v>
      </c>
      <c r="M147" s="62" t="s">
        <v>452</v>
      </c>
      <c r="N147" s="62" t="s">
        <v>442</v>
      </c>
      <c r="O147" s="62" t="s">
        <v>1456</v>
      </c>
      <c r="P147" s="100" t="s">
        <v>597</v>
      </c>
      <c r="Q147" s="5" t="s">
        <v>1457</v>
      </c>
      <c r="R147" s="34" t="s">
        <v>1457</v>
      </c>
      <c r="S147" s="5" t="s">
        <v>1458</v>
      </c>
      <c r="T147" s="5" t="s">
        <v>445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customFormat="1">
      <c r="A148" s="9"/>
      <c r="B148" s="5"/>
      <c r="C148" s="5"/>
      <c r="D148" s="5"/>
      <c r="E148" s="88"/>
      <c r="F148" s="5" t="s">
        <v>293</v>
      </c>
      <c r="G148" s="34" t="s">
        <v>294</v>
      </c>
      <c r="H148" s="34"/>
      <c r="I148" s="306">
        <v>1378125</v>
      </c>
      <c r="J148" s="307">
        <v>937.5</v>
      </c>
      <c r="K148" s="6">
        <v>1470</v>
      </c>
      <c r="L148" s="5" t="s">
        <v>1199</v>
      </c>
      <c r="M148" s="62" t="s">
        <v>452</v>
      </c>
      <c r="N148" s="62" t="s">
        <v>464</v>
      </c>
      <c r="O148" s="62" t="s">
        <v>1200</v>
      </c>
      <c r="P148" s="100" t="s">
        <v>597</v>
      </c>
      <c r="Q148" s="5" t="s">
        <v>1201</v>
      </c>
      <c r="R148" s="34" t="s">
        <v>1202</v>
      </c>
      <c r="S148" s="5" t="s">
        <v>1203</v>
      </c>
      <c r="T148" s="5" t="s">
        <v>445</v>
      </c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customFormat="1">
      <c r="A149" s="9"/>
      <c r="B149" s="5"/>
      <c r="C149" s="5"/>
      <c r="D149" s="5"/>
      <c r="E149" s="88"/>
      <c r="F149" s="5" t="s">
        <v>293</v>
      </c>
      <c r="G149" s="34" t="s">
        <v>294</v>
      </c>
      <c r="H149" s="34"/>
      <c r="I149" s="306">
        <v>-48230.7</v>
      </c>
      <c r="J149" s="307">
        <v>-32.81</v>
      </c>
      <c r="K149" s="6">
        <v>1470</v>
      </c>
      <c r="L149" s="5" t="s">
        <v>1199</v>
      </c>
      <c r="M149" s="62" t="s">
        <v>452</v>
      </c>
      <c r="N149" s="62" t="s">
        <v>464</v>
      </c>
      <c r="O149" s="62" t="s">
        <v>1204</v>
      </c>
      <c r="P149" s="100" t="s">
        <v>597</v>
      </c>
      <c r="Q149" s="5" t="s">
        <v>1205</v>
      </c>
      <c r="R149" s="34" t="s">
        <v>1206</v>
      </c>
      <c r="S149" s="5" t="s">
        <v>1207</v>
      </c>
      <c r="T149" s="5" t="s">
        <v>445</v>
      </c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customFormat="1">
      <c r="A150" s="9"/>
      <c r="B150" s="5"/>
      <c r="C150" s="5"/>
      <c r="D150" s="5"/>
      <c r="E150" s="88"/>
      <c r="F150" s="5" t="s">
        <v>293</v>
      </c>
      <c r="G150" s="34" t="s">
        <v>294</v>
      </c>
      <c r="H150" s="34"/>
      <c r="I150" s="306">
        <v>941711.4</v>
      </c>
      <c r="J150" s="307">
        <v>640.62</v>
      </c>
      <c r="K150" s="6">
        <v>1470</v>
      </c>
      <c r="L150" s="5" t="s">
        <v>1199</v>
      </c>
      <c r="M150" s="62" t="s">
        <v>452</v>
      </c>
      <c r="N150" s="62" t="s">
        <v>464</v>
      </c>
      <c r="O150" s="62" t="s">
        <v>1208</v>
      </c>
      <c r="P150" s="100" t="s">
        <v>597</v>
      </c>
      <c r="Q150" s="5" t="s">
        <v>1209</v>
      </c>
      <c r="R150" s="34" t="s">
        <v>1210</v>
      </c>
      <c r="S150" s="5" t="s">
        <v>1211</v>
      </c>
      <c r="T150" s="5" t="s">
        <v>445</v>
      </c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customFormat="1">
      <c r="A151" s="9"/>
      <c r="B151" s="5"/>
      <c r="C151" s="5"/>
      <c r="D151" s="5"/>
      <c r="E151" s="88"/>
      <c r="F151" s="5" t="s">
        <v>293</v>
      </c>
      <c r="G151" s="34" t="s">
        <v>294</v>
      </c>
      <c r="H151" s="34"/>
      <c r="I151" s="306">
        <v>631900</v>
      </c>
      <c r="J151" s="307">
        <v>445</v>
      </c>
      <c r="K151" s="6">
        <v>1420</v>
      </c>
      <c r="L151" s="5" t="s">
        <v>1199</v>
      </c>
      <c r="M151" s="62" t="s">
        <v>452</v>
      </c>
      <c r="N151" s="62" t="s">
        <v>464</v>
      </c>
      <c r="O151" s="62" t="s">
        <v>1208</v>
      </c>
      <c r="P151" s="100" t="s">
        <v>597</v>
      </c>
      <c r="Q151" s="5" t="s">
        <v>1209</v>
      </c>
      <c r="R151" s="34" t="s">
        <v>1212</v>
      </c>
      <c r="S151" s="5" t="s">
        <v>1211</v>
      </c>
      <c r="T151" s="5" t="s">
        <v>445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customFormat="1">
      <c r="A152" s="9"/>
      <c r="B152" s="5"/>
      <c r="C152" s="5"/>
      <c r="D152" s="5"/>
      <c r="E152" s="88"/>
      <c r="F152" s="5" t="s">
        <v>293</v>
      </c>
      <c r="G152" s="34" t="s">
        <v>294</v>
      </c>
      <c r="H152" s="34"/>
      <c r="I152" s="306">
        <v>3087</v>
      </c>
      <c r="J152" s="307">
        <v>2.1</v>
      </c>
      <c r="K152" s="6">
        <v>1470</v>
      </c>
      <c r="L152" s="5" t="s">
        <v>1199</v>
      </c>
      <c r="M152" s="62" t="s">
        <v>452</v>
      </c>
      <c r="N152" s="62" t="s">
        <v>464</v>
      </c>
      <c r="O152" s="62" t="s">
        <v>1213</v>
      </c>
      <c r="P152" s="100" t="s">
        <v>597</v>
      </c>
      <c r="Q152" s="5" t="s">
        <v>1214</v>
      </c>
      <c r="R152" s="34" t="s">
        <v>1215</v>
      </c>
      <c r="S152" s="5" t="s">
        <v>1216</v>
      </c>
      <c r="T152" s="5" t="s">
        <v>445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customFormat="1">
      <c r="A153" s="9"/>
      <c r="B153" s="5"/>
      <c r="C153" s="5"/>
      <c r="D153" s="5"/>
      <c r="E153" s="88"/>
      <c r="F153" s="5" t="s">
        <v>293</v>
      </c>
      <c r="G153" s="34" t="s">
        <v>294</v>
      </c>
      <c r="H153" s="34"/>
      <c r="I153" s="306">
        <v>-3189.9</v>
      </c>
      <c r="J153" s="307">
        <v>-2.17</v>
      </c>
      <c r="K153" s="6">
        <v>1470</v>
      </c>
      <c r="L153" s="5" t="s">
        <v>1199</v>
      </c>
      <c r="M153" s="62" t="s">
        <v>452</v>
      </c>
      <c r="N153" s="62" t="s">
        <v>464</v>
      </c>
      <c r="O153" s="62" t="s">
        <v>1204</v>
      </c>
      <c r="P153" s="100" t="s">
        <v>597</v>
      </c>
      <c r="Q153" s="5" t="s">
        <v>1205</v>
      </c>
      <c r="R153" s="34" t="s">
        <v>1217</v>
      </c>
      <c r="S153" s="5" t="s">
        <v>1207</v>
      </c>
      <c r="T153" s="5" t="s">
        <v>445</v>
      </c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customFormat="1">
      <c r="A154" s="9"/>
      <c r="B154" s="5"/>
      <c r="C154" s="5"/>
      <c r="D154" s="5"/>
      <c r="E154" s="88"/>
      <c r="F154" s="5" t="s">
        <v>293</v>
      </c>
      <c r="G154" s="34" t="s">
        <v>294</v>
      </c>
      <c r="H154" s="34"/>
      <c r="I154" s="306">
        <v>1278000</v>
      </c>
      <c r="J154" s="307">
        <v>900</v>
      </c>
      <c r="K154" s="6">
        <v>1420</v>
      </c>
      <c r="L154" s="5" t="s">
        <v>1218</v>
      </c>
      <c r="M154" s="62" t="s">
        <v>452</v>
      </c>
      <c r="N154" s="62" t="s">
        <v>464</v>
      </c>
      <c r="O154" s="62" t="s">
        <v>1219</v>
      </c>
      <c r="P154" s="100" t="s">
        <v>597</v>
      </c>
      <c r="Q154" s="5" t="s">
        <v>1220</v>
      </c>
      <c r="R154" s="34" t="s">
        <v>1221</v>
      </c>
      <c r="S154" s="5" t="s">
        <v>1222</v>
      </c>
      <c r="T154" s="5" t="s">
        <v>445</v>
      </c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customFormat="1">
      <c r="A155" s="9"/>
      <c r="B155" s="5"/>
      <c r="C155" s="5"/>
      <c r="D155" s="5"/>
      <c r="E155" s="88"/>
      <c r="F155" s="5" t="s">
        <v>293</v>
      </c>
      <c r="G155" s="34" t="s">
        <v>294</v>
      </c>
      <c r="H155" s="34"/>
      <c r="I155" s="306">
        <v>1617000</v>
      </c>
      <c r="J155" s="307">
        <v>1100</v>
      </c>
      <c r="K155" s="6">
        <v>1470</v>
      </c>
      <c r="L155" s="5" t="s">
        <v>1199</v>
      </c>
      <c r="M155" s="62" t="s">
        <v>452</v>
      </c>
      <c r="N155" s="62" t="s">
        <v>464</v>
      </c>
      <c r="O155" s="62" t="s">
        <v>1200</v>
      </c>
      <c r="P155" s="100" t="s">
        <v>597</v>
      </c>
      <c r="Q155" s="5" t="s">
        <v>1201</v>
      </c>
      <c r="R155" s="34" t="s">
        <v>1223</v>
      </c>
      <c r="S155" s="5" t="s">
        <v>1203</v>
      </c>
      <c r="T155" s="5" t="s">
        <v>445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customFormat="1">
      <c r="A156" s="9"/>
      <c r="B156" s="5"/>
      <c r="C156" s="5"/>
      <c r="D156" s="5"/>
      <c r="E156" s="88"/>
      <c r="F156" s="5" t="s">
        <v>293</v>
      </c>
      <c r="G156" s="34" t="s">
        <v>294</v>
      </c>
      <c r="H156" s="34"/>
      <c r="I156" s="306">
        <v>-56595</v>
      </c>
      <c r="J156" s="307">
        <v>-38.5</v>
      </c>
      <c r="K156" s="6">
        <v>1470</v>
      </c>
      <c r="L156" s="5" t="s">
        <v>1199</v>
      </c>
      <c r="M156" s="62" t="s">
        <v>452</v>
      </c>
      <c r="N156" s="62" t="s">
        <v>464</v>
      </c>
      <c r="O156" s="62" t="s">
        <v>1204</v>
      </c>
      <c r="P156" s="100" t="s">
        <v>597</v>
      </c>
      <c r="Q156" s="5" t="s">
        <v>1205</v>
      </c>
      <c r="R156" s="34" t="s">
        <v>1224</v>
      </c>
      <c r="S156" s="5" t="s">
        <v>1207</v>
      </c>
      <c r="T156" s="5" t="s">
        <v>445</v>
      </c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customFormat="1">
      <c r="A157" s="9"/>
      <c r="B157" s="5"/>
      <c r="C157" s="5"/>
      <c r="D157" s="5"/>
      <c r="E157" s="88"/>
      <c r="F157" s="5" t="s">
        <v>293</v>
      </c>
      <c r="G157" s="34" t="s">
        <v>294</v>
      </c>
      <c r="H157" s="34"/>
      <c r="I157" s="306">
        <v>1026795</v>
      </c>
      <c r="J157" s="307">
        <v>698.5</v>
      </c>
      <c r="K157" s="6">
        <v>1470</v>
      </c>
      <c r="L157" s="5" t="s">
        <v>1199</v>
      </c>
      <c r="M157" s="62" t="s">
        <v>452</v>
      </c>
      <c r="N157" s="62" t="s">
        <v>464</v>
      </c>
      <c r="O157" s="62" t="s">
        <v>1200</v>
      </c>
      <c r="P157" s="100" t="s">
        <v>597</v>
      </c>
      <c r="Q157" s="5" t="s">
        <v>1201</v>
      </c>
      <c r="R157" s="34" t="s">
        <v>1225</v>
      </c>
      <c r="S157" s="5" t="s">
        <v>1203</v>
      </c>
      <c r="T157" s="5" t="s">
        <v>445</v>
      </c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customFormat="1">
      <c r="A158" s="9"/>
      <c r="B158" s="5"/>
      <c r="C158" s="5"/>
      <c r="D158" s="5"/>
      <c r="E158" s="88"/>
      <c r="F158" s="5" t="s">
        <v>293</v>
      </c>
      <c r="G158" s="34" t="s">
        <v>294</v>
      </c>
      <c r="H158" s="34"/>
      <c r="I158" s="306">
        <v>-35941.5</v>
      </c>
      <c r="J158" s="307">
        <v>-24.45</v>
      </c>
      <c r="K158" s="6">
        <v>1470</v>
      </c>
      <c r="L158" s="5" t="s">
        <v>1199</v>
      </c>
      <c r="M158" s="62" t="s">
        <v>452</v>
      </c>
      <c r="N158" s="62" t="s">
        <v>464</v>
      </c>
      <c r="O158" s="62" t="s">
        <v>1204</v>
      </c>
      <c r="P158" s="100" t="s">
        <v>597</v>
      </c>
      <c r="Q158" s="5" t="s">
        <v>1205</v>
      </c>
      <c r="R158" s="34" t="s">
        <v>1226</v>
      </c>
      <c r="S158" s="5" t="s">
        <v>1207</v>
      </c>
      <c r="T158" s="5" t="s">
        <v>445</v>
      </c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customFormat="1">
      <c r="A159" s="9"/>
      <c r="B159" s="5"/>
      <c r="C159" s="5"/>
      <c r="D159" s="5"/>
      <c r="E159" s="88"/>
      <c r="F159" s="5" t="s">
        <v>293</v>
      </c>
      <c r="G159" s="34" t="s">
        <v>294</v>
      </c>
      <c r="H159" s="34"/>
      <c r="I159" s="306">
        <v>4047000</v>
      </c>
      <c r="J159" s="307">
        <v>2850</v>
      </c>
      <c r="K159" s="6">
        <v>1420</v>
      </c>
      <c r="L159" s="5" t="s">
        <v>1199</v>
      </c>
      <c r="M159" s="62" t="s">
        <v>452</v>
      </c>
      <c r="N159" s="62" t="s">
        <v>464</v>
      </c>
      <c r="O159" s="62" t="s">
        <v>1208</v>
      </c>
      <c r="P159" s="100" t="s">
        <v>597</v>
      </c>
      <c r="Q159" s="5" t="s">
        <v>1209</v>
      </c>
      <c r="R159" s="34" t="s">
        <v>1227</v>
      </c>
      <c r="S159" s="5" t="s">
        <v>1211</v>
      </c>
      <c r="T159" s="5" t="s">
        <v>445</v>
      </c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customFormat="1">
      <c r="A160" s="9"/>
      <c r="B160" s="5"/>
      <c r="C160" s="5"/>
      <c r="D160" s="5"/>
      <c r="E160" s="88"/>
      <c r="F160" s="5" t="s">
        <v>293</v>
      </c>
      <c r="G160" s="34" t="s">
        <v>294</v>
      </c>
      <c r="H160" s="34"/>
      <c r="I160" s="306">
        <v>3087</v>
      </c>
      <c r="J160" s="307">
        <v>2.1</v>
      </c>
      <c r="K160" s="6">
        <v>1470</v>
      </c>
      <c r="L160" s="5" t="s">
        <v>1199</v>
      </c>
      <c r="M160" s="62" t="s">
        <v>452</v>
      </c>
      <c r="N160" s="62" t="s">
        <v>464</v>
      </c>
      <c r="O160" s="62" t="s">
        <v>1213</v>
      </c>
      <c r="P160" s="100" t="s">
        <v>597</v>
      </c>
      <c r="Q160" s="5" t="s">
        <v>1214</v>
      </c>
      <c r="R160" s="34" t="s">
        <v>1228</v>
      </c>
      <c r="S160" s="5" t="s">
        <v>1216</v>
      </c>
      <c r="T160" s="5" t="s">
        <v>445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customFormat="1">
      <c r="A161" s="9"/>
      <c r="B161" s="5"/>
      <c r="C161" s="5"/>
      <c r="D161" s="5"/>
      <c r="E161" s="88"/>
      <c r="F161" s="5" t="s">
        <v>293</v>
      </c>
      <c r="G161" s="34" t="s">
        <v>294</v>
      </c>
      <c r="H161" s="34"/>
      <c r="I161" s="306">
        <v>-3189.9</v>
      </c>
      <c r="J161" s="307">
        <v>-2.17</v>
      </c>
      <c r="K161" s="6">
        <v>1470</v>
      </c>
      <c r="L161" s="5" t="s">
        <v>1199</v>
      </c>
      <c r="M161" s="62" t="s">
        <v>452</v>
      </c>
      <c r="N161" s="62" t="s">
        <v>464</v>
      </c>
      <c r="O161" s="62" t="s">
        <v>1204</v>
      </c>
      <c r="P161" s="100" t="s">
        <v>597</v>
      </c>
      <c r="Q161" s="5" t="s">
        <v>1205</v>
      </c>
      <c r="R161" s="34" t="s">
        <v>1229</v>
      </c>
      <c r="S161" s="5" t="s">
        <v>1207</v>
      </c>
      <c r="T161" s="5" t="s">
        <v>445</v>
      </c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customFormat="1">
      <c r="A162" s="9"/>
      <c r="B162" s="5"/>
      <c r="C162" s="5"/>
      <c r="D162" s="5"/>
      <c r="E162" s="88"/>
      <c r="F162" s="5" t="s">
        <v>293</v>
      </c>
      <c r="G162" s="34" t="s">
        <v>294</v>
      </c>
      <c r="H162" s="34"/>
      <c r="I162" s="306">
        <v>36015</v>
      </c>
      <c r="J162" s="307">
        <v>24.5</v>
      </c>
      <c r="K162" s="6">
        <v>1470</v>
      </c>
      <c r="L162" s="5" t="s">
        <v>1199</v>
      </c>
      <c r="M162" s="62" t="s">
        <v>452</v>
      </c>
      <c r="N162" s="62" t="s">
        <v>464</v>
      </c>
      <c r="O162" s="62" t="s">
        <v>1213</v>
      </c>
      <c r="P162" s="100" t="s">
        <v>597</v>
      </c>
      <c r="Q162" s="5" t="s">
        <v>1214</v>
      </c>
      <c r="R162" s="34" t="s">
        <v>1230</v>
      </c>
      <c r="S162" s="5" t="s">
        <v>1216</v>
      </c>
      <c r="T162" s="5" t="s">
        <v>445</v>
      </c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customFormat="1">
      <c r="A163" s="9"/>
      <c r="B163" s="5"/>
      <c r="C163" s="5"/>
      <c r="D163" s="5"/>
      <c r="E163" s="88"/>
      <c r="F163" s="5" t="s">
        <v>293</v>
      </c>
      <c r="G163" s="34" t="s">
        <v>294</v>
      </c>
      <c r="H163" s="34"/>
      <c r="I163" s="306">
        <v>3087</v>
      </c>
      <c r="J163" s="307">
        <v>2.1</v>
      </c>
      <c r="K163" s="6">
        <v>1470</v>
      </c>
      <c r="L163" s="5" t="s">
        <v>1199</v>
      </c>
      <c r="M163" s="62" t="s">
        <v>452</v>
      </c>
      <c r="N163" s="62" t="s">
        <v>464</v>
      </c>
      <c r="O163" s="62" t="s">
        <v>1213</v>
      </c>
      <c r="P163" s="100" t="s">
        <v>597</v>
      </c>
      <c r="Q163" s="5" t="s">
        <v>1214</v>
      </c>
      <c r="R163" s="34" t="s">
        <v>1230</v>
      </c>
      <c r="S163" s="5" t="s">
        <v>1216</v>
      </c>
      <c r="T163" s="5" t="s">
        <v>445</v>
      </c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customFormat="1">
      <c r="A164" s="9"/>
      <c r="B164" s="5"/>
      <c r="C164" s="5"/>
      <c r="D164" s="5"/>
      <c r="E164" s="88"/>
      <c r="F164" s="5" t="s">
        <v>293</v>
      </c>
      <c r="G164" s="34" t="s">
        <v>294</v>
      </c>
      <c r="H164" s="34"/>
      <c r="I164" s="306">
        <v>-37279.199999999997</v>
      </c>
      <c r="J164" s="307">
        <v>-25.36</v>
      </c>
      <c r="K164" s="6">
        <v>1470</v>
      </c>
      <c r="L164" s="5" t="s">
        <v>1199</v>
      </c>
      <c r="M164" s="62" t="s">
        <v>452</v>
      </c>
      <c r="N164" s="62" t="s">
        <v>464</v>
      </c>
      <c r="O164" s="62" t="s">
        <v>1204</v>
      </c>
      <c r="P164" s="100" t="s">
        <v>597</v>
      </c>
      <c r="Q164" s="5" t="s">
        <v>1205</v>
      </c>
      <c r="R164" s="34" t="s">
        <v>1231</v>
      </c>
      <c r="S164" s="5" t="s">
        <v>1207</v>
      </c>
      <c r="T164" s="5" t="s">
        <v>445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customFormat="1">
      <c r="A165" s="9"/>
      <c r="B165" s="5"/>
      <c r="C165" s="5"/>
      <c r="D165" s="5"/>
      <c r="E165" s="88"/>
      <c r="F165" s="5" t="s">
        <v>293</v>
      </c>
      <c r="G165" s="34" t="s">
        <v>294</v>
      </c>
      <c r="H165" s="34"/>
      <c r="I165" s="306">
        <v>-3189.9</v>
      </c>
      <c r="J165" s="307">
        <v>-2.17</v>
      </c>
      <c r="K165" s="6">
        <v>1470</v>
      </c>
      <c r="L165" s="5" t="s">
        <v>1199</v>
      </c>
      <c r="M165" s="62" t="s">
        <v>452</v>
      </c>
      <c r="N165" s="62" t="s">
        <v>464</v>
      </c>
      <c r="O165" s="62" t="s">
        <v>1204</v>
      </c>
      <c r="P165" s="100" t="s">
        <v>597</v>
      </c>
      <c r="Q165" s="5" t="s">
        <v>1205</v>
      </c>
      <c r="R165" s="34" t="s">
        <v>1231</v>
      </c>
      <c r="S165" s="5" t="s">
        <v>1207</v>
      </c>
      <c r="T165" s="5" t="s">
        <v>445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customFormat="1">
      <c r="A166" s="9"/>
      <c r="B166" s="5"/>
      <c r="C166" s="5"/>
      <c r="D166" s="5"/>
      <c r="E166" s="88"/>
      <c r="F166" s="5" t="s">
        <v>293</v>
      </c>
      <c r="G166" s="34" t="s">
        <v>294</v>
      </c>
      <c r="H166" s="34"/>
      <c r="I166" s="306">
        <v>41160</v>
      </c>
      <c r="J166" s="307">
        <v>28</v>
      </c>
      <c r="K166" s="6">
        <v>1470</v>
      </c>
      <c r="L166" s="5" t="s">
        <v>1199</v>
      </c>
      <c r="M166" s="62" t="s">
        <v>452</v>
      </c>
      <c r="N166" s="62" t="s">
        <v>464</v>
      </c>
      <c r="O166" s="62" t="s">
        <v>1213</v>
      </c>
      <c r="P166" s="100" t="s">
        <v>597</v>
      </c>
      <c r="Q166" s="5" t="s">
        <v>1214</v>
      </c>
      <c r="R166" s="34" t="s">
        <v>1232</v>
      </c>
      <c r="S166" s="5" t="s">
        <v>1216</v>
      </c>
      <c r="T166" s="5" t="s">
        <v>445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customFormat="1">
      <c r="A167" s="9"/>
      <c r="B167" s="5"/>
      <c r="C167" s="5"/>
      <c r="D167" s="5"/>
      <c r="E167" s="88"/>
      <c r="F167" s="5" t="s">
        <v>293</v>
      </c>
      <c r="G167" s="34" t="s">
        <v>294</v>
      </c>
      <c r="H167" s="34"/>
      <c r="I167" s="306">
        <v>6174</v>
      </c>
      <c r="J167" s="307">
        <v>4.2</v>
      </c>
      <c r="K167" s="6">
        <v>1470</v>
      </c>
      <c r="L167" s="5" t="s">
        <v>1199</v>
      </c>
      <c r="M167" s="62" t="s">
        <v>452</v>
      </c>
      <c r="N167" s="62" t="s">
        <v>464</v>
      </c>
      <c r="O167" s="62" t="s">
        <v>1213</v>
      </c>
      <c r="P167" s="100" t="s">
        <v>597</v>
      </c>
      <c r="Q167" s="5" t="s">
        <v>1214</v>
      </c>
      <c r="R167" s="34" t="s">
        <v>1232</v>
      </c>
      <c r="S167" s="5" t="s">
        <v>1216</v>
      </c>
      <c r="T167" s="5" t="s">
        <v>445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customFormat="1">
      <c r="A168" s="9"/>
      <c r="B168" s="5"/>
      <c r="C168" s="5"/>
      <c r="D168" s="5"/>
      <c r="E168" s="88"/>
      <c r="F168" s="5" t="s">
        <v>293</v>
      </c>
      <c r="G168" s="34" t="s">
        <v>294</v>
      </c>
      <c r="H168" s="34"/>
      <c r="I168" s="306">
        <v>41013</v>
      </c>
      <c r="J168" s="307">
        <v>27.9</v>
      </c>
      <c r="K168" s="6">
        <v>1470</v>
      </c>
      <c r="L168" s="5" t="s">
        <v>1199</v>
      </c>
      <c r="M168" s="62" t="s">
        <v>452</v>
      </c>
      <c r="N168" s="62" t="s">
        <v>464</v>
      </c>
      <c r="O168" s="62" t="s">
        <v>1233</v>
      </c>
      <c r="P168" s="100" t="s">
        <v>597</v>
      </c>
      <c r="Q168" s="5" t="s">
        <v>1234</v>
      </c>
      <c r="R168" s="34" t="s">
        <v>1232</v>
      </c>
      <c r="S168" s="5" t="s">
        <v>1235</v>
      </c>
      <c r="T168" s="5" t="s">
        <v>445</v>
      </c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customFormat="1">
      <c r="A169" s="9"/>
      <c r="B169" s="5"/>
      <c r="C169" s="5"/>
      <c r="D169" s="5"/>
      <c r="E169" s="88"/>
      <c r="F169" s="5" t="s">
        <v>293</v>
      </c>
      <c r="G169" s="34" t="s">
        <v>294</v>
      </c>
      <c r="H169" s="34"/>
      <c r="I169" s="306">
        <v>-42600.6</v>
      </c>
      <c r="J169" s="307">
        <v>-28.98</v>
      </c>
      <c r="K169" s="6">
        <v>1470</v>
      </c>
      <c r="L169" s="5" t="s">
        <v>1199</v>
      </c>
      <c r="M169" s="62" t="s">
        <v>452</v>
      </c>
      <c r="N169" s="62" t="s">
        <v>464</v>
      </c>
      <c r="O169" s="62" t="s">
        <v>1204</v>
      </c>
      <c r="P169" s="100" t="s">
        <v>597</v>
      </c>
      <c r="Q169" s="5" t="s">
        <v>1205</v>
      </c>
      <c r="R169" s="34" t="s">
        <v>1236</v>
      </c>
      <c r="S169" s="5" t="s">
        <v>1207</v>
      </c>
      <c r="T169" s="5" t="s">
        <v>445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customFormat="1">
      <c r="A170" s="9"/>
      <c r="B170" s="5"/>
      <c r="C170" s="5"/>
      <c r="D170" s="5"/>
      <c r="E170" s="88"/>
      <c r="F170" s="5" t="s">
        <v>293</v>
      </c>
      <c r="G170" s="34" t="s">
        <v>294</v>
      </c>
      <c r="H170" s="34"/>
      <c r="I170" s="306">
        <v>-6394.5</v>
      </c>
      <c r="J170" s="307">
        <v>-4.3499999999999996</v>
      </c>
      <c r="K170" s="6">
        <v>1470</v>
      </c>
      <c r="L170" s="5" t="s">
        <v>1199</v>
      </c>
      <c r="M170" s="62" t="s">
        <v>452</v>
      </c>
      <c r="N170" s="62" t="s">
        <v>464</v>
      </c>
      <c r="O170" s="62" t="s">
        <v>1204</v>
      </c>
      <c r="P170" s="100" t="s">
        <v>597</v>
      </c>
      <c r="Q170" s="5" t="s">
        <v>1205</v>
      </c>
      <c r="R170" s="34" t="s">
        <v>1236</v>
      </c>
      <c r="S170" s="5" t="s">
        <v>1207</v>
      </c>
      <c r="T170" s="5" t="s">
        <v>445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customFormat="1">
      <c r="A171" s="9"/>
      <c r="B171" s="5"/>
      <c r="C171" s="5"/>
      <c r="D171" s="5"/>
      <c r="E171" s="88"/>
      <c r="F171" s="5" t="s">
        <v>293</v>
      </c>
      <c r="G171" s="34" t="s">
        <v>294</v>
      </c>
      <c r="H171" s="34"/>
      <c r="I171" s="306">
        <v>-776740</v>
      </c>
      <c r="J171" s="307">
        <v>-547</v>
      </c>
      <c r="K171" s="6">
        <v>1420</v>
      </c>
      <c r="L171" s="5" t="s">
        <v>1237</v>
      </c>
      <c r="M171" s="62" t="s">
        <v>452</v>
      </c>
      <c r="N171" s="62" t="s">
        <v>464</v>
      </c>
      <c r="O171" s="62" t="s">
        <v>1238</v>
      </c>
      <c r="P171" s="100" t="s">
        <v>597</v>
      </c>
      <c r="Q171" s="5" t="s">
        <v>1239</v>
      </c>
      <c r="R171" s="34" t="s">
        <v>1240</v>
      </c>
      <c r="S171" s="5" t="s">
        <v>1241</v>
      </c>
      <c r="T171" s="5" t="s">
        <v>445</v>
      </c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customFormat="1">
      <c r="A172" s="9"/>
      <c r="B172" s="5"/>
      <c r="C172" s="5"/>
      <c r="D172" s="5"/>
      <c r="E172" s="88"/>
      <c r="F172" s="5" t="s">
        <v>293</v>
      </c>
      <c r="G172" s="34" t="s">
        <v>294</v>
      </c>
      <c r="H172" s="34"/>
      <c r="I172" s="306">
        <v>6248000</v>
      </c>
      <c r="J172" s="307">
        <v>4400</v>
      </c>
      <c r="K172" s="6">
        <v>1420</v>
      </c>
      <c r="L172" s="5" t="s">
        <v>1242</v>
      </c>
      <c r="M172" s="62" t="s">
        <v>452</v>
      </c>
      <c r="N172" s="62" t="s">
        <v>464</v>
      </c>
      <c r="O172" s="62" t="s">
        <v>1243</v>
      </c>
      <c r="P172" s="100" t="s">
        <v>597</v>
      </c>
      <c r="Q172" s="5" t="s">
        <v>1244</v>
      </c>
      <c r="R172" s="34" t="s">
        <v>1245</v>
      </c>
      <c r="S172" s="5" t="s">
        <v>1246</v>
      </c>
      <c r="T172" s="5" t="s">
        <v>445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customFormat="1">
      <c r="A173" s="9"/>
      <c r="B173" s="5"/>
      <c r="C173" s="5"/>
      <c r="D173" s="5"/>
      <c r="E173" s="88"/>
      <c r="F173" s="5" t="s">
        <v>293</v>
      </c>
      <c r="G173" s="34" t="s">
        <v>294</v>
      </c>
      <c r="H173" s="34"/>
      <c r="I173" s="306">
        <v>4277700</v>
      </c>
      <c r="J173" s="307">
        <v>2910</v>
      </c>
      <c r="K173" s="6">
        <v>1470</v>
      </c>
      <c r="L173" s="5" t="s">
        <v>1199</v>
      </c>
      <c r="M173" s="62" t="s">
        <v>452</v>
      </c>
      <c r="N173" s="62" t="s">
        <v>464</v>
      </c>
      <c r="O173" s="62" t="s">
        <v>1200</v>
      </c>
      <c r="P173" s="100" t="s">
        <v>597</v>
      </c>
      <c r="Q173" s="5" t="s">
        <v>1201</v>
      </c>
      <c r="R173" s="34" t="s">
        <v>1247</v>
      </c>
      <c r="S173" s="5" t="s">
        <v>1203</v>
      </c>
      <c r="T173" s="5" t="s">
        <v>445</v>
      </c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customFormat="1">
      <c r="A174" s="9"/>
      <c r="B174" s="5"/>
      <c r="C174" s="5"/>
      <c r="D174" s="5"/>
      <c r="E174" s="88"/>
      <c r="F174" s="5" t="s">
        <v>293</v>
      </c>
      <c r="G174" s="34" t="s">
        <v>294</v>
      </c>
      <c r="H174" s="34"/>
      <c r="I174" s="306">
        <v>-149719.5</v>
      </c>
      <c r="J174" s="307">
        <v>-101.85</v>
      </c>
      <c r="K174" s="6">
        <v>1470</v>
      </c>
      <c r="L174" s="5" t="s">
        <v>1199</v>
      </c>
      <c r="M174" s="62" t="s">
        <v>452</v>
      </c>
      <c r="N174" s="62" t="s">
        <v>464</v>
      </c>
      <c r="O174" s="62" t="s">
        <v>1204</v>
      </c>
      <c r="P174" s="100" t="s">
        <v>597</v>
      </c>
      <c r="Q174" s="5" t="s">
        <v>1205</v>
      </c>
      <c r="R174" s="34" t="s">
        <v>1248</v>
      </c>
      <c r="S174" s="5" t="s">
        <v>1207</v>
      </c>
      <c r="T174" s="5" t="s">
        <v>445</v>
      </c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customFormat="1">
      <c r="A175" s="9"/>
      <c r="B175" s="5"/>
      <c r="C175" s="5"/>
      <c r="D175" s="5"/>
      <c r="E175" s="88"/>
      <c r="F175" s="5" t="s">
        <v>293</v>
      </c>
      <c r="G175" s="34" t="s">
        <v>294</v>
      </c>
      <c r="H175" s="34"/>
      <c r="I175" s="306">
        <v>-2940000</v>
      </c>
      <c r="J175" s="307">
        <v>-2000</v>
      </c>
      <c r="K175" s="6">
        <v>1470</v>
      </c>
      <c r="L175" s="5" t="s">
        <v>1199</v>
      </c>
      <c r="M175" s="62" t="s">
        <v>452</v>
      </c>
      <c r="N175" s="62" t="s">
        <v>464</v>
      </c>
      <c r="O175" s="62" t="s">
        <v>1347</v>
      </c>
      <c r="P175" s="100" t="s">
        <v>597</v>
      </c>
      <c r="Q175" s="5" t="s">
        <v>1348</v>
      </c>
      <c r="R175" s="34" t="s">
        <v>1349</v>
      </c>
      <c r="S175" s="5" t="s">
        <v>1350</v>
      </c>
      <c r="T175" s="5" t="s">
        <v>445</v>
      </c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customFormat="1">
      <c r="A176" s="9"/>
      <c r="B176" s="5"/>
      <c r="C176" s="5"/>
      <c r="D176" s="5"/>
      <c r="E176" s="88"/>
      <c r="F176" s="5" t="s">
        <v>293</v>
      </c>
      <c r="G176" s="34" t="s">
        <v>294</v>
      </c>
      <c r="H176" s="34"/>
      <c r="I176" s="306">
        <v>-441000</v>
      </c>
      <c r="J176" s="307">
        <v>-300</v>
      </c>
      <c r="K176" s="6">
        <v>1470</v>
      </c>
      <c r="L176" s="5" t="s">
        <v>1218</v>
      </c>
      <c r="M176" s="62" t="s">
        <v>452</v>
      </c>
      <c r="N176" s="62" t="s">
        <v>464</v>
      </c>
      <c r="O176" s="62" t="s">
        <v>1351</v>
      </c>
      <c r="P176" s="100" t="s">
        <v>597</v>
      </c>
      <c r="Q176" s="5" t="s">
        <v>1352</v>
      </c>
      <c r="R176" s="34" t="s">
        <v>1353</v>
      </c>
      <c r="S176" s="5" t="s">
        <v>1354</v>
      </c>
      <c r="T176" s="5" t="s">
        <v>445</v>
      </c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customFormat="1">
      <c r="A177" s="9"/>
      <c r="B177" s="5"/>
      <c r="C177" s="5"/>
      <c r="D177" s="5"/>
      <c r="E177" s="88"/>
      <c r="F177" s="5" t="s">
        <v>293</v>
      </c>
      <c r="G177" s="34" t="s">
        <v>294</v>
      </c>
      <c r="H177" s="34"/>
      <c r="I177" s="306">
        <v>-3322800</v>
      </c>
      <c r="J177" s="307">
        <v>-2340</v>
      </c>
      <c r="K177" s="6">
        <v>1420</v>
      </c>
      <c r="L177" s="5" t="s">
        <v>1242</v>
      </c>
      <c r="M177" s="62" t="s">
        <v>452</v>
      </c>
      <c r="N177" s="62" t="s">
        <v>464</v>
      </c>
      <c r="O177" s="62" t="s">
        <v>1356</v>
      </c>
      <c r="P177" s="100" t="s">
        <v>597</v>
      </c>
      <c r="Q177" s="5" t="s">
        <v>1357</v>
      </c>
      <c r="R177" s="34" t="s">
        <v>1358</v>
      </c>
      <c r="S177" s="5" t="s">
        <v>1359</v>
      </c>
      <c r="T177" s="5" t="s">
        <v>445</v>
      </c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customFormat="1">
      <c r="A178" s="9"/>
      <c r="B178" s="5"/>
      <c r="C178" s="5"/>
      <c r="D178" s="5"/>
      <c r="E178" s="88"/>
      <c r="F178" s="5" t="s">
        <v>293</v>
      </c>
      <c r="G178" s="34" t="s">
        <v>294</v>
      </c>
      <c r="H178" s="34"/>
      <c r="I178" s="306">
        <v>-511200</v>
      </c>
      <c r="J178" s="307">
        <v>-360</v>
      </c>
      <c r="K178" s="6">
        <v>1420</v>
      </c>
      <c r="L178" s="5" t="s">
        <v>1242</v>
      </c>
      <c r="M178" s="62" t="s">
        <v>452</v>
      </c>
      <c r="N178" s="62" t="s">
        <v>464</v>
      </c>
      <c r="O178" s="62" t="s">
        <v>1356</v>
      </c>
      <c r="P178" s="100" t="s">
        <v>597</v>
      </c>
      <c r="Q178" s="5" t="s">
        <v>1357</v>
      </c>
      <c r="R178" s="34" t="s">
        <v>1376</v>
      </c>
      <c r="S178" s="5" t="s">
        <v>1359</v>
      </c>
      <c r="T178" s="5" t="s">
        <v>445</v>
      </c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customFormat="1">
      <c r="A179" s="9"/>
      <c r="B179" s="5"/>
      <c r="C179" s="5"/>
      <c r="D179" s="5"/>
      <c r="E179" s="88"/>
      <c r="F179" s="5" t="s">
        <v>293</v>
      </c>
      <c r="G179" s="34" t="s">
        <v>294</v>
      </c>
      <c r="H179" s="34"/>
      <c r="I179" s="306">
        <v>-1176000</v>
      </c>
      <c r="J179" s="307">
        <v>-800</v>
      </c>
      <c r="K179" s="6">
        <v>1470</v>
      </c>
      <c r="L179" s="5" t="s">
        <v>1199</v>
      </c>
      <c r="M179" s="62" t="s">
        <v>452</v>
      </c>
      <c r="N179" s="62" t="s">
        <v>464</v>
      </c>
      <c r="O179" s="62" t="s">
        <v>1347</v>
      </c>
      <c r="P179" s="100" t="s">
        <v>597</v>
      </c>
      <c r="Q179" s="5" t="s">
        <v>1348</v>
      </c>
      <c r="R179" s="34" t="s">
        <v>1377</v>
      </c>
      <c r="S179" s="5" t="s">
        <v>1350</v>
      </c>
      <c r="T179" s="5" t="s">
        <v>445</v>
      </c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customFormat="1">
      <c r="A180" s="9"/>
      <c r="B180" s="5"/>
      <c r="C180" s="5"/>
      <c r="D180" s="5"/>
      <c r="E180" s="88"/>
      <c r="F180" s="5" t="s">
        <v>293</v>
      </c>
      <c r="G180" s="34" t="s">
        <v>294</v>
      </c>
      <c r="H180" s="34"/>
      <c r="I180" s="306">
        <v>-1136000</v>
      </c>
      <c r="J180" s="307">
        <v>-800</v>
      </c>
      <c r="K180" s="6">
        <v>1420</v>
      </c>
      <c r="L180" s="5" t="s">
        <v>1218</v>
      </c>
      <c r="M180" s="62" t="s">
        <v>452</v>
      </c>
      <c r="N180" s="62" t="s">
        <v>464</v>
      </c>
      <c r="O180" s="62" t="s">
        <v>1351</v>
      </c>
      <c r="P180" s="100" t="s">
        <v>597</v>
      </c>
      <c r="Q180" s="5" t="s">
        <v>1352</v>
      </c>
      <c r="R180" s="34" t="s">
        <v>1378</v>
      </c>
      <c r="S180" s="5" t="s">
        <v>1354</v>
      </c>
      <c r="T180" s="5" t="s">
        <v>445</v>
      </c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customFormat="1">
      <c r="A181" s="9"/>
      <c r="B181" s="5"/>
      <c r="C181" s="5"/>
      <c r="D181" s="5"/>
      <c r="E181" s="88"/>
      <c r="F181" s="5" t="s">
        <v>293</v>
      </c>
      <c r="G181" s="34" t="s">
        <v>294</v>
      </c>
      <c r="H181" s="34"/>
      <c r="I181" s="306">
        <v>-53934.3</v>
      </c>
      <c r="J181" s="307">
        <v>-36.69</v>
      </c>
      <c r="K181" s="6">
        <v>1470</v>
      </c>
      <c r="L181" s="5" t="s">
        <v>1199</v>
      </c>
      <c r="M181" s="62" t="s">
        <v>452</v>
      </c>
      <c r="N181" s="62" t="s">
        <v>464</v>
      </c>
      <c r="O181" s="62" t="s">
        <v>1204</v>
      </c>
      <c r="P181" s="100" t="s">
        <v>597</v>
      </c>
      <c r="Q181" s="5" t="s">
        <v>1205</v>
      </c>
      <c r="R181" s="34" t="s">
        <v>1379</v>
      </c>
      <c r="S181" s="5" t="s">
        <v>1207</v>
      </c>
      <c r="T181" s="5" t="s">
        <v>445</v>
      </c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customFormat="1">
      <c r="A182" s="9"/>
      <c r="B182" s="5"/>
      <c r="C182" s="5"/>
      <c r="D182" s="5"/>
      <c r="E182" s="88"/>
      <c r="F182" s="5" t="s">
        <v>293</v>
      </c>
      <c r="G182" s="34" t="s">
        <v>294</v>
      </c>
      <c r="H182" s="34"/>
      <c r="I182" s="306">
        <v>85200.000499999995</v>
      </c>
      <c r="J182" s="307">
        <v>57.959184013605402</v>
      </c>
      <c r="K182" s="6">
        <v>1470</v>
      </c>
      <c r="L182" s="5" t="s">
        <v>1199</v>
      </c>
      <c r="M182" s="62" t="s">
        <v>1416</v>
      </c>
      <c r="N182" s="62" t="s">
        <v>464</v>
      </c>
      <c r="O182" s="62" t="s">
        <v>1428</v>
      </c>
      <c r="P182" s="100" t="s">
        <v>1418</v>
      </c>
      <c r="Q182" s="5" t="s">
        <v>1429</v>
      </c>
      <c r="R182" s="34" t="s">
        <v>1429</v>
      </c>
      <c r="S182" s="5" t="s">
        <v>1430</v>
      </c>
      <c r="T182" s="5" t="s">
        <v>445</v>
      </c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customFormat="1">
      <c r="A183" s="9"/>
      <c r="B183" s="5"/>
      <c r="C183" s="5"/>
      <c r="D183" s="5"/>
      <c r="E183" s="88"/>
      <c r="F183" s="5" t="s">
        <v>293</v>
      </c>
      <c r="G183" s="34" t="s">
        <v>294</v>
      </c>
      <c r="H183" s="34"/>
      <c r="I183" s="306">
        <v>993999.99970000004</v>
      </c>
      <c r="J183" s="307">
        <v>676.19047598639497</v>
      </c>
      <c r="K183" s="6">
        <v>1470</v>
      </c>
      <c r="L183" s="5" t="s">
        <v>1199</v>
      </c>
      <c r="M183" s="62" t="s">
        <v>1416</v>
      </c>
      <c r="N183" s="62" t="s">
        <v>464</v>
      </c>
      <c r="O183" s="62" t="s">
        <v>1431</v>
      </c>
      <c r="P183" s="100" t="s">
        <v>1418</v>
      </c>
      <c r="Q183" s="5" t="s">
        <v>1432</v>
      </c>
      <c r="R183" s="34" t="s">
        <v>1432</v>
      </c>
      <c r="S183" s="5" t="s">
        <v>1433</v>
      </c>
      <c r="T183" s="5" t="s">
        <v>445</v>
      </c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customFormat="1">
      <c r="A184" s="9"/>
      <c r="B184" s="5"/>
      <c r="C184" s="5"/>
      <c r="D184" s="5"/>
      <c r="E184" s="88"/>
      <c r="F184" s="5" t="s">
        <v>293</v>
      </c>
      <c r="G184" s="34" t="s">
        <v>294</v>
      </c>
      <c r="H184" s="34"/>
      <c r="I184" s="306">
        <v>85200.000499999995</v>
      </c>
      <c r="J184" s="307">
        <v>57.959184013605402</v>
      </c>
      <c r="K184" s="6">
        <v>1470</v>
      </c>
      <c r="L184" s="5" t="s">
        <v>1199</v>
      </c>
      <c r="M184" s="62" t="s">
        <v>1416</v>
      </c>
      <c r="N184" s="62" t="s">
        <v>464</v>
      </c>
      <c r="O184" s="62" t="s">
        <v>1434</v>
      </c>
      <c r="P184" s="100" t="s">
        <v>1418</v>
      </c>
      <c r="Q184" s="5" t="s">
        <v>1435</v>
      </c>
      <c r="R184" s="34" t="s">
        <v>1435</v>
      </c>
      <c r="S184" s="5" t="s">
        <v>1436</v>
      </c>
      <c r="T184" s="5" t="s">
        <v>445</v>
      </c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customFormat="1">
      <c r="A185" s="9"/>
      <c r="B185" s="5"/>
      <c r="C185" s="5"/>
      <c r="D185" s="5"/>
      <c r="E185" s="88"/>
      <c r="F185" s="5" t="s">
        <v>293</v>
      </c>
      <c r="G185" s="34" t="s">
        <v>294</v>
      </c>
      <c r="H185" s="34"/>
      <c r="I185" s="306">
        <v>1352400</v>
      </c>
      <c r="J185" s="307">
        <v>920</v>
      </c>
      <c r="K185" s="6">
        <v>1470</v>
      </c>
      <c r="L185" s="5" t="s">
        <v>1199</v>
      </c>
      <c r="M185" s="62" t="s">
        <v>1416</v>
      </c>
      <c r="N185" s="62" t="s">
        <v>464</v>
      </c>
      <c r="O185" s="62" t="s">
        <v>1437</v>
      </c>
      <c r="P185" s="100" t="s">
        <v>1418</v>
      </c>
      <c r="Q185" s="5" t="s">
        <v>1438</v>
      </c>
      <c r="R185" s="34" t="s">
        <v>1438</v>
      </c>
      <c r="S185" s="5" t="s">
        <v>1439</v>
      </c>
      <c r="T185" s="5" t="s">
        <v>445</v>
      </c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customFormat="1">
      <c r="A186" s="9"/>
      <c r="B186" s="5"/>
      <c r="C186" s="5"/>
      <c r="D186" s="5"/>
      <c r="E186" s="88"/>
      <c r="F186" s="5" t="s">
        <v>293</v>
      </c>
      <c r="G186" s="34" t="s">
        <v>294</v>
      </c>
      <c r="H186" s="34"/>
      <c r="I186" s="306">
        <v>85200</v>
      </c>
      <c r="J186" s="307">
        <v>60</v>
      </c>
      <c r="K186" s="6">
        <v>1420</v>
      </c>
      <c r="L186" s="5" t="s">
        <v>1199</v>
      </c>
      <c r="M186" s="62" t="s">
        <v>1416</v>
      </c>
      <c r="N186" s="62" t="s">
        <v>464</v>
      </c>
      <c r="O186" s="62" t="s">
        <v>1440</v>
      </c>
      <c r="P186" s="100" t="s">
        <v>1418</v>
      </c>
      <c r="Q186" s="5" t="s">
        <v>1441</v>
      </c>
      <c r="R186" s="34" t="s">
        <v>1441</v>
      </c>
      <c r="S186" s="5" t="s">
        <v>1442</v>
      </c>
      <c r="T186" s="5" t="s">
        <v>445</v>
      </c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customFormat="1">
      <c r="A187" s="9"/>
      <c r="B187" s="5"/>
      <c r="C187" s="5"/>
      <c r="D187" s="5"/>
      <c r="E187" s="88"/>
      <c r="F187" s="5" t="s">
        <v>293</v>
      </c>
      <c r="G187" s="34" t="s">
        <v>294</v>
      </c>
      <c r="H187" s="34"/>
      <c r="I187" s="306">
        <v>-799999.6</v>
      </c>
      <c r="J187" s="307">
        <v>-563.38</v>
      </c>
      <c r="K187" s="6">
        <v>1420</v>
      </c>
      <c r="L187" s="5" t="s">
        <v>1443</v>
      </c>
      <c r="M187" s="62" t="s">
        <v>452</v>
      </c>
      <c r="N187" s="62" t="s">
        <v>442</v>
      </c>
      <c r="O187" s="62" t="s">
        <v>1444</v>
      </c>
      <c r="P187" s="100" t="s">
        <v>597</v>
      </c>
      <c r="Q187" s="5" t="s">
        <v>1445</v>
      </c>
      <c r="R187" s="34" t="s">
        <v>1445</v>
      </c>
      <c r="S187" s="5" t="s">
        <v>1446</v>
      </c>
      <c r="T187" s="5" t="s">
        <v>445</v>
      </c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customFormat="1">
      <c r="A188" s="9"/>
      <c r="B188" s="5"/>
      <c r="C188" s="5"/>
      <c r="D188" s="5"/>
      <c r="E188" s="88"/>
      <c r="F188" s="5" t="s">
        <v>293</v>
      </c>
      <c r="G188" s="34" t="s">
        <v>294</v>
      </c>
      <c r="H188" s="34"/>
      <c r="I188" s="306">
        <v>-2300002.4</v>
      </c>
      <c r="J188" s="307">
        <v>-1619.72</v>
      </c>
      <c r="K188" s="6">
        <v>1420</v>
      </c>
      <c r="L188" s="5" t="s">
        <v>1242</v>
      </c>
      <c r="M188" s="62" t="s">
        <v>452</v>
      </c>
      <c r="N188" s="62" t="s">
        <v>442</v>
      </c>
      <c r="O188" s="62" t="s">
        <v>1447</v>
      </c>
      <c r="P188" s="100" t="s">
        <v>597</v>
      </c>
      <c r="Q188" s="5" t="s">
        <v>1448</v>
      </c>
      <c r="R188" s="34" t="s">
        <v>1448</v>
      </c>
      <c r="S188" s="5" t="s">
        <v>1449</v>
      </c>
      <c r="T188" s="5" t="s">
        <v>445</v>
      </c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customFormat="1">
      <c r="A189" s="9"/>
      <c r="B189" s="5"/>
      <c r="C189" s="5"/>
      <c r="D189" s="5"/>
      <c r="E189" s="88"/>
      <c r="F189" s="5" t="s">
        <v>293</v>
      </c>
      <c r="G189" s="34" t="s">
        <v>294</v>
      </c>
      <c r="H189" s="34"/>
      <c r="I189" s="306">
        <v>-609999340</v>
      </c>
      <c r="J189" s="307">
        <v>-429577</v>
      </c>
      <c r="K189" s="6">
        <v>1420</v>
      </c>
      <c r="L189" s="5" t="s">
        <v>1237</v>
      </c>
      <c r="M189" s="62" t="s">
        <v>452</v>
      </c>
      <c r="N189" s="62" t="s">
        <v>442</v>
      </c>
      <c r="O189" s="62" t="s">
        <v>1450</v>
      </c>
      <c r="P189" s="100" t="s">
        <v>597</v>
      </c>
      <c r="Q189" s="5" t="s">
        <v>1451</v>
      </c>
      <c r="R189" s="34" t="s">
        <v>1451</v>
      </c>
      <c r="S189" s="5" t="s">
        <v>1452</v>
      </c>
      <c r="T189" s="5" t="s">
        <v>445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customFormat="1">
      <c r="A190" s="9"/>
      <c r="B190" s="5"/>
      <c r="C190" s="5"/>
      <c r="D190" s="5"/>
      <c r="E190" s="88"/>
      <c r="F190" s="5" t="s">
        <v>293</v>
      </c>
      <c r="G190" s="34" t="s">
        <v>294</v>
      </c>
      <c r="H190" s="34"/>
      <c r="I190" s="306">
        <v>609999340</v>
      </c>
      <c r="J190" s="307">
        <v>429577</v>
      </c>
      <c r="K190" s="6">
        <v>1420</v>
      </c>
      <c r="L190" s="5" t="s">
        <v>1237</v>
      </c>
      <c r="M190" s="62" t="s">
        <v>452</v>
      </c>
      <c r="N190" s="62" t="s">
        <v>442</v>
      </c>
      <c r="O190" s="62" t="s">
        <v>1453</v>
      </c>
      <c r="P190" s="100" t="s">
        <v>597</v>
      </c>
      <c r="Q190" s="5" t="s">
        <v>1454</v>
      </c>
      <c r="R190" s="34" t="s">
        <v>1454</v>
      </c>
      <c r="S190" s="5" t="s">
        <v>1455</v>
      </c>
      <c r="T190" s="5" t="s">
        <v>445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customFormat="1">
      <c r="A191" s="9"/>
      <c r="B191" s="5"/>
      <c r="C191" s="5"/>
      <c r="D191" s="5"/>
      <c r="E191" s="88"/>
      <c r="F191" s="5" t="s">
        <v>293</v>
      </c>
      <c r="G191" s="34" t="s">
        <v>294</v>
      </c>
      <c r="H191" s="34"/>
      <c r="I191" s="306">
        <v>-6099993.4000000004</v>
      </c>
      <c r="J191" s="307">
        <v>-4295.7700000000004</v>
      </c>
      <c r="K191" s="6">
        <v>1420</v>
      </c>
      <c r="L191" s="5" t="s">
        <v>1237</v>
      </c>
      <c r="M191" s="62" t="s">
        <v>452</v>
      </c>
      <c r="N191" s="62" t="s">
        <v>442</v>
      </c>
      <c r="O191" s="62" t="s">
        <v>1456</v>
      </c>
      <c r="P191" s="100" t="s">
        <v>597</v>
      </c>
      <c r="Q191" s="5" t="s">
        <v>1457</v>
      </c>
      <c r="R191" s="34" t="s">
        <v>1457</v>
      </c>
      <c r="S191" s="5" t="s">
        <v>1458</v>
      </c>
      <c r="T191" s="5" t="s">
        <v>445</v>
      </c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customFormat="1">
      <c r="A192" s="9"/>
      <c r="B192" s="5"/>
      <c r="C192" s="5"/>
      <c r="D192" s="5"/>
      <c r="E192" s="88"/>
      <c r="F192" s="5" t="s">
        <v>295</v>
      </c>
      <c r="G192" s="34" t="s">
        <v>296</v>
      </c>
      <c r="H192" s="34"/>
      <c r="I192" s="306">
        <v>-84989</v>
      </c>
      <c r="J192" s="307">
        <v>-57.815646258503399</v>
      </c>
      <c r="K192" s="6">
        <v>1470</v>
      </c>
      <c r="L192" s="5" t="s">
        <v>1199</v>
      </c>
      <c r="M192" s="62" t="s">
        <v>452</v>
      </c>
      <c r="N192" s="62" t="s">
        <v>464</v>
      </c>
      <c r="O192" s="62" t="s">
        <v>1249</v>
      </c>
      <c r="P192" s="100" t="s">
        <v>597</v>
      </c>
      <c r="Q192" s="5" t="s">
        <v>1250</v>
      </c>
      <c r="R192" s="34" t="s">
        <v>1251</v>
      </c>
      <c r="S192" s="5" t="s">
        <v>1252</v>
      </c>
      <c r="T192" s="5" t="s">
        <v>445</v>
      </c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customFormat="1">
      <c r="A193" s="9"/>
      <c r="B193" s="5"/>
      <c r="C193" s="5"/>
      <c r="D193" s="5"/>
      <c r="E193" s="88"/>
      <c r="F193" s="5" t="s">
        <v>295</v>
      </c>
      <c r="G193" s="34" t="s">
        <v>296</v>
      </c>
      <c r="H193" s="34"/>
      <c r="I193" s="306">
        <v>-2000</v>
      </c>
      <c r="J193" s="307">
        <v>-1.3605442176870699</v>
      </c>
      <c r="K193" s="6">
        <v>1470</v>
      </c>
      <c r="L193" s="5" t="s">
        <v>1199</v>
      </c>
      <c r="M193" s="62" t="s">
        <v>452</v>
      </c>
      <c r="N193" s="62" t="s">
        <v>464</v>
      </c>
      <c r="O193" s="62" t="s">
        <v>1249</v>
      </c>
      <c r="P193" s="100" t="s">
        <v>597</v>
      </c>
      <c r="Q193" s="5" t="s">
        <v>1250</v>
      </c>
      <c r="R193" s="34" t="s">
        <v>1253</v>
      </c>
      <c r="S193" s="5" t="s">
        <v>1252</v>
      </c>
      <c r="T193" s="5" t="s">
        <v>445</v>
      </c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customFormat="1">
      <c r="A194" s="9"/>
      <c r="B194" s="5"/>
      <c r="C194" s="5"/>
      <c r="D194" s="5"/>
      <c r="E194" s="88"/>
      <c r="F194" s="5" t="s">
        <v>295</v>
      </c>
      <c r="G194" s="34" t="s">
        <v>296</v>
      </c>
      <c r="H194" s="34"/>
      <c r="I194" s="306">
        <v>-53450</v>
      </c>
      <c r="J194" s="307">
        <v>-37.6408450704225</v>
      </c>
      <c r="K194" s="6">
        <v>1420</v>
      </c>
      <c r="L194" s="5" t="s">
        <v>1254</v>
      </c>
      <c r="M194" s="62" t="s">
        <v>452</v>
      </c>
      <c r="N194" s="62" t="s">
        <v>464</v>
      </c>
      <c r="O194" s="62" t="s">
        <v>1255</v>
      </c>
      <c r="P194" s="100" t="s">
        <v>597</v>
      </c>
      <c r="Q194" s="5" t="s">
        <v>1256</v>
      </c>
      <c r="R194" s="34" t="s">
        <v>1257</v>
      </c>
      <c r="S194" s="5" t="s">
        <v>1258</v>
      </c>
      <c r="T194" s="5" t="s">
        <v>445</v>
      </c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customFormat="1">
      <c r="A195" s="9"/>
      <c r="B195" s="5"/>
      <c r="C195" s="5"/>
      <c r="D195" s="5"/>
      <c r="E195" s="88"/>
      <c r="F195" s="5" t="s">
        <v>295</v>
      </c>
      <c r="G195" s="34" t="s">
        <v>296</v>
      </c>
      <c r="H195" s="34"/>
      <c r="I195" s="306">
        <v>-39900</v>
      </c>
      <c r="J195" s="307">
        <v>-28.098591549295801</v>
      </c>
      <c r="K195" s="6">
        <v>1420</v>
      </c>
      <c r="L195" s="5" t="s">
        <v>1254</v>
      </c>
      <c r="M195" s="62" t="s">
        <v>452</v>
      </c>
      <c r="N195" s="62" t="s">
        <v>464</v>
      </c>
      <c r="O195" s="62" t="s">
        <v>1255</v>
      </c>
      <c r="P195" s="100" t="s">
        <v>597</v>
      </c>
      <c r="Q195" s="5" t="s">
        <v>1256</v>
      </c>
      <c r="R195" s="34" t="s">
        <v>636</v>
      </c>
      <c r="S195" s="5" t="s">
        <v>1258</v>
      </c>
      <c r="T195" s="5" t="s">
        <v>445</v>
      </c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customFormat="1">
      <c r="A196" s="9"/>
      <c r="B196" s="5"/>
      <c r="C196" s="5"/>
      <c r="D196" s="5"/>
      <c r="E196" s="88"/>
      <c r="F196" s="5" t="s">
        <v>295</v>
      </c>
      <c r="G196" s="34" t="s">
        <v>296</v>
      </c>
      <c r="H196" s="34"/>
      <c r="I196" s="306">
        <v>-46000</v>
      </c>
      <c r="J196" s="307">
        <v>-32.394366197183103</v>
      </c>
      <c r="K196" s="6">
        <v>1420</v>
      </c>
      <c r="L196" s="5" t="s">
        <v>1259</v>
      </c>
      <c r="M196" s="62" t="s">
        <v>452</v>
      </c>
      <c r="N196" s="62" t="s">
        <v>464</v>
      </c>
      <c r="O196" s="62" t="s">
        <v>1260</v>
      </c>
      <c r="P196" s="100" t="s">
        <v>597</v>
      </c>
      <c r="Q196" s="5" t="s">
        <v>1261</v>
      </c>
      <c r="R196" s="34" t="s">
        <v>689</v>
      </c>
      <c r="S196" s="5" t="s">
        <v>1262</v>
      </c>
      <c r="T196" s="5" t="s">
        <v>445</v>
      </c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customFormat="1">
      <c r="A197" s="9"/>
      <c r="B197" s="5"/>
      <c r="C197" s="5"/>
      <c r="D197" s="5"/>
      <c r="E197" s="88"/>
      <c r="F197" s="5" t="s">
        <v>295</v>
      </c>
      <c r="G197" s="34" t="s">
        <v>296</v>
      </c>
      <c r="H197" s="34"/>
      <c r="I197" s="306">
        <v>-52000</v>
      </c>
      <c r="J197" s="307">
        <v>-36.619718309859202</v>
      </c>
      <c r="K197" s="6">
        <v>1420</v>
      </c>
      <c r="L197" s="5" t="s">
        <v>1254</v>
      </c>
      <c r="M197" s="62" t="s">
        <v>452</v>
      </c>
      <c r="N197" s="62" t="s">
        <v>464</v>
      </c>
      <c r="O197" s="62" t="s">
        <v>1255</v>
      </c>
      <c r="P197" s="100" t="s">
        <v>597</v>
      </c>
      <c r="Q197" s="5" t="s">
        <v>1256</v>
      </c>
      <c r="R197" s="34" t="s">
        <v>1263</v>
      </c>
      <c r="S197" s="5" t="s">
        <v>1258</v>
      </c>
      <c r="T197" s="5" t="s">
        <v>445</v>
      </c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customFormat="1">
      <c r="A198" s="9"/>
      <c r="B198" s="5"/>
      <c r="C198" s="5"/>
      <c r="D198" s="5"/>
      <c r="E198" s="88"/>
      <c r="F198" s="5" t="s">
        <v>295</v>
      </c>
      <c r="G198" s="34" t="s">
        <v>296</v>
      </c>
      <c r="H198" s="34"/>
      <c r="I198" s="306">
        <v>-54769</v>
      </c>
      <c r="J198" s="307">
        <v>-37.257823129251697</v>
      </c>
      <c r="K198" s="6">
        <v>1470</v>
      </c>
      <c r="L198" s="5" t="s">
        <v>1199</v>
      </c>
      <c r="M198" s="62" t="s">
        <v>452</v>
      </c>
      <c r="N198" s="62" t="s">
        <v>464</v>
      </c>
      <c r="O198" s="62" t="s">
        <v>1249</v>
      </c>
      <c r="P198" s="100" t="s">
        <v>597</v>
      </c>
      <c r="Q198" s="5" t="s">
        <v>1250</v>
      </c>
      <c r="R198" s="34" t="s">
        <v>663</v>
      </c>
      <c r="S198" s="5" t="s">
        <v>1252</v>
      </c>
      <c r="T198" s="5" t="s">
        <v>445</v>
      </c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customFormat="1">
      <c r="A199" s="9"/>
      <c r="B199" s="5"/>
      <c r="C199" s="5"/>
      <c r="D199" s="5"/>
      <c r="E199" s="88"/>
      <c r="F199" s="5" t="s">
        <v>295</v>
      </c>
      <c r="G199" s="34" t="s">
        <v>296</v>
      </c>
      <c r="H199" s="34"/>
      <c r="I199" s="306">
        <v>-63900</v>
      </c>
      <c r="J199" s="307">
        <v>-43.469387755101998</v>
      </c>
      <c r="K199" s="6">
        <v>1470</v>
      </c>
      <c r="L199" s="5" t="s">
        <v>1199</v>
      </c>
      <c r="M199" s="62" t="s">
        <v>452</v>
      </c>
      <c r="N199" s="62" t="s">
        <v>464</v>
      </c>
      <c r="O199" s="62" t="s">
        <v>1249</v>
      </c>
      <c r="P199" s="100" t="s">
        <v>597</v>
      </c>
      <c r="Q199" s="5" t="s">
        <v>1250</v>
      </c>
      <c r="R199" s="34" t="s">
        <v>663</v>
      </c>
      <c r="S199" s="5" t="s">
        <v>1252</v>
      </c>
      <c r="T199" s="5" t="s">
        <v>445</v>
      </c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customFormat="1">
      <c r="A200" s="9"/>
      <c r="B200" s="5"/>
      <c r="C200" s="5"/>
      <c r="D200" s="5"/>
      <c r="E200" s="88"/>
      <c r="F200" s="5" t="s">
        <v>295</v>
      </c>
      <c r="G200" s="34" t="s">
        <v>296</v>
      </c>
      <c r="H200" s="34"/>
      <c r="I200" s="306">
        <v>-24000</v>
      </c>
      <c r="J200" s="307">
        <v>-16.326530612244898</v>
      </c>
      <c r="K200" s="6">
        <v>1470</v>
      </c>
      <c r="L200" s="5" t="s">
        <v>1199</v>
      </c>
      <c r="M200" s="62" t="s">
        <v>452</v>
      </c>
      <c r="N200" s="62" t="s">
        <v>464</v>
      </c>
      <c r="O200" s="62" t="s">
        <v>1249</v>
      </c>
      <c r="P200" s="100" t="s">
        <v>597</v>
      </c>
      <c r="Q200" s="5" t="s">
        <v>1250</v>
      </c>
      <c r="R200" s="34" t="s">
        <v>1264</v>
      </c>
      <c r="S200" s="5" t="s">
        <v>1252</v>
      </c>
      <c r="T200" s="5" t="s">
        <v>445</v>
      </c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customFormat="1">
      <c r="A201" s="9"/>
      <c r="B201" s="5"/>
      <c r="C201" s="5"/>
      <c r="D201" s="5"/>
      <c r="E201" s="88"/>
      <c r="F201" s="5" t="s">
        <v>295</v>
      </c>
      <c r="G201" s="34" t="s">
        <v>296</v>
      </c>
      <c r="H201" s="34"/>
      <c r="I201" s="306">
        <v>-5715</v>
      </c>
      <c r="J201" s="307">
        <v>-4.0246478873239404</v>
      </c>
      <c r="K201" s="6">
        <v>1420</v>
      </c>
      <c r="L201" s="5" t="s">
        <v>1259</v>
      </c>
      <c r="M201" s="62" t="s">
        <v>452</v>
      </c>
      <c r="N201" s="62" t="s">
        <v>464</v>
      </c>
      <c r="O201" s="62" t="s">
        <v>1260</v>
      </c>
      <c r="P201" s="100" t="s">
        <v>597</v>
      </c>
      <c r="Q201" s="5" t="s">
        <v>1261</v>
      </c>
      <c r="R201" s="34" t="s">
        <v>1265</v>
      </c>
      <c r="S201" s="5" t="s">
        <v>1262</v>
      </c>
      <c r="T201" s="5" t="s">
        <v>445</v>
      </c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customFormat="1">
      <c r="A202" s="9"/>
      <c r="B202" s="5"/>
      <c r="C202" s="5"/>
      <c r="D202" s="5"/>
      <c r="E202" s="88"/>
      <c r="F202" s="5" t="s">
        <v>295</v>
      </c>
      <c r="G202" s="34" t="s">
        <v>296</v>
      </c>
      <c r="H202" s="34"/>
      <c r="I202" s="306">
        <v>-71447</v>
      </c>
      <c r="J202" s="307">
        <v>-50.314788732394398</v>
      </c>
      <c r="K202" s="6">
        <v>1420</v>
      </c>
      <c r="L202" s="5" t="s">
        <v>1259</v>
      </c>
      <c r="M202" s="62" t="s">
        <v>452</v>
      </c>
      <c r="N202" s="62" t="s">
        <v>464</v>
      </c>
      <c r="O202" s="62" t="s">
        <v>1260</v>
      </c>
      <c r="P202" s="100" t="s">
        <v>597</v>
      </c>
      <c r="Q202" s="5" t="s">
        <v>1261</v>
      </c>
      <c r="R202" s="34" t="s">
        <v>1266</v>
      </c>
      <c r="S202" s="5" t="s">
        <v>1262</v>
      </c>
      <c r="T202" s="5" t="s">
        <v>445</v>
      </c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customFormat="1">
      <c r="A203" s="9"/>
      <c r="B203" s="5"/>
      <c r="C203" s="5"/>
      <c r="D203" s="5"/>
      <c r="E203" s="88"/>
      <c r="F203" s="5" t="s">
        <v>295</v>
      </c>
      <c r="G203" s="34" t="s">
        <v>296</v>
      </c>
      <c r="H203" s="34"/>
      <c r="I203" s="306">
        <v>-28000</v>
      </c>
      <c r="J203" s="307">
        <v>-19.047619047619001</v>
      </c>
      <c r="K203" s="6">
        <v>1470</v>
      </c>
      <c r="L203" s="5" t="s">
        <v>1199</v>
      </c>
      <c r="M203" s="62" t="s">
        <v>452</v>
      </c>
      <c r="N203" s="62" t="s">
        <v>464</v>
      </c>
      <c r="O203" s="62" t="s">
        <v>1249</v>
      </c>
      <c r="P203" s="100" t="s">
        <v>597</v>
      </c>
      <c r="Q203" s="5" t="s">
        <v>1250</v>
      </c>
      <c r="R203" s="34" t="s">
        <v>1267</v>
      </c>
      <c r="S203" s="5" t="s">
        <v>1252</v>
      </c>
      <c r="T203" s="5" t="s">
        <v>445</v>
      </c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customFormat="1">
      <c r="A204" s="9"/>
      <c r="B204" s="5"/>
      <c r="C204" s="5"/>
      <c r="D204" s="5"/>
      <c r="E204" s="88"/>
      <c r="F204" s="5" t="s">
        <v>295</v>
      </c>
      <c r="G204" s="34" t="s">
        <v>296</v>
      </c>
      <c r="H204" s="34"/>
      <c r="I204" s="306">
        <v>-245387</v>
      </c>
      <c r="J204" s="307">
        <v>-172.80774647887301</v>
      </c>
      <c r="K204" s="6">
        <v>1420</v>
      </c>
      <c r="L204" s="5" t="s">
        <v>1254</v>
      </c>
      <c r="M204" s="62" t="s">
        <v>452</v>
      </c>
      <c r="N204" s="62" t="s">
        <v>464</v>
      </c>
      <c r="O204" s="62" t="s">
        <v>1255</v>
      </c>
      <c r="P204" s="100" t="s">
        <v>597</v>
      </c>
      <c r="Q204" s="5" t="s">
        <v>1256</v>
      </c>
      <c r="R204" s="34" t="s">
        <v>1268</v>
      </c>
      <c r="S204" s="5" t="s">
        <v>1258</v>
      </c>
      <c r="T204" s="5" t="s">
        <v>445</v>
      </c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customFormat="1">
      <c r="A205" s="9"/>
      <c r="B205" s="5"/>
      <c r="C205" s="5"/>
      <c r="D205" s="5"/>
      <c r="E205" s="88"/>
      <c r="F205" s="5" t="s">
        <v>295</v>
      </c>
      <c r="G205" s="34" t="s">
        <v>296</v>
      </c>
      <c r="H205" s="34"/>
      <c r="I205" s="306">
        <v>-51400</v>
      </c>
      <c r="J205" s="307">
        <v>-36.197183098591601</v>
      </c>
      <c r="K205" s="6">
        <v>1420</v>
      </c>
      <c r="L205" s="5" t="s">
        <v>1259</v>
      </c>
      <c r="M205" s="62" t="s">
        <v>452</v>
      </c>
      <c r="N205" s="62" t="s">
        <v>464</v>
      </c>
      <c r="O205" s="62" t="s">
        <v>1260</v>
      </c>
      <c r="P205" s="100" t="s">
        <v>597</v>
      </c>
      <c r="Q205" s="5" t="s">
        <v>1261</v>
      </c>
      <c r="R205" s="34" t="s">
        <v>1269</v>
      </c>
      <c r="S205" s="5" t="s">
        <v>1262</v>
      </c>
      <c r="T205" s="5" t="s">
        <v>445</v>
      </c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customFormat="1">
      <c r="A206" s="9"/>
      <c r="B206" s="5"/>
      <c r="C206" s="5"/>
      <c r="D206" s="5"/>
      <c r="E206" s="88"/>
      <c r="F206" s="5" t="s">
        <v>295</v>
      </c>
      <c r="G206" s="34" t="s">
        <v>296</v>
      </c>
      <c r="H206" s="34"/>
      <c r="I206" s="306">
        <v>-70000</v>
      </c>
      <c r="J206" s="307">
        <v>-47.619047619047599</v>
      </c>
      <c r="K206" s="6">
        <v>1470</v>
      </c>
      <c r="L206" s="5" t="s">
        <v>1199</v>
      </c>
      <c r="M206" s="62" t="s">
        <v>452</v>
      </c>
      <c r="N206" s="62" t="s">
        <v>464</v>
      </c>
      <c r="O206" s="62" t="s">
        <v>1249</v>
      </c>
      <c r="P206" s="100" t="s">
        <v>597</v>
      </c>
      <c r="Q206" s="5" t="s">
        <v>1250</v>
      </c>
      <c r="R206" s="34" t="s">
        <v>1270</v>
      </c>
      <c r="S206" s="5" t="s">
        <v>1252</v>
      </c>
      <c r="T206" s="5" t="s">
        <v>445</v>
      </c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customFormat="1">
      <c r="A207" s="9"/>
      <c r="B207" s="5"/>
      <c r="C207" s="5"/>
      <c r="D207" s="5"/>
      <c r="E207" s="88"/>
      <c r="F207" s="5" t="s">
        <v>295</v>
      </c>
      <c r="G207" s="34" t="s">
        <v>296</v>
      </c>
      <c r="H207" s="34"/>
      <c r="I207" s="306">
        <v>-53000</v>
      </c>
      <c r="J207" s="307">
        <v>-37.323943661971803</v>
      </c>
      <c r="K207" s="6">
        <v>1420</v>
      </c>
      <c r="L207" s="5" t="s">
        <v>1259</v>
      </c>
      <c r="M207" s="62" t="s">
        <v>452</v>
      </c>
      <c r="N207" s="62" t="s">
        <v>464</v>
      </c>
      <c r="O207" s="62" t="s">
        <v>1260</v>
      </c>
      <c r="P207" s="100" t="s">
        <v>597</v>
      </c>
      <c r="Q207" s="5" t="s">
        <v>1261</v>
      </c>
      <c r="R207" s="34" t="s">
        <v>1271</v>
      </c>
      <c r="S207" s="5" t="s">
        <v>1262</v>
      </c>
      <c r="T207" s="5" t="s">
        <v>445</v>
      </c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customFormat="1">
      <c r="A208" s="9"/>
      <c r="B208" s="5"/>
      <c r="C208" s="5"/>
      <c r="D208" s="5"/>
      <c r="E208" s="88"/>
      <c r="F208" s="5" t="s">
        <v>295</v>
      </c>
      <c r="G208" s="34" t="s">
        <v>296</v>
      </c>
      <c r="H208" s="34"/>
      <c r="I208" s="306">
        <v>-59000</v>
      </c>
      <c r="J208" s="307">
        <v>-40.136054421768698</v>
      </c>
      <c r="K208" s="6">
        <v>1470</v>
      </c>
      <c r="L208" s="5" t="s">
        <v>1199</v>
      </c>
      <c r="M208" s="62" t="s">
        <v>452</v>
      </c>
      <c r="N208" s="62" t="s">
        <v>464</v>
      </c>
      <c r="O208" s="62" t="s">
        <v>1249</v>
      </c>
      <c r="P208" s="100" t="s">
        <v>597</v>
      </c>
      <c r="Q208" s="5" t="s">
        <v>1250</v>
      </c>
      <c r="R208" s="34" t="s">
        <v>1272</v>
      </c>
      <c r="S208" s="5" t="s">
        <v>1252</v>
      </c>
      <c r="T208" s="5" t="s">
        <v>445</v>
      </c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customFormat="1">
      <c r="A209" s="9"/>
      <c r="B209" s="5"/>
      <c r="C209" s="5"/>
      <c r="D209" s="5"/>
      <c r="E209" s="88"/>
      <c r="F209" s="5" t="s">
        <v>295</v>
      </c>
      <c r="G209" s="34" t="s">
        <v>296</v>
      </c>
      <c r="H209" s="34"/>
      <c r="I209" s="306">
        <v>-83200</v>
      </c>
      <c r="J209" s="307">
        <v>-56.598639455782298</v>
      </c>
      <c r="K209" s="6">
        <v>1470</v>
      </c>
      <c r="L209" s="5" t="s">
        <v>1199</v>
      </c>
      <c r="M209" s="62" t="s">
        <v>452</v>
      </c>
      <c r="N209" s="62" t="s">
        <v>464</v>
      </c>
      <c r="O209" s="62" t="s">
        <v>1249</v>
      </c>
      <c r="P209" s="100" t="s">
        <v>597</v>
      </c>
      <c r="Q209" s="5" t="s">
        <v>1250</v>
      </c>
      <c r="R209" s="34" t="s">
        <v>1272</v>
      </c>
      <c r="S209" s="5" t="s">
        <v>1252</v>
      </c>
      <c r="T209" s="5" t="s">
        <v>445</v>
      </c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customFormat="1">
      <c r="A210" s="9"/>
      <c r="B210" s="5"/>
      <c r="C210" s="5"/>
      <c r="D210" s="5"/>
      <c r="E210" s="88"/>
      <c r="F210" s="5" t="s">
        <v>295</v>
      </c>
      <c r="G210" s="34" t="s">
        <v>296</v>
      </c>
      <c r="H210" s="34"/>
      <c r="I210" s="306">
        <v>-42200</v>
      </c>
      <c r="J210" s="307">
        <v>-28.707482993197299</v>
      </c>
      <c r="K210" s="6">
        <v>1470</v>
      </c>
      <c r="L210" s="5" t="s">
        <v>1199</v>
      </c>
      <c r="M210" s="62" t="s">
        <v>452</v>
      </c>
      <c r="N210" s="62" t="s">
        <v>464</v>
      </c>
      <c r="O210" s="62" t="s">
        <v>1249</v>
      </c>
      <c r="P210" s="100" t="s">
        <v>597</v>
      </c>
      <c r="Q210" s="5" t="s">
        <v>1250</v>
      </c>
      <c r="R210" s="34" t="s">
        <v>1273</v>
      </c>
      <c r="S210" s="5" t="s">
        <v>1252</v>
      </c>
      <c r="T210" s="5" t="s">
        <v>445</v>
      </c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customFormat="1">
      <c r="A211" s="9"/>
      <c r="B211" s="5"/>
      <c r="C211" s="5"/>
      <c r="D211" s="5"/>
      <c r="E211" s="88"/>
      <c r="F211" s="5" t="s">
        <v>295</v>
      </c>
      <c r="G211" s="34" t="s">
        <v>296</v>
      </c>
      <c r="H211" s="34"/>
      <c r="I211" s="306">
        <v>-39300</v>
      </c>
      <c r="J211" s="307">
        <v>-26.734693877550999</v>
      </c>
      <c r="K211" s="6">
        <v>1470</v>
      </c>
      <c r="L211" s="5" t="s">
        <v>1199</v>
      </c>
      <c r="M211" s="62" t="s">
        <v>452</v>
      </c>
      <c r="N211" s="62" t="s">
        <v>464</v>
      </c>
      <c r="O211" s="62" t="s">
        <v>1249</v>
      </c>
      <c r="P211" s="100" t="s">
        <v>597</v>
      </c>
      <c r="Q211" s="5" t="s">
        <v>1250</v>
      </c>
      <c r="R211" s="34" t="s">
        <v>1274</v>
      </c>
      <c r="S211" s="5" t="s">
        <v>1252</v>
      </c>
      <c r="T211" s="5" t="s">
        <v>445</v>
      </c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customFormat="1">
      <c r="A212" s="9"/>
      <c r="B212" s="5"/>
      <c r="C212" s="5"/>
      <c r="D212" s="5"/>
      <c r="E212" s="88"/>
      <c r="F212" s="5" t="s">
        <v>295</v>
      </c>
      <c r="G212" s="34" t="s">
        <v>296</v>
      </c>
      <c r="H212" s="34"/>
      <c r="I212" s="306">
        <v>-143604</v>
      </c>
      <c r="J212" s="307">
        <v>-97.689795918367395</v>
      </c>
      <c r="K212" s="6">
        <v>1470</v>
      </c>
      <c r="L212" s="5" t="s">
        <v>1199</v>
      </c>
      <c r="M212" s="62" t="s">
        <v>452</v>
      </c>
      <c r="N212" s="62" t="s">
        <v>464</v>
      </c>
      <c r="O212" s="62" t="s">
        <v>1249</v>
      </c>
      <c r="P212" s="100" t="s">
        <v>597</v>
      </c>
      <c r="Q212" s="5" t="s">
        <v>1250</v>
      </c>
      <c r="R212" s="34" t="s">
        <v>1275</v>
      </c>
      <c r="S212" s="5" t="s">
        <v>1252</v>
      </c>
      <c r="T212" s="5" t="s">
        <v>445</v>
      </c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customFormat="1">
      <c r="A213" s="9"/>
      <c r="B213" s="5"/>
      <c r="C213" s="5"/>
      <c r="D213" s="5"/>
      <c r="E213" s="88"/>
      <c r="F213" s="5" t="s">
        <v>295</v>
      </c>
      <c r="G213" s="34" t="s">
        <v>296</v>
      </c>
      <c r="H213" s="34"/>
      <c r="I213" s="306">
        <v>-263966</v>
      </c>
      <c r="J213" s="307">
        <v>-179.56870748299301</v>
      </c>
      <c r="K213" s="6">
        <v>1470</v>
      </c>
      <c r="L213" s="5" t="s">
        <v>1199</v>
      </c>
      <c r="M213" s="62" t="s">
        <v>452</v>
      </c>
      <c r="N213" s="62" t="s">
        <v>464</v>
      </c>
      <c r="O213" s="62" t="s">
        <v>1249</v>
      </c>
      <c r="P213" s="100" t="s">
        <v>597</v>
      </c>
      <c r="Q213" s="5" t="s">
        <v>1250</v>
      </c>
      <c r="R213" s="34" t="s">
        <v>1275</v>
      </c>
      <c r="S213" s="5" t="s">
        <v>1252</v>
      </c>
      <c r="T213" s="5" t="s">
        <v>445</v>
      </c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customFormat="1">
      <c r="A214" s="9"/>
      <c r="B214" s="5"/>
      <c r="C214" s="5"/>
      <c r="D214" s="5"/>
      <c r="E214" s="88"/>
      <c r="F214" s="5" t="s">
        <v>295</v>
      </c>
      <c r="G214" s="34" t="s">
        <v>296</v>
      </c>
      <c r="H214" s="34"/>
      <c r="I214" s="306">
        <v>-213000</v>
      </c>
      <c r="J214" s="307">
        <v>-144.89795918367301</v>
      </c>
      <c r="K214" s="6">
        <v>1470</v>
      </c>
      <c r="L214" s="5" t="s">
        <v>1199</v>
      </c>
      <c r="M214" s="62" t="s">
        <v>452</v>
      </c>
      <c r="N214" s="62" t="s">
        <v>464</v>
      </c>
      <c r="O214" s="62" t="s">
        <v>1249</v>
      </c>
      <c r="P214" s="100" t="s">
        <v>597</v>
      </c>
      <c r="Q214" s="5" t="s">
        <v>1250</v>
      </c>
      <c r="R214" s="34" t="s">
        <v>759</v>
      </c>
      <c r="S214" s="5" t="s">
        <v>1252</v>
      </c>
      <c r="T214" s="5" t="s">
        <v>445</v>
      </c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customFormat="1">
      <c r="A215" s="9"/>
      <c r="B215" s="5"/>
      <c r="C215" s="5"/>
      <c r="D215" s="5"/>
      <c r="E215" s="88"/>
      <c r="F215" s="5" t="s">
        <v>295</v>
      </c>
      <c r="G215" s="34" t="s">
        <v>296</v>
      </c>
      <c r="H215" s="34"/>
      <c r="I215" s="306">
        <v>-27000</v>
      </c>
      <c r="J215" s="307">
        <v>-18.367346938775501</v>
      </c>
      <c r="K215" s="6">
        <v>1470</v>
      </c>
      <c r="L215" s="5" t="s">
        <v>1199</v>
      </c>
      <c r="M215" s="62" t="s">
        <v>452</v>
      </c>
      <c r="N215" s="62" t="s">
        <v>464</v>
      </c>
      <c r="O215" s="62" t="s">
        <v>1249</v>
      </c>
      <c r="P215" s="100" t="s">
        <v>597</v>
      </c>
      <c r="Q215" s="5" t="s">
        <v>1250</v>
      </c>
      <c r="R215" s="34" t="s">
        <v>1276</v>
      </c>
      <c r="S215" s="5" t="s">
        <v>1252</v>
      </c>
      <c r="T215" s="5" t="s">
        <v>445</v>
      </c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customFormat="1">
      <c r="A216" s="9"/>
      <c r="B216" s="5"/>
      <c r="C216" s="5"/>
      <c r="D216" s="5"/>
      <c r="E216" s="88"/>
      <c r="F216" s="5" t="s">
        <v>295</v>
      </c>
      <c r="G216" s="34" t="s">
        <v>296</v>
      </c>
      <c r="H216" s="34"/>
      <c r="I216" s="306">
        <v>-20000</v>
      </c>
      <c r="J216" s="307">
        <v>-14.084507042253501</v>
      </c>
      <c r="K216" s="6">
        <v>1420</v>
      </c>
      <c r="L216" s="5" t="s">
        <v>1254</v>
      </c>
      <c r="M216" s="62" t="s">
        <v>452</v>
      </c>
      <c r="N216" s="62" t="s">
        <v>464</v>
      </c>
      <c r="O216" s="62" t="s">
        <v>1255</v>
      </c>
      <c r="P216" s="100" t="s">
        <v>597</v>
      </c>
      <c r="Q216" s="5" t="s">
        <v>1256</v>
      </c>
      <c r="R216" s="34" t="s">
        <v>764</v>
      </c>
      <c r="S216" s="5" t="s">
        <v>1258</v>
      </c>
      <c r="T216" s="5" t="s">
        <v>445</v>
      </c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customFormat="1">
      <c r="A217" s="9"/>
      <c r="B217" s="5"/>
      <c r="C217" s="5"/>
      <c r="D217" s="5"/>
      <c r="E217" s="88"/>
      <c r="F217" s="5" t="s">
        <v>295</v>
      </c>
      <c r="G217" s="34" t="s">
        <v>296</v>
      </c>
      <c r="H217" s="34"/>
      <c r="I217" s="306">
        <v>-139000</v>
      </c>
      <c r="J217" s="307">
        <v>-94.557823129251702</v>
      </c>
      <c r="K217" s="6">
        <v>1470</v>
      </c>
      <c r="L217" s="5" t="s">
        <v>1199</v>
      </c>
      <c r="M217" s="62" t="s">
        <v>452</v>
      </c>
      <c r="N217" s="62" t="s">
        <v>464</v>
      </c>
      <c r="O217" s="62" t="s">
        <v>1249</v>
      </c>
      <c r="P217" s="100" t="s">
        <v>597</v>
      </c>
      <c r="Q217" s="5" t="s">
        <v>1250</v>
      </c>
      <c r="R217" s="34" t="s">
        <v>1277</v>
      </c>
      <c r="S217" s="5" t="s">
        <v>1252</v>
      </c>
      <c r="T217" s="5" t="s">
        <v>445</v>
      </c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customFormat="1">
      <c r="A218" s="9"/>
      <c r="B218" s="5"/>
      <c r="C218" s="5"/>
      <c r="D218" s="5"/>
      <c r="E218" s="88"/>
      <c r="F218" s="5" t="s">
        <v>295</v>
      </c>
      <c r="G218" s="34" t="s">
        <v>296</v>
      </c>
      <c r="H218" s="34"/>
      <c r="I218" s="306">
        <v>222500</v>
      </c>
      <c r="J218" s="307">
        <v>156.69014084507</v>
      </c>
      <c r="K218" s="6">
        <v>1420</v>
      </c>
      <c r="L218" s="5" t="s">
        <v>1254</v>
      </c>
      <c r="M218" s="62" t="s">
        <v>452</v>
      </c>
      <c r="N218" s="62" t="s">
        <v>464</v>
      </c>
      <c r="O218" s="62" t="s">
        <v>1278</v>
      </c>
      <c r="P218" s="100" t="s">
        <v>597</v>
      </c>
      <c r="Q218" s="5" t="s">
        <v>1279</v>
      </c>
      <c r="R218" s="34" t="s">
        <v>563</v>
      </c>
      <c r="S218" s="5" t="s">
        <v>1280</v>
      </c>
      <c r="T218" s="5" t="s">
        <v>445</v>
      </c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customFormat="1">
      <c r="A219" s="9"/>
      <c r="B219" s="5"/>
      <c r="C219" s="5"/>
      <c r="D219" s="5"/>
      <c r="E219" s="88"/>
      <c r="F219" s="5" t="s">
        <v>295</v>
      </c>
      <c r="G219" s="34" t="s">
        <v>296</v>
      </c>
      <c r="H219" s="34"/>
      <c r="I219" s="306">
        <v>4100000</v>
      </c>
      <c r="J219" s="307">
        <v>2789.1156462585</v>
      </c>
      <c r="K219" s="6">
        <v>1470</v>
      </c>
      <c r="L219" s="5" t="s">
        <v>1199</v>
      </c>
      <c r="M219" s="62" t="s">
        <v>452</v>
      </c>
      <c r="N219" s="62" t="s">
        <v>464</v>
      </c>
      <c r="O219" s="62" t="s">
        <v>1281</v>
      </c>
      <c r="P219" s="100" t="s">
        <v>597</v>
      </c>
      <c r="Q219" s="5" t="s">
        <v>1282</v>
      </c>
      <c r="R219" s="34" t="s">
        <v>563</v>
      </c>
      <c r="S219" s="5" t="s">
        <v>1283</v>
      </c>
      <c r="T219" s="5" t="s">
        <v>445</v>
      </c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customFormat="1">
      <c r="A220" s="9"/>
      <c r="B220" s="5"/>
      <c r="C220" s="5"/>
      <c r="D220" s="5"/>
      <c r="E220" s="88"/>
      <c r="F220" s="5" t="s">
        <v>295</v>
      </c>
      <c r="G220" s="34" t="s">
        <v>296</v>
      </c>
      <c r="H220" s="34"/>
      <c r="I220" s="306">
        <v>-28000</v>
      </c>
      <c r="J220" s="307">
        <v>-19.7183098591549</v>
      </c>
      <c r="K220" s="6">
        <v>1420</v>
      </c>
      <c r="L220" s="5" t="s">
        <v>1259</v>
      </c>
      <c r="M220" s="62" t="s">
        <v>452</v>
      </c>
      <c r="N220" s="62" t="s">
        <v>464</v>
      </c>
      <c r="O220" s="62" t="s">
        <v>1260</v>
      </c>
      <c r="P220" s="100" t="s">
        <v>597</v>
      </c>
      <c r="Q220" s="5" t="s">
        <v>1261</v>
      </c>
      <c r="R220" s="34" t="s">
        <v>1291</v>
      </c>
      <c r="S220" s="5" t="s">
        <v>1262</v>
      </c>
      <c r="T220" s="5" t="s">
        <v>445</v>
      </c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customFormat="1">
      <c r="A221" s="9"/>
      <c r="B221" s="5"/>
      <c r="C221" s="5"/>
      <c r="D221" s="5"/>
      <c r="E221" s="88"/>
      <c r="F221" s="5" t="s">
        <v>295</v>
      </c>
      <c r="G221" s="34" t="s">
        <v>296</v>
      </c>
      <c r="H221" s="34"/>
      <c r="I221" s="306">
        <v>-100000</v>
      </c>
      <c r="J221" s="307">
        <v>-70.422535211267601</v>
      </c>
      <c r="K221" s="6">
        <v>1420</v>
      </c>
      <c r="L221" s="5" t="s">
        <v>1259</v>
      </c>
      <c r="M221" s="62" t="s">
        <v>452</v>
      </c>
      <c r="N221" s="62" t="s">
        <v>464</v>
      </c>
      <c r="O221" s="62" t="s">
        <v>1260</v>
      </c>
      <c r="P221" s="100" t="s">
        <v>597</v>
      </c>
      <c r="Q221" s="5" t="s">
        <v>1261</v>
      </c>
      <c r="R221" s="34" t="s">
        <v>1292</v>
      </c>
      <c r="S221" s="5" t="s">
        <v>1262</v>
      </c>
      <c r="T221" s="5" t="s">
        <v>445</v>
      </c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customFormat="1">
      <c r="A222" s="9"/>
      <c r="B222" s="5"/>
      <c r="C222" s="5"/>
      <c r="D222" s="5"/>
      <c r="E222" s="88"/>
      <c r="F222" s="5" t="s">
        <v>295</v>
      </c>
      <c r="G222" s="34" t="s">
        <v>296</v>
      </c>
      <c r="H222" s="34"/>
      <c r="I222" s="306">
        <v>-30000</v>
      </c>
      <c r="J222" s="307">
        <v>-20.408163265306101</v>
      </c>
      <c r="K222" s="6">
        <v>1470</v>
      </c>
      <c r="L222" s="5" t="s">
        <v>1199</v>
      </c>
      <c r="M222" s="62" t="s">
        <v>452</v>
      </c>
      <c r="N222" s="62" t="s">
        <v>464</v>
      </c>
      <c r="O222" s="62" t="s">
        <v>1249</v>
      </c>
      <c r="P222" s="100" t="s">
        <v>597</v>
      </c>
      <c r="Q222" s="5" t="s">
        <v>1250</v>
      </c>
      <c r="R222" s="34" t="s">
        <v>491</v>
      </c>
      <c r="S222" s="5" t="s">
        <v>1252</v>
      </c>
      <c r="T222" s="5" t="s">
        <v>445</v>
      </c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customFormat="1">
      <c r="A223" s="9"/>
      <c r="B223" s="5"/>
      <c r="C223" s="5"/>
      <c r="D223" s="5"/>
      <c r="E223" s="88"/>
      <c r="F223" s="5" t="s">
        <v>295</v>
      </c>
      <c r="G223" s="34" t="s">
        <v>296</v>
      </c>
      <c r="H223" s="34"/>
      <c r="I223" s="306">
        <v>-247500</v>
      </c>
      <c r="J223" s="307">
        <v>-174.29577464788699</v>
      </c>
      <c r="K223" s="6">
        <v>1420</v>
      </c>
      <c r="L223" s="5" t="s">
        <v>1259</v>
      </c>
      <c r="M223" s="62" t="s">
        <v>452</v>
      </c>
      <c r="N223" s="62" t="s">
        <v>464</v>
      </c>
      <c r="O223" s="62" t="s">
        <v>1260</v>
      </c>
      <c r="P223" s="100" t="s">
        <v>597</v>
      </c>
      <c r="Q223" s="5" t="s">
        <v>1261</v>
      </c>
      <c r="R223" s="34" t="s">
        <v>1293</v>
      </c>
      <c r="S223" s="5" t="s">
        <v>1262</v>
      </c>
      <c r="T223" s="5" t="s">
        <v>445</v>
      </c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customFormat="1">
      <c r="A224" s="9"/>
      <c r="B224" s="5"/>
      <c r="C224" s="5"/>
      <c r="D224" s="5"/>
      <c r="E224" s="88"/>
      <c r="F224" s="5" t="s">
        <v>295</v>
      </c>
      <c r="G224" s="34" t="s">
        <v>296</v>
      </c>
      <c r="H224" s="34"/>
      <c r="I224" s="306">
        <v>-206200</v>
      </c>
      <c r="J224" s="307">
        <v>-140.27210884353701</v>
      </c>
      <c r="K224" s="6">
        <v>1470</v>
      </c>
      <c r="L224" s="5" t="s">
        <v>1199</v>
      </c>
      <c r="M224" s="62" t="s">
        <v>452</v>
      </c>
      <c r="N224" s="62" t="s">
        <v>464</v>
      </c>
      <c r="O224" s="62" t="s">
        <v>1249</v>
      </c>
      <c r="P224" s="100" t="s">
        <v>597</v>
      </c>
      <c r="Q224" s="5" t="s">
        <v>1250</v>
      </c>
      <c r="R224" s="34" t="s">
        <v>1294</v>
      </c>
      <c r="S224" s="5" t="s">
        <v>1252</v>
      </c>
      <c r="T224" s="5" t="s">
        <v>445</v>
      </c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customFormat="1">
      <c r="A225" s="9"/>
      <c r="B225" s="5"/>
      <c r="C225" s="5"/>
      <c r="D225" s="5"/>
      <c r="E225" s="88"/>
      <c r="F225" s="5" t="s">
        <v>295</v>
      </c>
      <c r="G225" s="34" t="s">
        <v>296</v>
      </c>
      <c r="H225" s="34"/>
      <c r="I225" s="306">
        <v>-176632</v>
      </c>
      <c r="J225" s="307">
        <v>-124.388732394366</v>
      </c>
      <c r="K225" s="6">
        <v>1420</v>
      </c>
      <c r="L225" s="5" t="s">
        <v>1259</v>
      </c>
      <c r="M225" s="62" t="s">
        <v>452</v>
      </c>
      <c r="N225" s="62" t="s">
        <v>464</v>
      </c>
      <c r="O225" s="62" t="s">
        <v>1260</v>
      </c>
      <c r="P225" s="100" t="s">
        <v>597</v>
      </c>
      <c r="Q225" s="5" t="s">
        <v>1261</v>
      </c>
      <c r="R225" s="34" t="s">
        <v>651</v>
      </c>
      <c r="S225" s="5" t="s">
        <v>1262</v>
      </c>
      <c r="T225" s="5" t="s">
        <v>445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customFormat="1">
      <c r="A226" s="9"/>
      <c r="B226" s="5"/>
      <c r="C226" s="5"/>
      <c r="D226" s="5"/>
      <c r="E226" s="88"/>
      <c r="F226" s="5" t="s">
        <v>295</v>
      </c>
      <c r="G226" s="34" t="s">
        <v>296</v>
      </c>
      <c r="H226" s="34"/>
      <c r="I226" s="306">
        <v>-162208</v>
      </c>
      <c r="J226" s="307">
        <v>-114.23098591549299</v>
      </c>
      <c r="K226" s="6">
        <v>1420</v>
      </c>
      <c r="L226" s="5" t="s">
        <v>1259</v>
      </c>
      <c r="M226" s="62" t="s">
        <v>452</v>
      </c>
      <c r="N226" s="62" t="s">
        <v>464</v>
      </c>
      <c r="O226" s="62" t="s">
        <v>1260</v>
      </c>
      <c r="P226" s="100" t="s">
        <v>597</v>
      </c>
      <c r="Q226" s="5" t="s">
        <v>1261</v>
      </c>
      <c r="R226" s="34" t="s">
        <v>651</v>
      </c>
      <c r="S226" s="5" t="s">
        <v>1262</v>
      </c>
      <c r="T226" s="5" t="s">
        <v>445</v>
      </c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customFormat="1">
      <c r="A227" s="9"/>
      <c r="B227" s="5"/>
      <c r="C227" s="5"/>
      <c r="D227" s="5"/>
      <c r="E227" s="88"/>
      <c r="F227" s="5" t="s">
        <v>295</v>
      </c>
      <c r="G227" s="34" t="s">
        <v>296</v>
      </c>
      <c r="H227" s="34"/>
      <c r="I227" s="306">
        <v>-192200</v>
      </c>
      <c r="J227" s="307">
        <v>-135.35211267605601</v>
      </c>
      <c r="K227" s="6">
        <v>1420</v>
      </c>
      <c r="L227" s="5" t="s">
        <v>1259</v>
      </c>
      <c r="M227" s="62" t="s">
        <v>452</v>
      </c>
      <c r="N227" s="62" t="s">
        <v>464</v>
      </c>
      <c r="O227" s="62" t="s">
        <v>1260</v>
      </c>
      <c r="P227" s="100" t="s">
        <v>597</v>
      </c>
      <c r="Q227" s="5" t="s">
        <v>1261</v>
      </c>
      <c r="R227" s="34" t="s">
        <v>651</v>
      </c>
      <c r="S227" s="5" t="s">
        <v>1262</v>
      </c>
      <c r="T227" s="5" t="s">
        <v>445</v>
      </c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customFormat="1">
      <c r="A228" s="9"/>
      <c r="B228" s="5"/>
      <c r="C228" s="5"/>
      <c r="D228" s="5"/>
      <c r="E228" s="88"/>
      <c r="F228" s="5" t="s">
        <v>295</v>
      </c>
      <c r="G228" s="34" t="s">
        <v>296</v>
      </c>
      <c r="H228" s="34"/>
      <c r="I228" s="306">
        <v>-189240</v>
      </c>
      <c r="J228" s="307">
        <v>-133.26760563380299</v>
      </c>
      <c r="K228" s="6">
        <v>1420</v>
      </c>
      <c r="L228" s="5" t="s">
        <v>1259</v>
      </c>
      <c r="M228" s="62" t="s">
        <v>452</v>
      </c>
      <c r="N228" s="62" t="s">
        <v>464</v>
      </c>
      <c r="O228" s="62" t="s">
        <v>1260</v>
      </c>
      <c r="P228" s="100" t="s">
        <v>597</v>
      </c>
      <c r="Q228" s="5" t="s">
        <v>1261</v>
      </c>
      <c r="R228" s="34" t="s">
        <v>651</v>
      </c>
      <c r="S228" s="5" t="s">
        <v>1262</v>
      </c>
      <c r="T228" s="5" t="s">
        <v>445</v>
      </c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customFormat="1">
      <c r="A229" s="9"/>
      <c r="B229" s="5"/>
      <c r="C229" s="5"/>
      <c r="D229" s="5"/>
      <c r="E229" s="88"/>
      <c r="F229" s="5" t="s">
        <v>295</v>
      </c>
      <c r="G229" s="34" t="s">
        <v>296</v>
      </c>
      <c r="H229" s="34"/>
      <c r="I229" s="306">
        <v>-337000</v>
      </c>
      <c r="J229" s="307">
        <v>-237.32394366197201</v>
      </c>
      <c r="K229" s="6">
        <v>1420</v>
      </c>
      <c r="L229" s="5" t="s">
        <v>1254</v>
      </c>
      <c r="M229" s="62" t="s">
        <v>452</v>
      </c>
      <c r="N229" s="62" t="s">
        <v>464</v>
      </c>
      <c r="O229" s="62" t="s">
        <v>1255</v>
      </c>
      <c r="P229" s="100" t="s">
        <v>597</v>
      </c>
      <c r="Q229" s="5" t="s">
        <v>1256</v>
      </c>
      <c r="R229" s="34" t="s">
        <v>651</v>
      </c>
      <c r="S229" s="5" t="s">
        <v>1258</v>
      </c>
      <c r="T229" s="5" t="s">
        <v>445</v>
      </c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customFormat="1">
      <c r="A230" s="9"/>
      <c r="B230" s="5"/>
      <c r="C230" s="5"/>
      <c r="D230" s="5"/>
      <c r="E230" s="88"/>
      <c r="F230" s="5" t="s">
        <v>295</v>
      </c>
      <c r="G230" s="34" t="s">
        <v>296</v>
      </c>
      <c r="H230" s="34"/>
      <c r="I230" s="306">
        <v>-117186</v>
      </c>
      <c r="J230" s="307">
        <v>-82.525352112676103</v>
      </c>
      <c r="K230" s="6">
        <v>1420</v>
      </c>
      <c r="L230" s="5" t="s">
        <v>1254</v>
      </c>
      <c r="M230" s="62" t="s">
        <v>452</v>
      </c>
      <c r="N230" s="62" t="s">
        <v>464</v>
      </c>
      <c r="O230" s="62" t="s">
        <v>1255</v>
      </c>
      <c r="P230" s="100" t="s">
        <v>597</v>
      </c>
      <c r="Q230" s="5" t="s">
        <v>1256</v>
      </c>
      <c r="R230" s="34" t="s">
        <v>651</v>
      </c>
      <c r="S230" s="5" t="s">
        <v>1258</v>
      </c>
      <c r="T230" s="5" t="s">
        <v>445</v>
      </c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customFormat="1">
      <c r="A231" s="9"/>
      <c r="B231" s="5"/>
      <c r="C231" s="5"/>
      <c r="D231" s="5"/>
      <c r="E231" s="88"/>
      <c r="F231" s="5" t="s">
        <v>295</v>
      </c>
      <c r="G231" s="34" t="s">
        <v>296</v>
      </c>
      <c r="H231" s="34"/>
      <c r="I231" s="306">
        <v>-218320</v>
      </c>
      <c r="J231" s="307">
        <v>-148.517006802721</v>
      </c>
      <c r="K231" s="6">
        <v>1470</v>
      </c>
      <c r="L231" s="5" t="s">
        <v>1199</v>
      </c>
      <c r="M231" s="62" t="s">
        <v>452</v>
      </c>
      <c r="N231" s="62" t="s">
        <v>464</v>
      </c>
      <c r="O231" s="62" t="s">
        <v>1249</v>
      </c>
      <c r="P231" s="100" t="s">
        <v>597</v>
      </c>
      <c r="Q231" s="5" t="s">
        <v>1250</v>
      </c>
      <c r="R231" s="34" t="s">
        <v>651</v>
      </c>
      <c r="S231" s="5" t="s">
        <v>1252</v>
      </c>
      <c r="T231" s="5" t="s">
        <v>445</v>
      </c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customFormat="1">
      <c r="A232" s="9"/>
      <c r="B232" s="5"/>
      <c r="C232" s="5"/>
      <c r="D232" s="5"/>
      <c r="E232" s="88"/>
      <c r="F232" s="5" t="s">
        <v>295</v>
      </c>
      <c r="G232" s="34" t="s">
        <v>296</v>
      </c>
      <c r="H232" s="34"/>
      <c r="I232" s="306">
        <v>-205500</v>
      </c>
      <c r="J232" s="307">
        <v>-139.79591836734701</v>
      </c>
      <c r="K232" s="6">
        <v>1470</v>
      </c>
      <c r="L232" s="5" t="s">
        <v>1199</v>
      </c>
      <c r="M232" s="62" t="s">
        <v>452</v>
      </c>
      <c r="N232" s="62" t="s">
        <v>464</v>
      </c>
      <c r="O232" s="62" t="s">
        <v>1249</v>
      </c>
      <c r="P232" s="100" t="s">
        <v>597</v>
      </c>
      <c r="Q232" s="5" t="s">
        <v>1250</v>
      </c>
      <c r="R232" s="34" t="s">
        <v>651</v>
      </c>
      <c r="S232" s="5" t="s">
        <v>1252</v>
      </c>
      <c r="T232" s="5" t="s">
        <v>445</v>
      </c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customFormat="1">
      <c r="A233" s="9"/>
      <c r="B233" s="5"/>
      <c r="C233" s="5"/>
      <c r="D233" s="5"/>
      <c r="E233" s="88"/>
      <c r="F233" s="5" t="s">
        <v>295</v>
      </c>
      <c r="G233" s="34" t="s">
        <v>296</v>
      </c>
      <c r="H233" s="34"/>
      <c r="I233" s="306">
        <v>-70000</v>
      </c>
      <c r="J233" s="307">
        <v>-49.295774647887299</v>
      </c>
      <c r="K233" s="6">
        <v>1420</v>
      </c>
      <c r="L233" s="5" t="s">
        <v>1254</v>
      </c>
      <c r="M233" s="62" t="s">
        <v>452</v>
      </c>
      <c r="N233" s="62" t="s">
        <v>464</v>
      </c>
      <c r="O233" s="62" t="s">
        <v>1255</v>
      </c>
      <c r="P233" s="100" t="s">
        <v>597</v>
      </c>
      <c r="Q233" s="5" t="s">
        <v>1256</v>
      </c>
      <c r="R233" s="34" t="s">
        <v>1295</v>
      </c>
      <c r="S233" s="5" t="s">
        <v>1258</v>
      </c>
      <c r="T233" s="5" t="s">
        <v>445</v>
      </c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customFormat="1">
      <c r="A234" s="9"/>
      <c r="B234" s="5"/>
      <c r="C234" s="5"/>
      <c r="D234" s="5"/>
      <c r="E234" s="88"/>
      <c r="F234" s="5" t="s">
        <v>295</v>
      </c>
      <c r="G234" s="34" t="s">
        <v>296</v>
      </c>
      <c r="H234" s="34"/>
      <c r="I234" s="306">
        <v>-80000</v>
      </c>
      <c r="J234" s="307">
        <v>-54.421768707482997</v>
      </c>
      <c r="K234" s="6">
        <v>1470</v>
      </c>
      <c r="L234" s="5" t="s">
        <v>1199</v>
      </c>
      <c r="M234" s="62" t="s">
        <v>452</v>
      </c>
      <c r="N234" s="62" t="s">
        <v>464</v>
      </c>
      <c r="O234" s="62" t="s">
        <v>1249</v>
      </c>
      <c r="P234" s="100" t="s">
        <v>597</v>
      </c>
      <c r="Q234" s="5" t="s">
        <v>1250</v>
      </c>
      <c r="R234" s="34" t="s">
        <v>1300</v>
      </c>
      <c r="S234" s="5" t="s">
        <v>1252</v>
      </c>
      <c r="T234" s="5" t="s">
        <v>445</v>
      </c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customFormat="1">
      <c r="A235" s="9"/>
      <c r="B235" s="5"/>
      <c r="C235" s="5"/>
      <c r="D235" s="5"/>
      <c r="E235" s="88"/>
      <c r="F235" s="5" t="s">
        <v>295</v>
      </c>
      <c r="G235" s="34" t="s">
        <v>296</v>
      </c>
      <c r="H235" s="34"/>
      <c r="I235" s="306">
        <v>-100000</v>
      </c>
      <c r="J235" s="307">
        <v>-68.027210884353707</v>
      </c>
      <c r="K235" s="6">
        <v>1470</v>
      </c>
      <c r="L235" s="5" t="s">
        <v>1199</v>
      </c>
      <c r="M235" s="62" t="s">
        <v>452</v>
      </c>
      <c r="N235" s="62" t="s">
        <v>464</v>
      </c>
      <c r="O235" s="62" t="s">
        <v>1249</v>
      </c>
      <c r="P235" s="100" t="s">
        <v>597</v>
      </c>
      <c r="Q235" s="5" t="s">
        <v>1250</v>
      </c>
      <c r="R235" s="34" t="s">
        <v>1301</v>
      </c>
      <c r="S235" s="5" t="s">
        <v>1252</v>
      </c>
      <c r="T235" s="5" t="s">
        <v>445</v>
      </c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customFormat="1">
      <c r="A236" s="9"/>
      <c r="B236" s="5"/>
      <c r="C236" s="5"/>
      <c r="D236" s="5"/>
      <c r="E236" s="88"/>
      <c r="F236" s="5" t="s">
        <v>295</v>
      </c>
      <c r="G236" s="34" t="s">
        <v>296</v>
      </c>
      <c r="H236" s="34"/>
      <c r="I236" s="306">
        <v>-80000</v>
      </c>
      <c r="J236" s="307">
        <v>-56.338028169014102</v>
      </c>
      <c r="K236" s="6">
        <v>1420</v>
      </c>
      <c r="L236" s="5" t="s">
        <v>1259</v>
      </c>
      <c r="M236" s="62" t="s">
        <v>452</v>
      </c>
      <c r="N236" s="62" t="s">
        <v>464</v>
      </c>
      <c r="O236" s="62" t="s">
        <v>1260</v>
      </c>
      <c r="P236" s="100" t="s">
        <v>597</v>
      </c>
      <c r="Q236" s="5" t="s">
        <v>1261</v>
      </c>
      <c r="R236" s="34" t="s">
        <v>1306</v>
      </c>
      <c r="S236" s="5" t="s">
        <v>1262</v>
      </c>
      <c r="T236" s="5" t="s">
        <v>445</v>
      </c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customFormat="1">
      <c r="A237" s="9"/>
      <c r="B237" s="5"/>
      <c r="C237" s="5"/>
      <c r="D237" s="5"/>
      <c r="E237" s="88"/>
      <c r="F237" s="5" t="s">
        <v>295</v>
      </c>
      <c r="G237" s="34" t="s">
        <v>296</v>
      </c>
      <c r="H237" s="34"/>
      <c r="I237" s="306">
        <v>-3000</v>
      </c>
      <c r="J237" s="307">
        <v>-2.1126760563380298</v>
      </c>
      <c r="K237" s="6">
        <v>1420</v>
      </c>
      <c r="L237" s="5" t="s">
        <v>1254</v>
      </c>
      <c r="M237" s="62" t="s">
        <v>452</v>
      </c>
      <c r="N237" s="62" t="s">
        <v>464</v>
      </c>
      <c r="O237" s="62" t="s">
        <v>1255</v>
      </c>
      <c r="P237" s="100" t="s">
        <v>597</v>
      </c>
      <c r="Q237" s="5" t="s">
        <v>1256</v>
      </c>
      <c r="R237" s="34" t="s">
        <v>1307</v>
      </c>
      <c r="S237" s="5" t="s">
        <v>1258</v>
      </c>
      <c r="T237" s="5" t="s">
        <v>445</v>
      </c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customFormat="1">
      <c r="A238" s="9"/>
      <c r="B238" s="5"/>
      <c r="C238" s="5"/>
      <c r="D238" s="5"/>
      <c r="E238" s="88"/>
      <c r="F238" s="5" t="s">
        <v>295</v>
      </c>
      <c r="G238" s="34" t="s">
        <v>296</v>
      </c>
      <c r="H238" s="34"/>
      <c r="I238" s="306">
        <v>-8000</v>
      </c>
      <c r="J238" s="307">
        <v>-5.4421768707483</v>
      </c>
      <c r="K238" s="6">
        <v>1470</v>
      </c>
      <c r="L238" s="5" t="s">
        <v>1199</v>
      </c>
      <c r="M238" s="62" t="s">
        <v>452</v>
      </c>
      <c r="N238" s="62" t="s">
        <v>464</v>
      </c>
      <c r="O238" s="62" t="s">
        <v>1249</v>
      </c>
      <c r="P238" s="100" t="s">
        <v>597</v>
      </c>
      <c r="Q238" s="5" t="s">
        <v>1250</v>
      </c>
      <c r="R238" s="34" t="s">
        <v>1308</v>
      </c>
      <c r="S238" s="5" t="s">
        <v>1252</v>
      </c>
      <c r="T238" s="5" t="s">
        <v>445</v>
      </c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customFormat="1">
      <c r="A239" s="9"/>
      <c r="B239" s="5"/>
      <c r="C239" s="5"/>
      <c r="D239" s="5"/>
      <c r="E239" s="88"/>
      <c r="F239" s="5" t="s">
        <v>295</v>
      </c>
      <c r="G239" s="34" t="s">
        <v>296</v>
      </c>
      <c r="H239" s="34"/>
      <c r="I239" s="306">
        <v>-7200</v>
      </c>
      <c r="J239" s="307">
        <v>-5.0704225352112697</v>
      </c>
      <c r="K239" s="6">
        <v>1420</v>
      </c>
      <c r="L239" s="5" t="s">
        <v>1254</v>
      </c>
      <c r="M239" s="62" t="s">
        <v>452</v>
      </c>
      <c r="N239" s="62" t="s">
        <v>464</v>
      </c>
      <c r="O239" s="62" t="s">
        <v>1255</v>
      </c>
      <c r="P239" s="100" t="s">
        <v>597</v>
      </c>
      <c r="Q239" s="5" t="s">
        <v>1256</v>
      </c>
      <c r="R239" s="34" t="s">
        <v>1309</v>
      </c>
      <c r="S239" s="5" t="s">
        <v>1258</v>
      </c>
      <c r="T239" s="5" t="s">
        <v>445</v>
      </c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customFormat="1">
      <c r="A240" s="9"/>
      <c r="B240" s="5"/>
      <c r="C240" s="5"/>
      <c r="D240" s="5"/>
      <c r="E240" s="88"/>
      <c r="F240" s="5" t="s">
        <v>295</v>
      </c>
      <c r="G240" s="34" t="s">
        <v>296</v>
      </c>
      <c r="H240" s="34"/>
      <c r="I240" s="306">
        <v>-131400</v>
      </c>
      <c r="J240" s="307">
        <v>-89.387755102040799</v>
      </c>
      <c r="K240" s="6">
        <v>1470</v>
      </c>
      <c r="L240" s="5" t="s">
        <v>1199</v>
      </c>
      <c r="M240" s="62" t="s">
        <v>452</v>
      </c>
      <c r="N240" s="62" t="s">
        <v>464</v>
      </c>
      <c r="O240" s="62" t="s">
        <v>1249</v>
      </c>
      <c r="P240" s="100" t="s">
        <v>597</v>
      </c>
      <c r="Q240" s="5" t="s">
        <v>1250</v>
      </c>
      <c r="R240" s="34" t="s">
        <v>1310</v>
      </c>
      <c r="S240" s="5" t="s">
        <v>1252</v>
      </c>
      <c r="T240" s="5" t="s">
        <v>445</v>
      </c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customFormat="1">
      <c r="A241" s="9"/>
      <c r="B241" s="5"/>
      <c r="C241" s="5"/>
      <c r="D241" s="5"/>
      <c r="E241" s="88"/>
      <c r="F241" s="5" t="s">
        <v>295</v>
      </c>
      <c r="G241" s="34" t="s">
        <v>296</v>
      </c>
      <c r="H241" s="34"/>
      <c r="I241" s="306">
        <v>-40000</v>
      </c>
      <c r="J241" s="307">
        <v>-28.169014084507001</v>
      </c>
      <c r="K241" s="6">
        <v>1420</v>
      </c>
      <c r="L241" s="5" t="s">
        <v>1259</v>
      </c>
      <c r="M241" s="62" t="s">
        <v>452</v>
      </c>
      <c r="N241" s="62" t="s">
        <v>464</v>
      </c>
      <c r="O241" s="62" t="s">
        <v>1260</v>
      </c>
      <c r="P241" s="100" t="s">
        <v>597</v>
      </c>
      <c r="Q241" s="5" t="s">
        <v>1261</v>
      </c>
      <c r="R241" s="34" t="s">
        <v>1311</v>
      </c>
      <c r="S241" s="5" t="s">
        <v>1262</v>
      </c>
      <c r="T241" s="5" t="s">
        <v>445</v>
      </c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customFormat="1">
      <c r="A242" s="9"/>
      <c r="B242" s="5"/>
      <c r="C242" s="5"/>
      <c r="D242" s="5"/>
      <c r="E242" s="88"/>
      <c r="F242" s="5" t="s">
        <v>295</v>
      </c>
      <c r="G242" s="34" t="s">
        <v>296</v>
      </c>
      <c r="H242" s="34"/>
      <c r="I242" s="306">
        <v>-20000</v>
      </c>
      <c r="J242" s="307">
        <v>-14.084507042253501</v>
      </c>
      <c r="K242" s="6">
        <v>1420</v>
      </c>
      <c r="L242" s="5" t="s">
        <v>1259</v>
      </c>
      <c r="M242" s="62" t="s">
        <v>452</v>
      </c>
      <c r="N242" s="62" t="s">
        <v>464</v>
      </c>
      <c r="O242" s="62" t="s">
        <v>1260</v>
      </c>
      <c r="P242" s="100" t="s">
        <v>597</v>
      </c>
      <c r="Q242" s="5" t="s">
        <v>1261</v>
      </c>
      <c r="R242" s="34" t="s">
        <v>1317</v>
      </c>
      <c r="S242" s="5" t="s">
        <v>1262</v>
      </c>
      <c r="T242" s="5" t="s">
        <v>445</v>
      </c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customFormat="1">
      <c r="A243" s="9"/>
      <c r="B243" s="5"/>
      <c r="C243" s="5"/>
      <c r="D243" s="5"/>
      <c r="E243" s="88"/>
      <c r="F243" s="5" t="s">
        <v>295</v>
      </c>
      <c r="G243" s="34" t="s">
        <v>296</v>
      </c>
      <c r="H243" s="34"/>
      <c r="I243" s="306">
        <v>-20000</v>
      </c>
      <c r="J243" s="307">
        <v>-13.605442176870699</v>
      </c>
      <c r="K243" s="6">
        <v>1470</v>
      </c>
      <c r="L243" s="5" t="s">
        <v>1199</v>
      </c>
      <c r="M243" s="62" t="s">
        <v>452</v>
      </c>
      <c r="N243" s="62" t="s">
        <v>464</v>
      </c>
      <c r="O243" s="62" t="s">
        <v>1249</v>
      </c>
      <c r="P243" s="100" t="s">
        <v>597</v>
      </c>
      <c r="Q243" s="5" t="s">
        <v>1250</v>
      </c>
      <c r="R243" s="34" t="s">
        <v>1318</v>
      </c>
      <c r="S243" s="5" t="s">
        <v>1252</v>
      </c>
      <c r="T243" s="5" t="s">
        <v>445</v>
      </c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customFormat="1">
      <c r="A244" s="9"/>
      <c r="B244" s="5"/>
      <c r="C244" s="5"/>
      <c r="D244" s="5"/>
      <c r="E244" s="88"/>
      <c r="F244" s="5" t="s">
        <v>295</v>
      </c>
      <c r="G244" s="34" t="s">
        <v>296</v>
      </c>
      <c r="H244" s="34"/>
      <c r="I244" s="306">
        <v>-106000</v>
      </c>
      <c r="J244" s="307">
        <v>-72.108843537414998</v>
      </c>
      <c r="K244" s="6">
        <v>1470</v>
      </c>
      <c r="L244" s="5" t="s">
        <v>1199</v>
      </c>
      <c r="M244" s="62" t="s">
        <v>452</v>
      </c>
      <c r="N244" s="62" t="s">
        <v>464</v>
      </c>
      <c r="O244" s="62" t="s">
        <v>1249</v>
      </c>
      <c r="P244" s="100" t="s">
        <v>597</v>
      </c>
      <c r="Q244" s="5" t="s">
        <v>1250</v>
      </c>
      <c r="R244" s="34" t="s">
        <v>1319</v>
      </c>
      <c r="S244" s="5" t="s">
        <v>1252</v>
      </c>
      <c r="T244" s="5" t="s">
        <v>445</v>
      </c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customFormat="1">
      <c r="A245" s="9"/>
      <c r="B245" s="5"/>
      <c r="C245" s="5"/>
      <c r="D245" s="5"/>
      <c r="E245" s="88"/>
      <c r="F245" s="5" t="s">
        <v>295</v>
      </c>
      <c r="G245" s="34" t="s">
        <v>296</v>
      </c>
      <c r="H245" s="34"/>
      <c r="I245" s="306">
        <v>-40000</v>
      </c>
      <c r="J245" s="307">
        <v>-27.210884353741498</v>
      </c>
      <c r="K245" s="6">
        <v>1470</v>
      </c>
      <c r="L245" s="5" t="s">
        <v>1199</v>
      </c>
      <c r="M245" s="62" t="s">
        <v>452</v>
      </c>
      <c r="N245" s="62" t="s">
        <v>464</v>
      </c>
      <c r="O245" s="62" t="s">
        <v>1249</v>
      </c>
      <c r="P245" s="100" t="s">
        <v>597</v>
      </c>
      <c r="Q245" s="5" t="s">
        <v>1250</v>
      </c>
      <c r="R245" s="34" t="s">
        <v>1320</v>
      </c>
      <c r="S245" s="5" t="s">
        <v>1252</v>
      </c>
      <c r="T245" s="5" t="s">
        <v>445</v>
      </c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customFormat="1">
      <c r="A246" s="9"/>
      <c r="B246" s="5"/>
      <c r="C246" s="5"/>
      <c r="D246" s="5"/>
      <c r="E246" s="88"/>
      <c r="F246" s="5" t="s">
        <v>295</v>
      </c>
      <c r="G246" s="34" t="s">
        <v>296</v>
      </c>
      <c r="H246" s="34"/>
      <c r="I246" s="306">
        <v>-30000</v>
      </c>
      <c r="J246" s="307">
        <v>-21.126760563380302</v>
      </c>
      <c r="K246" s="6">
        <v>1420</v>
      </c>
      <c r="L246" s="5" t="s">
        <v>1254</v>
      </c>
      <c r="M246" s="62" t="s">
        <v>452</v>
      </c>
      <c r="N246" s="62" t="s">
        <v>464</v>
      </c>
      <c r="O246" s="62" t="s">
        <v>1255</v>
      </c>
      <c r="P246" s="100" t="s">
        <v>597</v>
      </c>
      <c r="Q246" s="5" t="s">
        <v>1256</v>
      </c>
      <c r="R246" s="34" t="s">
        <v>1321</v>
      </c>
      <c r="S246" s="5" t="s">
        <v>1258</v>
      </c>
      <c r="T246" s="5" t="s">
        <v>445</v>
      </c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customFormat="1">
      <c r="A247" s="9"/>
      <c r="B247" s="5"/>
      <c r="C247" s="5"/>
      <c r="D247" s="5"/>
      <c r="E247" s="88"/>
      <c r="F247" s="5" t="s">
        <v>295</v>
      </c>
      <c r="G247" s="34" t="s">
        <v>296</v>
      </c>
      <c r="H247" s="34"/>
      <c r="I247" s="306">
        <v>-16100</v>
      </c>
      <c r="J247" s="307">
        <v>-11.3380281690141</v>
      </c>
      <c r="K247" s="6">
        <v>1420</v>
      </c>
      <c r="L247" s="5" t="s">
        <v>1254</v>
      </c>
      <c r="M247" s="62" t="s">
        <v>452</v>
      </c>
      <c r="N247" s="62" t="s">
        <v>464</v>
      </c>
      <c r="O247" s="62" t="s">
        <v>1255</v>
      </c>
      <c r="P247" s="100" t="s">
        <v>597</v>
      </c>
      <c r="Q247" s="5" t="s">
        <v>1256</v>
      </c>
      <c r="R247" s="34" t="s">
        <v>1327</v>
      </c>
      <c r="S247" s="5" t="s">
        <v>1258</v>
      </c>
      <c r="T247" s="5" t="s">
        <v>445</v>
      </c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customFormat="1">
      <c r="A248" s="9"/>
      <c r="B248" s="5"/>
      <c r="C248" s="5"/>
      <c r="D248" s="5"/>
      <c r="E248" s="88"/>
      <c r="F248" s="5" t="s">
        <v>295</v>
      </c>
      <c r="G248" s="34" t="s">
        <v>296</v>
      </c>
      <c r="H248" s="34"/>
      <c r="I248" s="306">
        <v>-900</v>
      </c>
      <c r="J248" s="307">
        <v>-0.61224489795918402</v>
      </c>
      <c r="K248" s="6">
        <v>1470</v>
      </c>
      <c r="L248" s="5" t="s">
        <v>1199</v>
      </c>
      <c r="M248" s="62" t="s">
        <v>452</v>
      </c>
      <c r="N248" s="62" t="s">
        <v>464</v>
      </c>
      <c r="O248" s="62" t="s">
        <v>1249</v>
      </c>
      <c r="P248" s="100" t="s">
        <v>597</v>
      </c>
      <c r="Q248" s="5" t="s">
        <v>1250</v>
      </c>
      <c r="R248" s="34" t="s">
        <v>660</v>
      </c>
      <c r="S248" s="5" t="s">
        <v>1252</v>
      </c>
      <c r="T248" s="5" t="s">
        <v>445</v>
      </c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customFormat="1">
      <c r="A249" s="9"/>
      <c r="B249" s="5"/>
      <c r="C249" s="5"/>
      <c r="D249" s="5"/>
      <c r="E249" s="88"/>
      <c r="F249" s="5" t="s">
        <v>295</v>
      </c>
      <c r="G249" s="34" t="s">
        <v>296</v>
      </c>
      <c r="H249" s="34"/>
      <c r="I249" s="306">
        <v>-48180</v>
      </c>
      <c r="J249" s="307">
        <v>-33.9295774647887</v>
      </c>
      <c r="K249" s="6">
        <v>1420</v>
      </c>
      <c r="L249" s="5" t="s">
        <v>1259</v>
      </c>
      <c r="M249" s="62" t="s">
        <v>452</v>
      </c>
      <c r="N249" s="62" t="s">
        <v>464</v>
      </c>
      <c r="O249" s="62" t="s">
        <v>1260</v>
      </c>
      <c r="P249" s="100" t="s">
        <v>597</v>
      </c>
      <c r="Q249" s="5" t="s">
        <v>1261</v>
      </c>
      <c r="R249" s="34" t="s">
        <v>1328</v>
      </c>
      <c r="S249" s="5" t="s">
        <v>1262</v>
      </c>
      <c r="T249" s="5" t="s">
        <v>445</v>
      </c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customFormat="1">
      <c r="A250" s="9"/>
      <c r="B250" s="5"/>
      <c r="C250" s="5"/>
      <c r="D250" s="5"/>
      <c r="E250" s="88"/>
      <c r="F250" s="5" t="s">
        <v>295</v>
      </c>
      <c r="G250" s="34" t="s">
        <v>296</v>
      </c>
      <c r="H250" s="34"/>
      <c r="I250" s="306">
        <v>-6000</v>
      </c>
      <c r="J250" s="307">
        <v>-4.2253521126760596</v>
      </c>
      <c r="K250" s="6">
        <v>1420</v>
      </c>
      <c r="L250" s="5" t="s">
        <v>1254</v>
      </c>
      <c r="M250" s="62" t="s">
        <v>452</v>
      </c>
      <c r="N250" s="62" t="s">
        <v>464</v>
      </c>
      <c r="O250" s="62" t="s">
        <v>1255</v>
      </c>
      <c r="P250" s="100" t="s">
        <v>597</v>
      </c>
      <c r="Q250" s="5" t="s">
        <v>1256</v>
      </c>
      <c r="R250" s="34" t="s">
        <v>1329</v>
      </c>
      <c r="S250" s="5" t="s">
        <v>1258</v>
      </c>
      <c r="T250" s="5" t="s">
        <v>445</v>
      </c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customFormat="1">
      <c r="A251" s="9"/>
      <c r="B251" s="5"/>
      <c r="C251" s="5"/>
      <c r="D251" s="5"/>
      <c r="E251" s="88"/>
      <c r="F251" s="5" t="s">
        <v>295</v>
      </c>
      <c r="G251" s="34" t="s">
        <v>296</v>
      </c>
      <c r="H251" s="34"/>
      <c r="I251" s="306">
        <v>-79615</v>
      </c>
      <c r="J251" s="307">
        <v>-56.066901408450697</v>
      </c>
      <c r="K251" s="6">
        <v>1420</v>
      </c>
      <c r="L251" s="5" t="s">
        <v>1254</v>
      </c>
      <c r="M251" s="62" t="s">
        <v>452</v>
      </c>
      <c r="N251" s="62" t="s">
        <v>464</v>
      </c>
      <c r="O251" s="62" t="s">
        <v>1255</v>
      </c>
      <c r="P251" s="100" t="s">
        <v>597</v>
      </c>
      <c r="Q251" s="5" t="s">
        <v>1256</v>
      </c>
      <c r="R251" s="34" t="s">
        <v>1330</v>
      </c>
      <c r="S251" s="5" t="s">
        <v>1258</v>
      </c>
      <c r="T251" s="5" t="s">
        <v>445</v>
      </c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customFormat="1">
      <c r="A252" s="9"/>
      <c r="B252" s="5"/>
      <c r="C252" s="5"/>
      <c r="D252" s="5"/>
      <c r="E252" s="88"/>
      <c r="F252" s="5" t="s">
        <v>295</v>
      </c>
      <c r="G252" s="34" t="s">
        <v>296</v>
      </c>
      <c r="H252" s="34"/>
      <c r="I252" s="306">
        <v>-104000</v>
      </c>
      <c r="J252" s="307">
        <v>-73.239436619718305</v>
      </c>
      <c r="K252" s="6">
        <v>1420</v>
      </c>
      <c r="L252" s="5" t="s">
        <v>1259</v>
      </c>
      <c r="M252" s="62" t="s">
        <v>452</v>
      </c>
      <c r="N252" s="62" t="s">
        <v>464</v>
      </c>
      <c r="O252" s="62" t="s">
        <v>1260</v>
      </c>
      <c r="P252" s="100" t="s">
        <v>597</v>
      </c>
      <c r="Q252" s="5" t="s">
        <v>1261</v>
      </c>
      <c r="R252" s="34" t="s">
        <v>1331</v>
      </c>
      <c r="S252" s="5" t="s">
        <v>1262</v>
      </c>
      <c r="T252" s="5" t="s">
        <v>445</v>
      </c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customFormat="1">
      <c r="A253" s="9"/>
      <c r="B253" s="5"/>
      <c r="C253" s="5"/>
      <c r="D253" s="5"/>
      <c r="E253" s="88"/>
      <c r="F253" s="5" t="s">
        <v>295</v>
      </c>
      <c r="G253" s="34" t="s">
        <v>296</v>
      </c>
      <c r="H253" s="34"/>
      <c r="I253" s="306">
        <v>-43000</v>
      </c>
      <c r="J253" s="307">
        <v>-30.2816901408451</v>
      </c>
      <c r="K253" s="6">
        <v>1420</v>
      </c>
      <c r="L253" s="5" t="s">
        <v>1254</v>
      </c>
      <c r="M253" s="62" t="s">
        <v>452</v>
      </c>
      <c r="N253" s="62" t="s">
        <v>464</v>
      </c>
      <c r="O253" s="62" t="s">
        <v>1255</v>
      </c>
      <c r="P253" s="100" t="s">
        <v>597</v>
      </c>
      <c r="Q253" s="5" t="s">
        <v>1256</v>
      </c>
      <c r="R253" s="34" t="s">
        <v>1332</v>
      </c>
      <c r="S253" s="5" t="s">
        <v>1258</v>
      </c>
      <c r="T253" s="5" t="s">
        <v>445</v>
      </c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customFormat="1">
      <c r="A254" s="9"/>
      <c r="B254" s="5"/>
      <c r="C254" s="5"/>
      <c r="D254" s="5"/>
      <c r="E254" s="88"/>
      <c r="F254" s="5" t="s">
        <v>295</v>
      </c>
      <c r="G254" s="34" t="s">
        <v>296</v>
      </c>
      <c r="H254" s="34"/>
      <c r="I254" s="306">
        <v>-22100</v>
      </c>
      <c r="J254" s="307">
        <v>-15.563380281690099</v>
      </c>
      <c r="K254" s="6">
        <v>1420</v>
      </c>
      <c r="L254" s="5" t="s">
        <v>1259</v>
      </c>
      <c r="M254" s="62" t="s">
        <v>452</v>
      </c>
      <c r="N254" s="62" t="s">
        <v>464</v>
      </c>
      <c r="O254" s="62" t="s">
        <v>1260</v>
      </c>
      <c r="P254" s="100" t="s">
        <v>597</v>
      </c>
      <c r="Q254" s="5" t="s">
        <v>1261</v>
      </c>
      <c r="R254" s="34" t="s">
        <v>1333</v>
      </c>
      <c r="S254" s="5" t="s">
        <v>1262</v>
      </c>
      <c r="T254" s="5" t="s">
        <v>445</v>
      </c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customFormat="1">
      <c r="A255" s="9"/>
      <c r="B255" s="5"/>
      <c r="C255" s="5"/>
      <c r="D255" s="5"/>
      <c r="E255" s="88"/>
      <c r="F255" s="5" t="s">
        <v>295</v>
      </c>
      <c r="G255" s="34" t="s">
        <v>296</v>
      </c>
      <c r="H255" s="34"/>
      <c r="I255" s="306">
        <v>-27000</v>
      </c>
      <c r="J255" s="307">
        <v>-19.014084507042298</v>
      </c>
      <c r="K255" s="6">
        <v>1420</v>
      </c>
      <c r="L255" s="5" t="s">
        <v>1254</v>
      </c>
      <c r="M255" s="62" t="s">
        <v>452</v>
      </c>
      <c r="N255" s="62" t="s">
        <v>464</v>
      </c>
      <c r="O255" s="62" t="s">
        <v>1255</v>
      </c>
      <c r="P255" s="100" t="s">
        <v>597</v>
      </c>
      <c r="Q255" s="5" t="s">
        <v>1256</v>
      </c>
      <c r="R255" s="34" t="s">
        <v>1334</v>
      </c>
      <c r="S255" s="5" t="s">
        <v>1258</v>
      </c>
      <c r="T255" s="5" t="s">
        <v>445</v>
      </c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customFormat="1">
      <c r="A256" s="9"/>
      <c r="B256" s="5"/>
      <c r="C256" s="5"/>
      <c r="D256" s="5"/>
      <c r="E256" s="88"/>
      <c r="F256" s="5" t="s">
        <v>295</v>
      </c>
      <c r="G256" s="34" t="s">
        <v>296</v>
      </c>
      <c r="H256" s="34"/>
      <c r="I256" s="306">
        <v>-43500</v>
      </c>
      <c r="J256" s="307">
        <v>-29.591836734693899</v>
      </c>
      <c r="K256" s="6">
        <v>1470</v>
      </c>
      <c r="L256" s="5" t="s">
        <v>1199</v>
      </c>
      <c r="M256" s="62" t="s">
        <v>452</v>
      </c>
      <c r="N256" s="62" t="s">
        <v>464</v>
      </c>
      <c r="O256" s="62" t="s">
        <v>1249</v>
      </c>
      <c r="P256" s="100" t="s">
        <v>597</v>
      </c>
      <c r="Q256" s="5" t="s">
        <v>1250</v>
      </c>
      <c r="R256" s="34" t="s">
        <v>1335</v>
      </c>
      <c r="S256" s="5" t="s">
        <v>1252</v>
      </c>
      <c r="T256" s="5" t="s">
        <v>445</v>
      </c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customFormat="1">
      <c r="A257" s="9"/>
      <c r="B257" s="5"/>
      <c r="C257" s="5"/>
      <c r="D257" s="5"/>
      <c r="E257" s="88"/>
      <c r="F257" s="5" t="s">
        <v>295</v>
      </c>
      <c r="G257" s="34" t="s">
        <v>296</v>
      </c>
      <c r="H257" s="34"/>
      <c r="I257" s="306">
        <v>-26000</v>
      </c>
      <c r="J257" s="307">
        <v>-18.309859154929601</v>
      </c>
      <c r="K257" s="6">
        <v>1420</v>
      </c>
      <c r="L257" s="5" t="s">
        <v>1259</v>
      </c>
      <c r="M257" s="62" t="s">
        <v>452</v>
      </c>
      <c r="N257" s="62" t="s">
        <v>464</v>
      </c>
      <c r="O257" s="62" t="s">
        <v>1260</v>
      </c>
      <c r="P257" s="100" t="s">
        <v>597</v>
      </c>
      <c r="Q257" s="5" t="s">
        <v>1261</v>
      </c>
      <c r="R257" s="34" t="s">
        <v>1336</v>
      </c>
      <c r="S257" s="5" t="s">
        <v>1262</v>
      </c>
      <c r="T257" s="5" t="s">
        <v>445</v>
      </c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customFormat="1">
      <c r="A258" s="9"/>
      <c r="B258" s="5"/>
      <c r="C258" s="5"/>
      <c r="D258" s="5"/>
      <c r="E258" s="88"/>
      <c r="F258" s="5" t="s">
        <v>295</v>
      </c>
      <c r="G258" s="34" t="s">
        <v>296</v>
      </c>
      <c r="H258" s="34"/>
      <c r="I258" s="306">
        <v>-150000</v>
      </c>
      <c r="J258" s="307">
        <v>-102.040816326531</v>
      </c>
      <c r="K258" s="6">
        <v>1470</v>
      </c>
      <c r="L258" s="5" t="s">
        <v>1199</v>
      </c>
      <c r="M258" s="62" t="s">
        <v>452</v>
      </c>
      <c r="N258" s="62" t="s">
        <v>464</v>
      </c>
      <c r="O258" s="62" t="s">
        <v>1249</v>
      </c>
      <c r="P258" s="100" t="s">
        <v>597</v>
      </c>
      <c r="Q258" s="5" t="s">
        <v>1250</v>
      </c>
      <c r="R258" s="34" t="s">
        <v>1045</v>
      </c>
      <c r="S258" s="5" t="s">
        <v>1252</v>
      </c>
      <c r="T258" s="5" t="s">
        <v>445</v>
      </c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customFormat="1">
      <c r="A259" s="9"/>
      <c r="B259" s="5"/>
      <c r="C259" s="5"/>
      <c r="D259" s="5"/>
      <c r="E259" s="88"/>
      <c r="F259" s="5" t="s">
        <v>295</v>
      </c>
      <c r="G259" s="34" t="s">
        <v>296</v>
      </c>
      <c r="H259" s="34"/>
      <c r="I259" s="306">
        <v>-27500</v>
      </c>
      <c r="J259" s="307">
        <v>-19.366197183098599</v>
      </c>
      <c r="K259" s="6">
        <v>1420</v>
      </c>
      <c r="L259" s="5" t="s">
        <v>1259</v>
      </c>
      <c r="M259" s="62" t="s">
        <v>452</v>
      </c>
      <c r="N259" s="62" t="s">
        <v>464</v>
      </c>
      <c r="O259" s="62" t="s">
        <v>1260</v>
      </c>
      <c r="P259" s="100" t="s">
        <v>597</v>
      </c>
      <c r="Q259" s="5" t="s">
        <v>1261</v>
      </c>
      <c r="R259" s="34" t="s">
        <v>1337</v>
      </c>
      <c r="S259" s="5" t="s">
        <v>1262</v>
      </c>
      <c r="T259" s="5" t="s">
        <v>445</v>
      </c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customFormat="1">
      <c r="A260" s="9"/>
      <c r="B260" s="5"/>
      <c r="C260" s="5"/>
      <c r="D260" s="5"/>
      <c r="E260" s="88"/>
      <c r="F260" s="5" t="s">
        <v>295</v>
      </c>
      <c r="G260" s="34" t="s">
        <v>296</v>
      </c>
      <c r="H260" s="34"/>
      <c r="I260" s="306">
        <v>-80000</v>
      </c>
      <c r="J260" s="307">
        <v>-56.338028169014102</v>
      </c>
      <c r="K260" s="6">
        <v>1420</v>
      </c>
      <c r="L260" s="5" t="s">
        <v>1254</v>
      </c>
      <c r="M260" s="62" t="s">
        <v>452</v>
      </c>
      <c r="N260" s="62" t="s">
        <v>464</v>
      </c>
      <c r="O260" s="62" t="s">
        <v>1255</v>
      </c>
      <c r="P260" s="100" t="s">
        <v>597</v>
      </c>
      <c r="Q260" s="5" t="s">
        <v>1256</v>
      </c>
      <c r="R260" s="34" t="s">
        <v>1338</v>
      </c>
      <c r="S260" s="5" t="s">
        <v>1258</v>
      </c>
      <c r="T260" s="5" t="s">
        <v>445</v>
      </c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customFormat="1">
      <c r="A261" s="9"/>
      <c r="B261" s="5"/>
      <c r="C261" s="5"/>
      <c r="D261" s="5"/>
      <c r="E261" s="88"/>
      <c r="F261" s="5" t="s">
        <v>295</v>
      </c>
      <c r="G261" s="34" t="s">
        <v>296</v>
      </c>
      <c r="H261" s="34"/>
      <c r="I261" s="306">
        <v>-258500</v>
      </c>
      <c r="J261" s="307">
        <v>-175.850340136054</v>
      </c>
      <c r="K261" s="6">
        <v>1470</v>
      </c>
      <c r="L261" s="5" t="s">
        <v>1199</v>
      </c>
      <c r="M261" s="62" t="s">
        <v>452</v>
      </c>
      <c r="N261" s="62" t="s">
        <v>464</v>
      </c>
      <c r="O261" s="62" t="s">
        <v>1249</v>
      </c>
      <c r="P261" s="100" t="s">
        <v>597</v>
      </c>
      <c r="Q261" s="5" t="s">
        <v>1250</v>
      </c>
      <c r="R261" s="34" t="s">
        <v>1339</v>
      </c>
      <c r="S261" s="5" t="s">
        <v>1252</v>
      </c>
      <c r="T261" s="5" t="s">
        <v>445</v>
      </c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customFormat="1">
      <c r="A262" s="9"/>
      <c r="B262" s="5"/>
      <c r="C262" s="5"/>
      <c r="D262" s="5"/>
      <c r="E262" s="88"/>
      <c r="F262" s="5" t="s">
        <v>295</v>
      </c>
      <c r="G262" s="34" t="s">
        <v>296</v>
      </c>
      <c r="H262" s="34"/>
      <c r="I262" s="306">
        <v>-10000</v>
      </c>
      <c r="J262" s="307">
        <v>-6.8027210884353702</v>
      </c>
      <c r="K262" s="6">
        <v>1470</v>
      </c>
      <c r="L262" s="5" t="s">
        <v>1199</v>
      </c>
      <c r="M262" s="62" t="s">
        <v>452</v>
      </c>
      <c r="N262" s="62" t="s">
        <v>464</v>
      </c>
      <c r="O262" s="62" t="s">
        <v>1249</v>
      </c>
      <c r="P262" s="100" t="s">
        <v>597</v>
      </c>
      <c r="Q262" s="5" t="s">
        <v>1250</v>
      </c>
      <c r="R262" s="34" t="s">
        <v>1340</v>
      </c>
      <c r="S262" s="5" t="s">
        <v>1252</v>
      </c>
      <c r="T262" s="5" t="s">
        <v>445</v>
      </c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 customFormat="1">
      <c r="A263" s="9"/>
      <c r="B263" s="5"/>
      <c r="C263" s="5"/>
      <c r="D263" s="5"/>
      <c r="E263" s="88"/>
      <c r="F263" s="5" t="s">
        <v>295</v>
      </c>
      <c r="G263" s="34" t="s">
        <v>296</v>
      </c>
      <c r="H263" s="34"/>
      <c r="I263" s="306">
        <v>-44600</v>
      </c>
      <c r="J263" s="307">
        <v>-31.408450704225402</v>
      </c>
      <c r="K263" s="6">
        <v>1420</v>
      </c>
      <c r="L263" s="5" t="s">
        <v>1259</v>
      </c>
      <c r="M263" s="62" t="s">
        <v>452</v>
      </c>
      <c r="N263" s="62" t="s">
        <v>464</v>
      </c>
      <c r="O263" s="62" t="s">
        <v>1260</v>
      </c>
      <c r="P263" s="100" t="s">
        <v>597</v>
      </c>
      <c r="Q263" s="5" t="s">
        <v>1261</v>
      </c>
      <c r="R263" s="34" t="s">
        <v>634</v>
      </c>
      <c r="S263" s="5" t="s">
        <v>1262</v>
      </c>
      <c r="T263" s="5" t="s">
        <v>445</v>
      </c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customFormat="1">
      <c r="A264" s="9"/>
      <c r="B264" s="5"/>
      <c r="C264" s="5"/>
      <c r="D264" s="5"/>
      <c r="E264" s="88"/>
      <c r="F264" s="5" t="s">
        <v>295</v>
      </c>
      <c r="G264" s="34" t="s">
        <v>296</v>
      </c>
      <c r="H264" s="34"/>
      <c r="I264" s="306">
        <v>-4500</v>
      </c>
      <c r="J264" s="307">
        <v>-3.1690140845070398</v>
      </c>
      <c r="K264" s="6">
        <v>1420</v>
      </c>
      <c r="L264" s="5" t="s">
        <v>1259</v>
      </c>
      <c r="M264" s="62" t="s">
        <v>452</v>
      </c>
      <c r="N264" s="62" t="s">
        <v>464</v>
      </c>
      <c r="O264" s="62" t="s">
        <v>1260</v>
      </c>
      <c r="P264" s="100" t="s">
        <v>597</v>
      </c>
      <c r="Q264" s="5" t="s">
        <v>1261</v>
      </c>
      <c r="R264" s="34" t="s">
        <v>634</v>
      </c>
      <c r="S264" s="5" t="s">
        <v>1262</v>
      </c>
      <c r="T264" s="5" t="s">
        <v>445</v>
      </c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customFormat="1">
      <c r="A265" s="9"/>
      <c r="B265" s="5"/>
      <c r="C265" s="5"/>
      <c r="D265" s="5"/>
      <c r="E265" s="88"/>
      <c r="F265" s="5" t="s">
        <v>295</v>
      </c>
      <c r="G265" s="34" t="s">
        <v>296</v>
      </c>
      <c r="H265" s="34"/>
      <c r="I265" s="306">
        <v>-16200</v>
      </c>
      <c r="J265" s="307">
        <v>-11.4084507042254</v>
      </c>
      <c r="K265" s="6">
        <v>1420</v>
      </c>
      <c r="L265" s="5" t="s">
        <v>1254</v>
      </c>
      <c r="M265" s="62" t="s">
        <v>452</v>
      </c>
      <c r="N265" s="62" t="s">
        <v>464</v>
      </c>
      <c r="O265" s="62" t="s">
        <v>1255</v>
      </c>
      <c r="P265" s="100" t="s">
        <v>597</v>
      </c>
      <c r="Q265" s="5" t="s">
        <v>1256</v>
      </c>
      <c r="R265" s="34" t="s">
        <v>634</v>
      </c>
      <c r="S265" s="5" t="s">
        <v>1258</v>
      </c>
      <c r="T265" s="5" t="s">
        <v>445</v>
      </c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customFormat="1">
      <c r="A266" s="9"/>
      <c r="B266" s="5"/>
      <c r="C266" s="5"/>
      <c r="D266" s="5"/>
      <c r="E266" s="88"/>
      <c r="F266" s="5" t="s">
        <v>295</v>
      </c>
      <c r="G266" s="34" t="s">
        <v>296</v>
      </c>
      <c r="H266" s="34"/>
      <c r="I266" s="306">
        <v>-32900</v>
      </c>
      <c r="J266" s="307">
        <v>-23.169014084507001</v>
      </c>
      <c r="K266" s="6">
        <v>1420</v>
      </c>
      <c r="L266" s="5" t="s">
        <v>1254</v>
      </c>
      <c r="M266" s="62" t="s">
        <v>452</v>
      </c>
      <c r="N266" s="62" t="s">
        <v>464</v>
      </c>
      <c r="O266" s="62" t="s">
        <v>1255</v>
      </c>
      <c r="P266" s="100" t="s">
        <v>597</v>
      </c>
      <c r="Q266" s="5" t="s">
        <v>1256</v>
      </c>
      <c r="R266" s="34" t="s">
        <v>634</v>
      </c>
      <c r="S266" s="5" t="s">
        <v>1258</v>
      </c>
      <c r="T266" s="5" t="s">
        <v>445</v>
      </c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customFormat="1">
      <c r="A267" s="9"/>
      <c r="B267" s="5"/>
      <c r="C267" s="5"/>
      <c r="D267" s="5"/>
      <c r="E267" s="88"/>
      <c r="F267" s="5" t="s">
        <v>295</v>
      </c>
      <c r="G267" s="34" t="s">
        <v>296</v>
      </c>
      <c r="H267" s="34"/>
      <c r="I267" s="306">
        <v>-12100</v>
      </c>
      <c r="J267" s="307">
        <v>-8.52112676056338</v>
      </c>
      <c r="K267" s="6">
        <v>1420</v>
      </c>
      <c r="L267" s="5" t="s">
        <v>1259</v>
      </c>
      <c r="M267" s="62" t="s">
        <v>452</v>
      </c>
      <c r="N267" s="62" t="s">
        <v>464</v>
      </c>
      <c r="O267" s="62" t="s">
        <v>1260</v>
      </c>
      <c r="P267" s="100" t="s">
        <v>597</v>
      </c>
      <c r="Q267" s="5" t="s">
        <v>1261</v>
      </c>
      <c r="R267" s="34" t="s">
        <v>1341</v>
      </c>
      <c r="S267" s="5" t="s">
        <v>1262</v>
      </c>
      <c r="T267" s="5" t="s">
        <v>445</v>
      </c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customFormat="1">
      <c r="A268" s="9"/>
      <c r="B268" s="5"/>
      <c r="C268" s="5"/>
      <c r="D268" s="5"/>
      <c r="E268" s="88"/>
      <c r="F268" s="5" t="s">
        <v>295</v>
      </c>
      <c r="G268" s="34" t="s">
        <v>296</v>
      </c>
      <c r="H268" s="34"/>
      <c r="I268" s="306">
        <v>-7200</v>
      </c>
      <c r="J268" s="307">
        <v>-5.0704225352112697</v>
      </c>
      <c r="K268" s="6">
        <v>1420</v>
      </c>
      <c r="L268" s="5" t="s">
        <v>1259</v>
      </c>
      <c r="M268" s="62" t="s">
        <v>452</v>
      </c>
      <c r="N268" s="62" t="s">
        <v>464</v>
      </c>
      <c r="O268" s="62" t="s">
        <v>1260</v>
      </c>
      <c r="P268" s="100" t="s">
        <v>597</v>
      </c>
      <c r="Q268" s="5" t="s">
        <v>1261</v>
      </c>
      <c r="R268" s="34" t="s">
        <v>763</v>
      </c>
      <c r="S268" s="5" t="s">
        <v>1262</v>
      </c>
      <c r="T268" s="5" t="s">
        <v>445</v>
      </c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customFormat="1">
      <c r="A269" s="9"/>
      <c r="B269" s="5"/>
      <c r="C269" s="5"/>
      <c r="D269" s="5"/>
      <c r="E269" s="88"/>
      <c r="F269" s="5" t="s">
        <v>295</v>
      </c>
      <c r="G269" s="34" t="s">
        <v>296</v>
      </c>
      <c r="H269" s="34"/>
      <c r="I269" s="306">
        <v>-41640</v>
      </c>
      <c r="J269" s="307">
        <v>-29.3239436619718</v>
      </c>
      <c r="K269" s="6">
        <v>1420</v>
      </c>
      <c r="L269" s="5" t="s">
        <v>1254</v>
      </c>
      <c r="M269" s="62" t="s">
        <v>452</v>
      </c>
      <c r="N269" s="62" t="s">
        <v>464</v>
      </c>
      <c r="O269" s="62" t="s">
        <v>1255</v>
      </c>
      <c r="P269" s="100" t="s">
        <v>597</v>
      </c>
      <c r="Q269" s="5" t="s">
        <v>1256</v>
      </c>
      <c r="R269" s="34" t="s">
        <v>763</v>
      </c>
      <c r="S269" s="5" t="s">
        <v>1258</v>
      </c>
      <c r="T269" s="5" t="s">
        <v>445</v>
      </c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 customFormat="1">
      <c r="A270" s="9"/>
      <c r="B270" s="5"/>
      <c r="C270" s="5"/>
      <c r="D270" s="5"/>
      <c r="E270" s="88"/>
      <c r="F270" s="5" t="s">
        <v>295</v>
      </c>
      <c r="G270" s="34" t="s">
        <v>296</v>
      </c>
      <c r="H270" s="34"/>
      <c r="I270" s="306">
        <v>-10980</v>
      </c>
      <c r="J270" s="307">
        <v>-7.7323943661971803</v>
      </c>
      <c r="K270" s="6">
        <v>1420</v>
      </c>
      <c r="L270" s="5" t="s">
        <v>1254</v>
      </c>
      <c r="M270" s="62" t="s">
        <v>452</v>
      </c>
      <c r="N270" s="62" t="s">
        <v>464</v>
      </c>
      <c r="O270" s="62" t="s">
        <v>1255</v>
      </c>
      <c r="P270" s="100" t="s">
        <v>597</v>
      </c>
      <c r="Q270" s="5" t="s">
        <v>1256</v>
      </c>
      <c r="R270" s="34" t="s">
        <v>763</v>
      </c>
      <c r="S270" s="5" t="s">
        <v>1258</v>
      </c>
      <c r="T270" s="5" t="s">
        <v>445</v>
      </c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customFormat="1">
      <c r="A271" s="9"/>
      <c r="B271" s="5"/>
      <c r="C271" s="5"/>
      <c r="D271" s="5"/>
      <c r="E271" s="88"/>
      <c r="F271" s="5" t="s">
        <v>295</v>
      </c>
      <c r="G271" s="34" t="s">
        <v>296</v>
      </c>
      <c r="H271" s="34"/>
      <c r="I271" s="306">
        <v>-11991</v>
      </c>
      <c r="J271" s="307">
        <v>-8.4443661971831006</v>
      </c>
      <c r="K271" s="6">
        <v>1420</v>
      </c>
      <c r="L271" s="5" t="s">
        <v>1254</v>
      </c>
      <c r="M271" s="62" t="s">
        <v>452</v>
      </c>
      <c r="N271" s="62" t="s">
        <v>464</v>
      </c>
      <c r="O271" s="62" t="s">
        <v>1255</v>
      </c>
      <c r="P271" s="100" t="s">
        <v>597</v>
      </c>
      <c r="Q271" s="5" t="s">
        <v>1256</v>
      </c>
      <c r="R271" s="34" t="s">
        <v>763</v>
      </c>
      <c r="S271" s="5" t="s">
        <v>1258</v>
      </c>
      <c r="T271" s="5" t="s">
        <v>445</v>
      </c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customFormat="1">
      <c r="A272" s="9"/>
      <c r="B272" s="5"/>
      <c r="C272" s="5"/>
      <c r="D272" s="5"/>
      <c r="E272" s="88"/>
      <c r="F272" s="5" t="s">
        <v>295</v>
      </c>
      <c r="G272" s="34" t="s">
        <v>296</v>
      </c>
      <c r="H272" s="34"/>
      <c r="I272" s="306">
        <v>-208765</v>
      </c>
      <c r="J272" s="307">
        <v>-142.017006802721</v>
      </c>
      <c r="K272" s="6">
        <v>1470</v>
      </c>
      <c r="L272" s="5" t="s">
        <v>1199</v>
      </c>
      <c r="M272" s="62" t="s">
        <v>452</v>
      </c>
      <c r="N272" s="62" t="s">
        <v>464</v>
      </c>
      <c r="O272" s="62" t="s">
        <v>1249</v>
      </c>
      <c r="P272" s="100" t="s">
        <v>597</v>
      </c>
      <c r="Q272" s="5" t="s">
        <v>1250</v>
      </c>
      <c r="R272" s="34" t="s">
        <v>763</v>
      </c>
      <c r="S272" s="5" t="s">
        <v>1252</v>
      </c>
      <c r="T272" s="5" t="s">
        <v>445</v>
      </c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customFormat="1">
      <c r="A273" s="9"/>
      <c r="B273" s="5"/>
      <c r="C273" s="5"/>
      <c r="D273" s="5"/>
      <c r="E273" s="88"/>
      <c r="F273" s="5" t="s">
        <v>295</v>
      </c>
      <c r="G273" s="34" t="s">
        <v>296</v>
      </c>
      <c r="H273" s="34"/>
      <c r="I273" s="306">
        <v>-33336</v>
      </c>
      <c r="J273" s="307">
        <v>-22.677551020408199</v>
      </c>
      <c r="K273" s="6">
        <v>1470</v>
      </c>
      <c r="L273" s="5" t="s">
        <v>1199</v>
      </c>
      <c r="M273" s="62" t="s">
        <v>452</v>
      </c>
      <c r="N273" s="62" t="s">
        <v>464</v>
      </c>
      <c r="O273" s="62" t="s">
        <v>1249</v>
      </c>
      <c r="P273" s="100" t="s">
        <v>597</v>
      </c>
      <c r="Q273" s="5" t="s">
        <v>1250</v>
      </c>
      <c r="R273" s="34" t="s">
        <v>763</v>
      </c>
      <c r="S273" s="5" t="s">
        <v>1252</v>
      </c>
      <c r="T273" s="5" t="s">
        <v>445</v>
      </c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customFormat="1">
      <c r="A274" s="9"/>
      <c r="B274" s="5"/>
      <c r="C274" s="5"/>
      <c r="D274" s="5"/>
      <c r="E274" s="88"/>
      <c r="F274" s="5" t="s">
        <v>295</v>
      </c>
      <c r="G274" s="34" t="s">
        <v>296</v>
      </c>
      <c r="H274" s="34"/>
      <c r="I274" s="306">
        <v>-4000</v>
      </c>
      <c r="J274" s="307">
        <v>-2.8169014084507</v>
      </c>
      <c r="K274" s="6">
        <v>1420</v>
      </c>
      <c r="L274" s="5" t="s">
        <v>1259</v>
      </c>
      <c r="M274" s="62" t="s">
        <v>452</v>
      </c>
      <c r="N274" s="62" t="s">
        <v>464</v>
      </c>
      <c r="O274" s="62" t="s">
        <v>1260</v>
      </c>
      <c r="P274" s="100" t="s">
        <v>597</v>
      </c>
      <c r="Q274" s="5" t="s">
        <v>1261</v>
      </c>
      <c r="R274" s="34" t="s">
        <v>639</v>
      </c>
      <c r="S274" s="5" t="s">
        <v>1262</v>
      </c>
      <c r="T274" s="5" t="s">
        <v>445</v>
      </c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customFormat="1">
      <c r="A275" s="9"/>
      <c r="B275" s="5"/>
      <c r="C275" s="5"/>
      <c r="D275" s="5"/>
      <c r="E275" s="88"/>
      <c r="F275" s="5" t="s">
        <v>295</v>
      </c>
      <c r="G275" s="34" t="s">
        <v>296</v>
      </c>
      <c r="H275" s="34"/>
      <c r="I275" s="306">
        <v>-34800</v>
      </c>
      <c r="J275" s="307">
        <v>-24.507042253521099</v>
      </c>
      <c r="K275" s="6">
        <v>1420</v>
      </c>
      <c r="L275" s="5" t="s">
        <v>1259</v>
      </c>
      <c r="M275" s="62" t="s">
        <v>452</v>
      </c>
      <c r="N275" s="62" t="s">
        <v>464</v>
      </c>
      <c r="O275" s="62" t="s">
        <v>1260</v>
      </c>
      <c r="P275" s="100" t="s">
        <v>597</v>
      </c>
      <c r="Q275" s="5" t="s">
        <v>1261</v>
      </c>
      <c r="R275" s="34" t="s">
        <v>639</v>
      </c>
      <c r="S275" s="5" t="s">
        <v>1262</v>
      </c>
      <c r="T275" s="5" t="s">
        <v>445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customFormat="1">
      <c r="A276" s="9"/>
      <c r="B276" s="5"/>
      <c r="C276" s="5"/>
      <c r="D276" s="5"/>
      <c r="E276" s="88"/>
      <c r="F276" s="5" t="s">
        <v>295</v>
      </c>
      <c r="G276" s="34" t="s">
        <v>296</v>
      </c>
      <c r="H276" s="34"/>
      <c r="I276" s="306">
        <v>-8000</v>
      </c>
      <c r="J276" s="307">
        <v>-5.6338028169014098</v>
      </c>
      <c r="K276" s="6">
        <v>1420</v>
      </c>
      <c r="L276" s="5" t="s">
        <v>1254</v>
      </c>
      <c r="M276" s="62" t="s">
        <v>452</v>
      </c>
      <c r="N276" s="62" t="s">
        <v>464</v>
      </c>
      <c r="O276" s="62" t="s">
        <v>1255</v>
      </c>
      <c r="P276" s="100" t="s">
        <v>597</v>
      </c>
      <c r="Q276" s="5" t="s">
        <v>1256</v>
      </c>
      <c r="R276" s="34" t="s">
        <v>1342</v>
      </c>
      <c r="S276" s="5" t="s">
        <v>1258</v>
      </c>
      <c r="T276" s="5" t="s">
        <v>445</v>
      </c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customFormat="1">
      <c r="A277" s="9"/>
      <c r="B277" s="5"/>
      <c r="C277" s="5"/>
      <c r="D277" s="5"/>
      <c r="E277" s="88"/>
      <c r="F277" s="5" t="s">
        <v>295</v>
      </c>
      <c r="G277" s="34" t="s">
        <v>296</v>
      </c>
      <c r="H277" s="34"/>
      <c r="I277" s="306">
        <v>282000</v>
      </c>
      <c r="J277" s="307">
        <v>200</v>
      </c>
      <c r="K277" s="6">
        <v>1410</v>
      </c>
      <c r="L277" s="5" t="s">
        <v>1409</v>
      </c>
      <c r="M277" s="62" t="s">
        <v>452</v>
      </c>
      <c r="N277" s="62" t="s">
        <v>464</v>
      </c>
      <c r="O277" s="62" t="s">
        <v>1410</v>
      </c>
      <c r="P277" s="100" t="s">
        <v>597</v>
      </c>
      <c r="Q277" s="5" t="s">
        <v>1411</v>
      </c>
      <c r="R277" s="34" t="s">
        <v>1411</v>
      </c>
      <c r="S277" s="5" t="s">
        <v>1412</v>
      </c>
      <c r="T277" s="5" t="s">
        <v>445</v>
      </c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customFormat="1">
      <c r="A278" s="9"/>
      <c r="B278" s="5"/>
      <c r="C278" s="5"/>
      <c r="D278" s="5"/>
      <c r="E278" s="88"/>
      <c r="F278" s="5" t="s">
        <v>295</v>
      </c>
      <c r="G278" s="34" t="s">
        <v>296</v>
      </c>
      <c r="H278" s="34"/>
      <c r="I278" s="306">
        <v>140000</v>
      </c>
      <c r="J278" s="307">
        <v>100</v>
      </c>
      <c r="K278" s="6">
        <v>1400</v>
      </c>
      <c r="L278" s="5" t="s">
        <v>1409</v>
      </c>
      <c r="M278" s="62" t="s">
        <v>452</v>
      </c>
      <c r="N278" s="62" t="s">
        <v>464</v>
      </c>
      <c r="O278" s="62" t="s">
        <v>1413</v>
      </c>
      <c r="P278" s="100" t="s">
        <v>597</v>
      </c>
      <c r="Q278" s="5" t="s">
        <v>1414</v>
      </c>
      <c r="R278" s="34" t="s">
        <v>1414</v>
      </c>
      <c r="S278" s="5" t="s">
        <v>1415</v>
      </c>
      <c r="T278" s="5" t="s">
        <v>445</v>
      </c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customFormat="1">
      <c r="A279" s="9"/>
      <c r="B279" s="5"/>
      <c r="C279" s="5"/>
      <c r="D279" s="5"/>
      <c r="E279" s="88"/>
      <c r="F279" s="5" t="s">
        <v>295</v>
      </c>
      <c r="G279" s="34" t="s">
        <v>296</v>
      </c>
      <c r="H279" s="34"/>
      <c r="I279" s="306">
        <v>540000</v>
      </c>
      <c r="J279" s="307">
        <v>400</v>
      </c>
      <c r="K279" s="6">
        <v>1350</v>
      </c>
      <c r="L279" s="5" t="s">
        <v>1424</v>
      </c>
      <c r="M279" s="62" t="s">
        <v>452</v>
      </c>
      <c r="N279" s="62" t="s">
        <v>464</v>
      </c>
      <c r="O279" s="62" t="s">
        <v>1425</v>
      </c>
      <c r="P279" s="100" t="s">
        <v>597</v>
      </c>
      <c r="Q279" s="5" t="s">
        <v>1426</v>
      </c>
      <c r="R279" s="34" t="s">
        <v>1426</v>
      </c>
      <c r="S279" s="5" t="s">
        <v>1427</v>
      </c>
      <c r="T279" s="5" t="s">
        <v>445</v>
      </c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customFormat="1">
      <c r="A280" s="9"/>
      <c r="B280" s="5"/>
      <c r="C280" s="5"/>
      <c r="D280" s="5"/>
      <c r="E280" s="88"/>
      <c r="F280" s="5" t="s">
        <v>297</v>
      </c>
      <c r="G280" s="34" t="s">
        <v>298</v>
      </c>
      <c r="H280" s="34"/>
      <c r="I280" s="306">
        <v>3439800</v>
      </c>
      <c r="J280" s="307">
        <v>2340</v>
      </c>
      <c r="K280" s="6">
        <v>1470</v>
      </c>
      <c r="L280" s="5" t="s">
        <v>1199</v>
      </c>
      <c r="M280" s="62" t="s">
        <v>452</v>
      </c>
      <c r="N280" s="62" t="s">
        <v>464</v>
      </c>
      <c r="O280" s="62" t="s">
        <v>1284</v>
      </c>
      <c r="P280" s="100" t="s">
        <v>597</v>
      </c>
      <c r="Q280" s="5" t="s">
        <v>1285</v>
      </c>
      <c r="R280" s="34" t="s">
        <v>563</v>
      </c>
      <c r="S280" s="5" t="s">
        <v>1286</v>
      </c>
      <c r="T280" s="5" t="s">
        <v>445</v>
      </c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customFormat="1">
      <c r="A281" s="9"/>
      <c r="B281" s="5"/>
      <c r="C281" s="5"/>
      <c r="D281" s="5"/>
      <c r="E281" s="88"/>
      <c r="F281" s="5" t="s">
        <v>297</v>
      </c>
      <c r="G281" s="34" t="s">
        <v>298</v>
      </c>
      <c r="H281" s="34"/>
      <c r="I281" s="306">
        <v>7100000</v>
      </c>
      <c r="J281" s="307">
        <v>5000</v>
      </c>
      <c r="K281" s="6">
        <v>1420</v>
      </c>
      <c r="L281" s="5" t="s">
        <v>1254</v>
      </c>
      <c r="M281" s="62" t="s">
        <v>452</v>
      </c>
      <c r="N281" s="62" t="s">
        <v>464</v>
      </c>
      <c r="O281" s="62" t="s">
        <v>1287</v>
      </c>
      <c r="P281" s="100" t="s">
        <v>597</v>
      </c>
      <c r="Q281" s="5" t="s">
        <v>1288</v>
      </c>
      <c r="R281" s="34" t="s">
        <v>1289</v>
      </c>
      <c r="S281" s="5" t="s">
        <v>1290</v>
      </c>
      <c r="T281" s="5" t="s">
        <v>445</v>
      </c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customFormat="1">
      <c r="A282" s="9"/>
      <c r="B282" s="5"/>
      <c r="C282" s="5"/>
      <c r="D282" s="5"/>
      <c r="E282" s="88"/>
      <c r="F282" s="5" t="s">
        <v>297</v>
      </c>
      <c r="G282" s="34" t="s">
        <v>298</v>
      </c>
      <c r="H282" s="34"/>
      <c r="I282" s="306">
        <v>-142000</v>
      </c>
      <c r="J282" s="307">
        <v>-100</v>
      </c>
      <c r="K282" s="6">
        <v>1420</v>
      </c>
      <c r="L282" s="5" t="s">
        <v>1254</v>
      </c>
      <c r="M282" s="62" t="s">
        <v>452</v>
      </c>
      <c r="N282" s="62" t="s">
        <v>464</v>
      </c>
      <c r="O282" s="62" t="s">
        <v>1296</v>
      </c>
      <c r="P282" s="100" t="s">
        <v>597</v>
      </c>
      <c r="Q282" s="5" t="s">
        <v>1297</v>
      </c>
      <c r="R282" s="34" t="s">
        <v>1298</v>
      </c>
      <c r="S282" s="5" t="s">
        <v>1299</v>
      </c>
      <c r="T282" s="5" t="s">
        <v>445</v>
      </c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customFormat="1">
      <c r="A283" s="9"/>
      <c r="B283" s="5"/>
      <c r="C283" s="5"/>
      <c r="D283" s="5"/>
      <c r="E283" s="88"/>
      <c r="F283" s="5" t="s">
        <v>297</v>
      </c>
      <c r="G283" s="34" t="s">
        <v>298</v>
      </c>
      <c r="H283" s="34"/>
      <c r="I283" s="306">
        <v>-284000</v>
      </c>
      <c r="J283" s="307">
        <v>-200</v>
      </c>
      <c r="K283" s="6">
        <v>1420</v>
      </c>
      <c r="L283" s="5" t="s">
        <v>1259</v>
      </c>
      <c r="M283" s="62" t="s">
        <v>452</v>
      </c>
      <c r="N283" s="62" t="s">
        <v>464</v>
      </c>
      <c r="O283" s="62" t="s">
        <v>1302</v>
      </c>
      <c r="P283" s="100" t="s">
        <v>597</v>
      </c>
      <c r="Q283" s="5" t="s">
        <v>1303</v>
      </c>
      <c r="R283" s="34" t="s">
        <v>1304</v>
      </c>
      <c r="S283" s="5" t="s">
        <v>1305</v>
      </c>
      <c r="T283" s="5" t="s">
        <v>445</v>
      </c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customFormat="1">
      <c r="A284" s="9"/>
      <c r="B284" s="5"/>
      <c r="C284" s="5"/>
      <c r="D284" s="5"/>
      <c r="E284" s="88"/>
      <c r="F284" s="5" t="s">
        <v>297</v>
      </c>
      <c r="G284" s="34" t="s">
        <v>298</v>
      </c>
      <c r="H284" s="34"/>
      <c r="I284" s="306">
        <v>-499800</v>
      </c>
      <c r="J284" s="307">
        <v>-340</v>
      </c>
      <c r="K284" s="6">
        <v>1470</v>
      </c>
      <c r="L284" s="5" t="s">
        <v>1199</v>
      </c>
      <c r="M284" s="62" t="s">
        <v>452</v>
      </c>
      <c r="N284" s="62" t="s">
        <v>464</v>
      </c>
      <c r="O284" s="62" t="s">
        <v>1312</v>
      </c>
      <c r="P284" s="100" t="s">
        <v>597</v>
      </c>
      <c r="Q284" s="5" t="s">
        <v>1313</v>
      </c>
      <c r="R284" s="34" t="s">
        <v>1314</v>
      </c>
      <c r="S284" s="5" t="s">
        <v>1315</v>
      </c>
      <c r="T284" s="5" t="s">
        <v>445</v>
      </c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customFormat="1">
      <c r="A285" s="9"/>
      <c r="B285" s="5"/>
      <c r="C285" s="5"/>
      <c r="D285" s="5"/>
      <c r="E285" s="88"/>
      <c r="F285" s="5" t="s">
        <v>297</v>
      </c>
      <c r="G285" s="34" t="s">
        <v>298</v>
      </c>
      <c r="H285" s="34"/>
      <c r="I285" s="306">
        <v>-588000</v>
      </c>
      <c r="J285" s="307">
        <v>-400</v>
      </c>
      <c r="K285" s="6">
        <v>1470</v>
      </c>
      <c r="L285" s="5" t="s">
        <v>1199</v>
      </c>
      <c r="M285" s="62" t="s">
        <v>452</v>
      </c>
      <c r="N285" s="62" t="s">
        <v>464</v>
      </c>
      <c r="O285" s="62" t="s">
        <v>1312</v>
      </c>
      <c r="P285" s="100" t="s">
        <v>597</v>
      </c>
      <c r="Q285" s="5" t="s">
        <v>1313</v>
      </c>
      <c r="R285" s="34" t="s">
        <v>1316</v>
      </c>
      <c r="S285" s="5" t="s">
        <v>1315</v>
      </c>
      <c r="T285" s="5" t="s">
        <v>445</v>
      </c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customFormat="1">
      <c r="A286" s="9"/>
      <c r="B286" s="5"/>
      <c r="C286" s="5"/>
      <c r="D286" s="5"/>
      <c r="E286" s="88"/>
      <c r="F286" s="5" t="s">
        <v>297</v>
      </c>
      <c r="G286" s="34" t="s">
        <v>298</v>
      </c>
      <c r="H286" s="34"/>
      <c r="I286" s="306">
        <v>-2425500</v>
      </c>
      <c r="J286" s="307">
        <v>-1650</v>
      </c>
      <c r="K286" s="6">
        <v>1470</v>
      </c>
      <c r="L286" s="5" t="s">
        <v>1199</v>
      </c>
      <c r="M286" s="62" t="s">
        <v>452</v>
      </c>
      <c r="N286" s="62" t="s">
        <v>464</v>
      </c>
      <c r="O286" s="62" t="s">
        <v>1312</v>
      </c>
      <c r="P286" s="100" t="s">
        <v>597</v>
      </c>
      <c r="Q286" s="5" t="s">
        <v>1313</v>
      </c>
      <c r="R286" s="34" t="s">
        <v>676</v>
      </c>
      <c r="S286" s="5" t="s">
        <v>1315</v>
      </c>
      <c r="T286" s="5" t="s">
        <v>445</v>
      </c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customFormat="1">
      <c r="A287" s="9"/>
      <c r="B287" s="5"/>
      <c r="C287" s="5"/>
      <c r="D287" s="5"/>
      <c r="E287" s="88"/>
      <c r="F287" s="5" t="s">
        <v>297</v>
      </c>
      <c r="G287" s="34" t="s">
        <v>298</v>
      </c>
      <c r="H287" s="34"/>
      <c r="I287" s="306">
        <v>-1136000</v>
      </c>
      <c r="J287" s="307">
        <v>-800</v>
      </c>
      <c r="K287" s="6">
        <v>1420</v>
      </c>
      <c r="L287" s="5" t="s">
        <v>1254</v>
      </c>
      <c r="M287" s="62" t="s">
        <v>452</v>
      </c>
      <c r="N287" s="62" t="s">
        <v>464</v>
      </c>
      <c r="O287" s="62" t="s">
        <v>1296</v>
      </c>
      <c r="P287" s="100" t="s">
        <v>597</v>
      </c>
      <c r="Q287" s="5" t="s">
        <v>1297</v>
      </c>
      <c r="R287" s="34" t="s">
        <v>1322</v>
      </c>
      <c r="S287" s="5" t="s">
        <v>1299</v>
      </c>
      <c r="T287" s="5" t="s">
        <v>445</v>
      </c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customFormat="1">
      <c r="A288" s="9"/>
      <c r="B288" s="5"/>
      <c r="C288" s="5"/>
      <c r="D288" s="5"/>
      <c r="E288" s="88"/>
      <c r="F288" s="5" t="s">
        <v>297</v>
      </c>
      <c r="G288" s="34" t="s">
        <v>298</v>
      </c>
      <c r="H288" s="34"/>
      <c r="I288" s="306">
        <v>-573300</v>
      </c>
      <c r="J288" s="307">
        <v>-390</v>
      </c>
      <c r="K288" s="6">
        <v>1470</v>
      </c>
      <c r="L288" s="5" t="s">
        <v>1199</v>
      </c>
      <c r="M288" s="62" t="s">
        <v>452</v>
      </c>
      <c r="N288" s="62" t="s">
        <v>464</v>
      </c>
      <c r="O288" s="62" t="s">
        <v>1312</v>
      </c>
      <c r="P288" s="100" t="s">
        <v>597</v>
      </c>
      <c r="Q288" s="5" t="s">
        <v>1313</v>
      </c>
      <c r="R288" s="34" t="s">
        <v>1323</v>
      </c>
      <c r="S288" s="5" t="s">
        <v>1315</v>
      </c>
      <c r="T288" s="5" t="s">
        <v>445</v>
      </c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customFormat="1">
      <c r="A289" s="9"/>
      <c r="B289" s="5"/>
      <c r="C289" s="5"/>
      <c r="D289" s="5"/>
      <c r="E289" s="88"/>
      <c r="F289" s="5" t="s">
        <v>297</v>
      </c>
      <c r="G289" s="34" t="s">
        <v>298</v>
      </c>
      <c r="H289" s="34"/>
      <c r="I289" s="306">
        <v>-1022400</v>
      </c>
      <c r="J289" s="307">
        <v>-720</v>
      </c>
      <c r="K289" s="6">
        <v>1420</v>
      </c>
      <c r="L289" s="5" t="s">
        <v>1254</v>
      </c>
      <c r="M289" s="62" t="s">
        <v>452</v>
      </c>
      <c r="N289" s="62" t="s">
        <v>464</v>
      </c>
      <c r="O289" s="62" t="s">
        <v>1296</v>
      </c>
      <c r="P289" s="100" t="s">
        <v>597</v>
      </c>
      <c r="Q289" s="5" t="s">
        <v>1297</v>
      </c>
      <c r="R289" s="34" t="s">
        <v>1324</v>
      </c>
      <c r="S289" s="5" t="s">
        <v>1299</v>
      </c>
      <c r="T289" s="5" t="s">
        <v>445</v>
      </c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customFormat="1">
      <c r="A290" s="9"/>
      <c r="B290" s="5"/>
      <c r="C290" s="5"/>
      <c r="D290" s="5"/>
      <c r="E290" s="88"/>
      <c r="F290" s="5" t="s">
        <v>297</v>
      </c>
      <c r="G290" s="34" t="s">
        <v>298</v>
      </c>
      <c r="H290" s="34"/>
      <c r="I290" s="306">
        <v>-1633000</v>
      </c>
      <c r="J290" s="307">
        <v>-1150</v>
      </c>
      <c r="K290" s="6">
        <v>1420</v>
      </c>
      <c r="L290" s="5" t="s">
        <v>1254</v>
      </c>
      <c r="M290" s="62" t="s">
        <v>452</v>
      </c>
      <c r="N290" s="62" t="s">
        <v>464</v>
      </c>
      <c r="O290" s="62" t="s">
        <v>1296</v>
      </c>
      <c r="P290" s="100" t="s">
        <v>597</v>
      </c>
      <c r="Q290" s="5" t="s">
        <v>1297</v>
      </c>
      <c r="R290" s="34" t="s">
        <v>1325</v>
      </c>
      <c r="S290" s="5" t="s">
        <v>1299</v>
      </c>
      <c r="T290" s="5" t="s">
        <v>445</v>
      </c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customFormat="1">
      <c r="A291" s="9"/>
      <c r="B291" s="5"/>
      <c r="C291" s="5"/>
      <c r="D291" s="5"/>
      <c r="E291" s="88"/>
      <c r="F291" s="5" t="s">
        <v>297</v>
      </c>
      <c r="G291" s="34" t="s">
        <v>298</v>
      </c>
      <c r="H291" s="34"/>
      <c r="I291" s="306">
        <v>-1808100</v>
      </c>
      <c r="J291" s="307">
        <v>-1230</v>
      </c>
      <c r="K291" s="6">
        <v>1470</v>
      </c>
      <c r="L291" s="5" t="s">
        <v>1199</v>
      </c>
      <c r="M291" s="62" t="s">
        <v>452</v>
      </c>
      <c r="N291" s="62" t="s">
        <v>464</v>
      </c>
      <c r="O291" s="62" t="s">
        <v>1312</v>
      </c>
      <c r="P291" s="100" t="s">
        <v>597</v>
      </c>
      <c r="Q291" s="5" t="s">
        <v>1313</v>
      </c>
      <c r="R291" s="34" t="s">
        <v>1326</v>
      </c>
      <c r="S291" s="5" t="s">
        <v>1315</v>
      </c>
      <c r="T291" s="5" t="s">
        <v>445</v>
      </c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customFormat="1">
      <c r="A292" s="9"/>
      <c r="B292" s="5"/>
      <c r="C292" s="5"/>
      <c r="D292" s="5"/>
      <c r="E292" s="88"/>
      <c r="F292" s="5" t="s">
        <v>297</v>
      </c>
      <c r="G292" s="34" t="s">
        <v>298</v>
      </c>
      <c r="H292" s="34"/>
      <c r="I292" s="306">
        <v>-282000</v>
      </c>
      <c r="J292" s="307">
        <v>-200</v>
      </c>
      <c r="K292" s="6">
        <v>1410</v>
      </c>
      <c r="L292" s="5" t="s">
        <v>1409</v>
      </c>
      <c r="M292" s="62" t="s">
        <v>452</v>
      </c>
      <c r="N292" s="62" t="s">
        <v>464</v>
      </c>
      <c r="O292" s="62" t="s">
        <v>1410</v>
      </c>
      <c r="P292" s="100" t="s">
        <v>597</v>
      </c>
      <c r="Q292" s="5" t="s">
        <v>1411</v>
      </c>
      <c r="R292" s="34" t="s">
        <v>1411</v>
      </c>
      <c r="S292" s="5" t="s">
        <v>1412</v>
      </c>
      <c r="T292" s="5" t="s">
        <v>445</v>
      </c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customFormat="1">
      <c r="A293" s="9"/>
      <c r="B293" s="5"/>
      <c r="C293" s="5"/>
      <c r="D293" s="5"/>
      <c r="E293" s="88"/>
      <c r="F293" s="5" t="s">
        <v>297</v>
      </c>
      <c r="G293" s="34" t="s">
        <v>298</v>
      </c>
      <c r="H293" s="34"/>
      <c r="I293" s="306">
        <v>-140000</v>
      </c>
      <c r="J293" s="307">
        <v>-100</v>
      </c>
      <c r="K293" s="6">
        <v>1400</v>
      </c>
      <c r="L293" s="5" t="s">
        <v>1409</v>
      </c>
      <c r="M293" s="62" t="s">
        <v>452</v>
      </c>
      <c r="N293" s="62" t="s">
        <v>464</v>
      </c>
      <c r="O293" s="62" t="s">
        <v>1413</v>
      </c>
      <c r="P293" s="100" t="s">
        <v>597</v>
      </c>
      <c r="Q293" s="5" t="s">
        <v>1414</v>
      </c>
      <c r="R293" s="34" t="s">
        <v>1414</v>
      </c>
      <c r="S293" s="5" t="s">
        <v>1415</v>
      </c>
      <c r="T293" s="5" t="s">
        <v>445</v>
      </c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customFormat="1">
      <c r="A294" s="9"/>
      <c r="B294" s="5"/>
      <c r="C294" s="5"/>
      <c r="D294" s="5"/>
      <c r="E294" s="88"/>
      <c r="F294" s="5" t="s">
        <v>297</v>
      </c>
      <c r="G294" s="34" t="s">
        <v>298</v>
      </c>
      <c r="H294" s="34"/>
      <c r="I294" s="306">
        <v>56800</v>
      </c>
      <c r="J294" s="307">
        <v>40</v>
      </c>
      <c r="K294" s="6">
        <v>1420</v>
      </c>
      <c r="L294" s="5" t="s">
        <v>1259</v>
      </c>
      <c r="M294" s="62" t="s">
        <v>1416</v>
      </c>
      <c r="N294" s="62" t="s">
        <v>464</v>
      </c>
      <c r="O294" s="62" t="s">
        <v>1417</v>
      </c>
      <c r="P294" s="100" t="s">
        <v>1418</v>
      </c>
      <c r="Q294" s="5" t="s">
        <v>1419</v>
      </c>
      <c r="R294" s="34" t="s">
        <v>1419</v>
      </c>
      <c r="S294" s="5" t="s">
        <v>1420</v>
      </c>
      <c r="T294" s="5" t="s">
        <v>445</v>
      </c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customFormat="1">
      <c r="A295" s="9"/>
      <c r="B295" s="5"/>
      <c r="C295" s="5"/>
      <c r="D295" s="5"/>
      <c r="E295" s="88"/>
      <c r="F295" s="5" t="s">
        <v>297</v>
      </c>
      <c r="G295" s="34" t="s">
        <v>298</v>
      </c>
      <c r="H295" s="34"/>
      <c r="I295" s="306">
        <v>426000</v>
      </c>
      <c r="J295" s="307">
        <v>300</v>
      </c>
      <c r="K295" s="6">
        <v>1420</v>
      </c>
      <c r="L295" s="5" t="s">
        <v>1254</v>
      </c>
      <c r="M295" s="62" t="s">
        <v>1416</v>
      </c>
      <c r="N295" s="62" t="s">
        <v>464</v>
      </c>
      <c r="O295" s="62" t="s">
        <v>1421</v>
      </c>
      <c r="P295" s="100" t="s">
        <v>1418</v>
      </c>
      <c r="Q295" s="5" t="s">
        <v>1422</v>
      </c>
      <c r="R295" s="34" t="s">
        <v>1422</v>
      </c>
      <c r="S295" s="5" t="s">
        <v>1423</v>
      </c>
      <c r="T295" s="5" t="s">
        <v>445</v>
      </c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customFormat="1">
      <c r="A296" s="9"/>
      <c r="B296" s="5"/>
      <c r="C296" s="5"/>
      <c r="D296" s="5"/>
      <c r="E296" s="88"/>
      <c r="F296" s="5" t="s">
        <v>297</v>
      </c>
      <c r="G296" s="34" t="s">
        <v>298</v>
      </c>
      <c r="H296" s="34"/>
      <c r="I296" s="306">
        <v>-540000</v>
      </c>
      <c r="J296" s="307">
        <v>-400</v>
      </c>
      <c r="K296" s="6">
        <v>1350</v>
      </c>
      <c r="L296" s="5" t="s">
        <v>1424</v>
      </c>
      <c r="M296" s="62" t="s">
        <v>452</v>
      </c>
      <c r="N296" s="62" t="s">
        <v>464</v>
      </c>
      <c r="O296" s="62" t="s">
        <v>1425</v>
      </c>
      <c r="P296" s="100" t="s">
        <v>597</v>
      </c>
      <c r="Q296" s="5" t="s">
        <v>1426</v>
      </c>
      <c r="R296" s="34" t="s">
        <v>1426</v>
      </c>
      <c r="S296" s="5" t="s">
        <v>1427</v>
      </c>
      <c r="T296" s="5" t="s">
        <v>445</v>
      </c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customFormat="1">
      <c r="A297" s="9"/>
      <c r="B297" s="5"/>
      <c r="C297" s="5"/>
      <c r="D297" s="5"/>
      <c r="E297" s="88"/>
      <c r="F297" s="5" t="s">
        <v>1380</v>
      </c>
      <c r="G297" s="34" t="s">
        <v>1381</v>
      </c>
      <c r="H297" s="34"/>
      <c r="I297" s="306">
        <v>85200</v>
      </c>
      <c r="J297" s="307">
        <v>60</v>
      </c>
      <c r="K297" s="6">
        <v>1420</v>
      </c>
      <c r="L297" s="5" t="s">
        <v>1259</v>
      </c>
      <c r="M297" s="62" t="s">
        <v>1382</v>
      </c>
      <c r="N297" s="62" t="s">
        <v>464</v>
      </c>
      <c r="O297" s="62" t="s">
        <v>1383</v>
      </c>
      <c r="P297" s="100" t="s">
        <v>1384</v>
      </c>
      <c r="Q297" s="5" t="s">
        <v>1385</v>
      </c>
      <c r="R297" s="34" t="s">
        <v>1386</v>
      </c>
      <c r="S297" s="5" t="s">
        <v>1387</v>
      </c>
      <c r="T297" s="5" t="s">
        <v>445</v>
      </c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customFormat="1">
      <c r="A298" s="9"/>
      <c r="B298" s="5"/>
      <c r="C298" s="5"/>
      <c r="D298" s="5"/>
      <c r="E298" s="88"/>
      <c r="F298" s="5" t="s">
        <v>1380</v>
      </c>
      <c r="G298" s="34" t="s">
        <v>1381</v>
      </c>
      <c r="H298" s="34"/>
      <c r="I298" s="306">
        <v>85200</v>
      </c>
      <c r="J298" s="307">
        <v>60</v>
      </c>
      <c r="K298" s="6">
        <v>1420</v>
      </c>
      <c r="L298" s="5" t="s">
        <v>1259</v>
      </c>
      <c r="M298" s="62" t="s">
        <v>1382</v>
      </c>
      <c r="N298" s="62" t="s">
        <v>464</v>
      </c>
      <c r="O298" s="62" t="s">
        <v>1388</v>
      </c>
      <c r="P298" s="100" t="s">
        <v>1384</v>
      </c>
      <c r="Q298" s="5" t="s">
        <v>1389</v>
      </c>
      <c r="R298" s="34" t="s">
        <v>1390</v>
      </c>
      <c r="S298" s="5" t="s">
        <v>1391</v>
      </c>
      <c r="T298" s="5" t="s">
        <v>445</v>
      </c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customFormat="1">
      <c r="A299" s="9"/>
      <c r="B299" s="5"/>
      <c r="C299" s="5"/>
      <c r="D299" s="5"/>
      <c r="E299" s="88"/>
      <c r="F299" s="5" t="s">
        <v>1380</v>
      </c>
      <c r="G299" s="34" t="s">
        <v>1381</v>
      </c>
      <c r="H299" s="34"/>
      <c r="I299" s="306">
        <v>426000</v>
      </c>
      <c r="J299" s="307">
        <v>300</v>
      </c>
      <c r="K299" s="6">
        <v>1420</v>
      </c>
      <c r="L299" s="5" t="s">
        <v>1254</v>
      </c>
      <c r="M299" s="62" t="s">
        <v>1382</v>
      </c>
      <c r="N299" s="62" t="s">
        <v>464</v>
      </c>
      <c r="O299" s="62" t="s">
        <v>1394</v>
      </c>
      <c r="P299" s="100" t="s">
        <v>1384</v>
      </c>
      <c r="Q299" s="5" t="s">
        <v>1395</v>
      </c>
      <c r="R299" s="34" t="s">
        <v>1396</v>
      </c>
      <c r="S299" s="5" t="s">
        <v>1397</v>
      </c>
      <c r="T299" s="5" t="s">
        <v>445</v>
      </c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customFormat="1">
      <c r="A300" s="9"/>
      <c r="B300" s="5"/>
      <c r="C300" s="5"/>
      <c r="D300" s="5"/>
      <c r="E300" s="88"/>
      <c r="F300" s="5" t="s">
        <v>1380</v>
      </c>
      <c r="G300" s="34" t="s">
        <v>1381</v>
      </c>
      <c r="H300" s="34"/>
      <c r="I300" s="306">
        <v>56800</v>
      </c>
      <c r="J300" s="307">
        <v>40</v>
      </c>
      <c r="K300" s="6">
        <v>1420</v>
      </c>
      <c r="L300" s="5" t="s">
        <v>1259</v>
      </c>
      <c r="M300" s="62" t="s">
        <v>1382</v>
      </c>
      <c r="N300" s="62" t="s">
        <v>464</v>
      </c>
      <c r="O300" s="62" t="s">
        <v>1398</v>
      </c>
      <c r="P300" s="100" t="s">
        <v>1384</v>
      </c>
      <c r="Q300" s="5" t="s">
        <v>1399</v>
      </c>
      <c r="R300" s="34" t="s">
        <v>1400</v>
      </c>
      <c r="S300" s="5" t="s">
        <v>1401</v>
      </c>
      <c r="T300" s="5" t="s">
        <v>445</v>
      </c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customFormat="1">
      <c r="A301" s="9"/>
      <c r="B301" s="5"/>
      <c r="C301" s="5"/>
      <c r="D301" s="5"/>
      <c r="E301" s="88"/>
      <c r="F301" s="5" t="s">
        <v>1380</v>
      </c>
      <c r="G301" s="34" t="s">
        <v>1381</v>
      </c>
      <c r="H301" s="34"/>
      <c r="I301" s="306">
        <v>1079200</v>
      </c>
      <c r="J301" s="307">
        <v>760</v>
      </c>
      <c r="K301" s="6">
        <v>1420</v>
      </c>
      <c r="L301" s="5" t="s">
        <v>1259</v>
      </c>
      <c r="M301" s="62" t="s">
        <v>1382</v>
      </c>
      <c r="N301" s="62" t="s">
        <v>464</v>
      </c>
      <c r="O301" s="62" t="s">
        <v>1402</v>
      </c>
      <c r="P301" s="100" t="s">
        <v>1384</v>
      </c>
      <c r="Q301" s="5" t="s">
        <v>1403</v>
      </c>
      <c r="R301" s="34" t="s">
        <v>1400</v>
      </c>
      <c r="S301" s="5" t="s">
        <v>1404</v>
      </c>
      <c r="T301" s="5" t="s">
        <v>445</v>
      </c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customFormat="1">
      <c r="A302" s="9"/>
      <c r="B302" s="5"/>
      <c r="C302" s="5"/>
      <c r="D302" s="5"/>
      <c r="E302" s="88"/>
      <c r="F302" s="5" t="s">
        <v>1380</v>
      </c>
      <c r="G302" s="34" t="s">
        <v>1381</v>
      </c>
      <c r="H302" s="34"/>
      <c r="I302" s="306">
        <v>176400</v>
      </c>
      <c r="J302" s="307">
        <v>120</v>
      </c>
      <c r="K302" s="6">
        <v>1470</v>
      </c>
      <c r="L302" s="5" t="s">
        <v>1199</v>
      </c>
      <c r="M302" s="62" t="s">
        <v>1382</v>
      </c>
      <c r="N302" s="62" t="s">
        <v>464</v>
      </c>
      <c r="O302" s="62" t="s">
        <v>1405</v>
      </c>
      <c r="P302" s="100" t="s">
        <v>1384</v>
      </c>
      <c r="Q302" s="5" t="s">
        <v>1406</v>
      </c>
      <c r="R302" s="34" t="s">
        <v>1407</v>
      </c>
      <c r="S302" s="5" t="s">
        <v>1408</v>
      </c>
      <c r="T302" s="5" t="s">
        <v>445</v>
      </c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customFormat="1">
      <c r="A303" s="9"/>
      <c r="B303" s="5"/>
      <c r="C303" s="5"/>
      <c r="D303" s="5"/>
      <c r="E303" s="88"/>
      <c r="F303" s="5" t="s">
        <v>1380</v>
      </c>
      <c r="G303" s="34" t="s">
        <v>1381</v>
      </c>
      <c r="H303" s="34"/>
      <c r="I303" s="306">
        <v>-56800</v>
      </c>
      <c r="J303" s="307">
        <v>-40</v>
      </c>
      <c r="K303" s="6">
        <v>1420</v>
      </c>
      <c r="L303" s="5" t="s">
        <v>1259</v>
      </c>
      <c r="M303" s="62" t="s">
        <v>1416</v>
      </c>
      <c r="N303" s="62" t="s">
        <v>464</v>
      </c>
      <c r="O303" s="62" t="s">
        <v>1417</v>
      </c>
      <c r="P303" s="100" t="s">
        <v>1418</v>
      </c>
      <c r="Q303" s="5" t="s">
        <v>1419</v>
      </c>
      <c r="R303" s="34" t="s">
        <v>1419</v>
      </c>
      <c r="S303" s="5" t="s">
        <v>1420</v>
      </c>
      <c r="T303" s="5" t="s">
        <v>445</v>
      </c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customFormat="1">
      <c r="A304" s="9"/>
      <c r="B304" s="5"/>
      <c r="C304" s="5"/>
      <c r="D304" s="5"/>
      <c r="E304" s="88"/>
      <c r="F304" s="5" t="s">
        <v>1380</v>
      </c>
      <c r="G304" s="34" t="s">
        <v>1381</v>
      </c>
      <c r="H304" s="34"/>
      <c r="I304" s="306">
        <v>-426000</v>
      </c>
      <c r="J304" s="307">
        <v>-300</v>
      </c>
      <c r="K304" s="6">
        <v>1420</v>
      </c>
      <c r="L304" s="5" t="s">
        <v>1254</v>
      </c>
      <c r="M304" s="62" t="s">
        <v>1416</v>
      </c>
      <c r="N304" s="62" t="s">
        <v>464</v>
      </c>
      <c r="O304" s="62" t="s">
        <v>1421</v>
      </c>
      <c r="P304" s="100" t="s">
        <v>1418</v>
      </c>
      <c r="Q304" s="5" t="s">
        <v>1422</v>
      </c>
      <c r="R304" s="34" t="s">
        <v>1422</v>
      </c>
      <c r="S304" s="5" t="s">
        <v>1423</v>
      </c>
      <c r="T304" s="5" t="s">
        <v>445</v>
      </c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customFormat="1">
      <c r="A305" s="9"/>
      <c r="B305" s="5"/>
      <c r="C305" s="5"/>
      <c r="D305" s="5"/>
      <c r="E305" s="88"/>
      <c r="F305" s="5" t="s">
        <v>1380</v>
      </c>
      <c r="G305" s="34" t="s">
        <v>1381</v>
      </c>
      <c r="H305" s="34"/>
      <c r="I305" s="306">
        <v>-85200.000499999995</v>
      </c>
      <c r="J305" s="307">
        <v>-57.959184013605402</v>
      </c>
      <c r="K305" s="6">
        <v>1470</v>
      </c>
      <c r="L305" s="5" t="s">
        <v>1199</v>
      </c>
      <c r="M305" s="62" t="s">
        <v>1416</v>
      </c>
      <c r="N305" s="62" t="s">
        <v>464</v>
      </c>
      <c r="O305" s="62" t="s">
        <v>1428</v>
      </c>
      <c r="P305" s="100" t="s">
        <v>1418</v>
      </c>
      <c r="Q305" s="5" t="s">
        <v>1429</v>
      </c>
      <c r="R305" s="34" t="s">
        <v>1429</v>
      </c>
      <c r="S305" s="5" t="s">
        <v>1430</v>
      </c>
      <c r="T305" s="5" t="s">
        <v>445</v>
      </c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customFormat="1">
      <c r="A306" s="9"/>
      <c r="B306" s="5"/>
      <c r="C306" s="5"/>
      <c r="D306" s="5"/>
      <c r="E306" s="88"/>
      <c r="F306" s="5" t="s">
        <v>1380</v>
      </c>
      <c r="G306" s="34" t="s">
        <v>1381</v>
      </c>
      <c r="H306" s="34"/>
      <c r="I306" s="306">
        <v>-993999.99970000004</v>
      </c>
      <c r="J306" s="307">
        <v>-676.19047598639497</v>
      </c>
      <c r="K306" s="6">
        <v>1470</v>
      </c>
      <c r="L306" s="5" t="s">
        <v>1199</v>
      </c>
      <c r="M306" s="62" t="s">
        <v>1416</v>
      </c>
      <c r="N306" s="62" t="s">
        <v>464</v>
      </c>
      <c r="O306" s="62" t="s">
        <v>1431</v>
      </c>
      <c r="P306" s="100" t="s">
        <v>1418</v>
      </c>
      <c r="Q306" s="5" t="s">
        <v>1432</v>
      </c>
      <c r="R306" s="34" t="s">
        <v>1432</v>
      </c>
      <c r="S306" s="5" t="s">
        <v>1433</v>
      </c>
      <c r="T306" s="5" t="s">
        <v>445</v>
      </c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customFormat="1">
      <c r="A307" s="9"/>
      <c r="B307" s="5"/>
      <c r="C307" s="5"/>
      <c r="D307" s="5"/>
      <c r="E307" s="88"/>
      <c r="F307" s="5" t="s">
        <v>1380</v>
      </c>
      <c r="G307" s="34" t="s">
        <v>1381</v>
      </c>
      <c r="H307" s="34"/>
      <c r="I307" s="306">
        <v>-85200.000499999995</v>
      </c>
      <c r="J307" s="307">
        <v>-57.959184013605402</v>
      </c>
      <c r="K307" s="6">
        <v>1470</v>
      </c>
      <c r="L307" s="5" t="s">
        <v>1199</v>
      </c>
      <c r="M307" s="62" t="s">
        <v>1416</v>
      </c>
      <c r="N307" s="62" t="s">
        <v>464</v>
      </c>
      <c r="O307" s="62" t="s">
        <v>1434</v>
      </c>
      <c r="P307" s="100" t="s">
        <v>1418</v>
      </c>
      <c r="Q307" s="5" t="s">
        <v>1435</v>
      </c>
      <c r="R307" s="34" t="s">
        <v>1435</v>
      </c>
      <c r="S307" s="5" t="s">
        <v>1436</v>
      </c>
      <c r="T307" s="5" t="s">
        <v>445</v>
      </c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customFormat="1">
      <c r="A308" s="9"/>
      <c r="B308" s="5"/>
      <c r="C308" s="5"/>
      <c r="D308" s="5"/>
      <c r="E308" s="88"/>
      <c r="F308" s="5" t="s">
        <v>1380</v>
      </c>
      <c r="G308" s="34" t="s">
        <v>1381</v>
      </c>
      <c r="H308" s="34"/>
      <c r="I308" s="306">
        <v>-1352400</v>
      </c>
      <c r="J308" s="307">
        <v>-920</v>
      </c>
      <c r="K308" s="6">
        <v>1470</v>
      </c>
      <c r="L308" s="5" t="s">
        <v>1199</v>
      </c>
      <c r="M308" s="62" t="s">
        <v>1416</v>
      </c>
      <c r="N308" s="62" t="s">
        <v>464</v>
      </c>
      <c r="O308" s="62" t="s">
        <v>1437</v>
      </c>
      <c r="P308" s="100" t="s">
        <v>1418</v>
      </c>
      <c r="Q308" s="5" t="s">
        <v>1438</v>
      </c>
      <c r="R308" s="34" t="s">
        <v>1438</v>
      </c>
      <c r="S308" s="5" t="s">
        <v>1439</v>
      </c>
      <c r="T308" s="5" t="s">
        <v>445</v>
      </c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customFormat="1">
      <c r="A309" s="9"/>
      <c r="B309" s="5"/>
      <c r="C309" s="5"/>
      <c r="D309" s="5"/>
      <c r="E309" s="88"/>
      <c r="F309" s="5" t="s">
        <v>1380</v>
      </c>
      <c r="G309" s="34" t="s">
        <v>1381</v>
      </c>
      <c r="H309" s="34"/>
      <c r="I309" s="306">
        <v>-85200</v>
      </c>
      <c r="J309" s="307">
        <v>-60</v>
      </c>
      <c r="K309" s="6">
        <v>1420</v>
      </c>
      <c r="L309" s="5" t="s">
        <v>1199</v>
      </c>
      <c r="M309" s="62" t="s">
        <v>1416</v>
      </c>
      <c r="N309" s="62" t="s">
        <v>464</v>
      </c>
      <c r="O309" s="62" t="s">
        <v>1440</v>
      </c>
      <c r="P309" s="100" t="s">
        <v>1418</v>
      </c>
      <c r="Q309" s="5" t="s">
        <v>1441</v>
      </c>
      <c r="R309" s="34" t="s">
        <v>1441</v>
      </c>
      <c r="S309" s="5" t="s">
        <v>1442</v>
      </c>
      <c r="T309" s="5" t="s">
        <v>445</v>
      </c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customFormat="1">
      <c r="A310" s="9"/>
      <c r="B310" s="5"/>
      <c r="C310" s="5"/>
      <c r="D310" s="5"/>
      <c r="E310" s="88"/>
      <c r="F310" s="5" t="s">
        <v>303</v>
      </c>
      <c r="G310" s="34" t="s">
        <v>304</v>
      </c>
      <c r="H310" s="34"/>
      <c r="I310" s="306">
        <v>-631900</v>
      </c>
      <c r="J310" s="307">
        <v>-445</v>
      </c>
      <c r="K310" s="6">
        <v>1420</v>
      </c>
      <c r="L310" s="5" t="s">
        <v>1199</v>
      </c>
      <c r="M310" s="62" t="s">
        <v>452</v>
      </c>
      <c r="N310" s="62" t="s">
        <v>464</v>
      </c>
      <c r="O310" s="62" t="s">
        <v>1208</v>
      </c>
      <c r="P310" s="100" t="s">
        <v>597</v>
      </c>
      <c r="Q310" s="5" t="s">
        <v>1209</v>
      </c>
      <c r="R310" s="34" t="s">
        <v>1212</v>
      </c>
      <c r="S310" s="5" t="s">
        <v>1211</v>
      </c>
      <c r="T310" s="5" t="s">
        <v>445</v>
      </c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customFormat="1">
      <c r="A311" s="9"/>
      <c r="B311" s="5"/>
      <c r="C311" s="5"/>
      <c r="D311" s="5"/>
      <c r="E311" s="88"/>
      <c r="F311" s="5" t="s">
        <v>309</v>
      </c>
      <c r="G311" s="34" t="s">
        <v>310</v>
      </c>
      <c r="H311" s="34"/>
      <c r="I311" s="306">
        <v>-1378125</v>
      </c>
      <c r="J311" s="307">
        <v>-937.5</v>
      </c>
      <c r="K311" s="6">
        <v>1470</v>
      </c>
      <c r="L311" s="5" t="s">
        <v>1199</v>
      </c>
      <c r="M311" s="62" t="s">
        <v>452</v>
      </c>
      <c r="N311" s="62" t="s">
        <v>464</v>
      </c>
      <c r="O311" s="62" t="s">
        <v>1200</v>
      </c>
      <c r="P311" s="100" t="s">
        <v>597</v>
      </c>
      <c r="Q311" s="5" t="s">
        <v>1201</v>
      </c>
      <c r="R311" s="34" t="s">
        <v>1202</v>
      </c>
      <c r="S311" s="5" t="s">
        <v>1203</v>
      </c>
      <c r="T311" s="5" t="s">
        <v>445</v>
      </c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customFormat="1">
      <c r="A312" s="9"/>
      <c r="B312" s="5"/>
      <c r="C312" s="5"/>
      <c r="D312" s="5"/>
      <c r="E312" s="88"/>
      <c r="F312" s="5" t="s">
        <v>309</v>
      </c>
      <c r="G312" s="34" t="s">
        <v>310</v>
      </c>
      <c r="H312" s="34"/>
      <c r="I312" s="306">
        <v>-941711.4</v>
      </c>
      <c r="J312" s="307">
        <v>-640.62</v>
      </c>
      <c r="K312" s="6">
        <v>1470</v>
      </c>
      <c r="L312" s="5" t="s">
        <v>1199</v>
      </c>
      <c r="M312" s="62" t="s">
        <v>452</v>
      </c>
      <c r="N312" s="62" t="s">
        <v>464</v>
      </c>
      <c r="O312" s="62" t="s">
        <v>1208</v>
      </c>
      <c r="P312" s="100" t="s">
        <v>597</v>
      </c>
      <c r="Q312" s="5" t="s">
        <v>1209</v>
      </c>
      <c r="R312" s="34" t="s">
        <v>1210</v>
      </c>
      <c r="S312" s="5" t="s">
        <v>1211</v>
      </c>
      <c r="T312" s="5" t="s">
        <v>445</v>
      </c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customFormat="1">
      <c r="A313" s="9"/>
      <c r="B313" s="5"/>
      <c r="C313" s="5"/>
      <c r="D313" s="5"/>
      <c r="E313" s="88"/>
      <c r="F313" s="5" t="s">
        <v>309</v>
      </c>
      <c r="G313" s="34" t="s">
        <v>310</v>
      </c>
      <c r="H313" s="34"/>
      <c r="I313" s="306">
        <v>-1278000</v>
      </c>
      <c r="J313" s="307">
        <v>-900</v>
      </c>
      <c r="K313" s="6">
        <v>1420</v>
      </c>
      <c r="L313" s="5" t="s">
        <v>1218</v>
      </c>
      <c r="M313" s="62" t="s">
        <v>452</v>
      </c>
      <c r="N313" s="62" t="s">
        <v>464</v>
      </c>
      <c r="O313" s="62" t="s">
        <v>1219</v>
      </c>
      <c r="P313" s="100" t="s">
        <v>597</v>
      </c>
      <c r="Q313" s="5" t="s">
        <v>1220</v>
      </c>
      <c r="R313" s="34" t="s">
        <v>1221</v>
      </c>
      <c r="S313" s="5" t="s">
        <v>1222</v>
      </c>
      <c r="T313" s="5" t="s">
        <v>445</v>
      </c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customFormat="1">
      <c r="A314" s="9"/>
      <c r="B314" s="5"/>
      <c r="C314" s="5"/>
      <c r="D314" s="5"/>
      <c r="E314" s="88"/>
      <c r="F314" s="5" t="s">
        <v>309</v>
      </c>
      <c r="G314" s="34" t="s">
        <v>310</v>
      </c>
      <c r="H314" s="34"/>
      <c r="I314" s="306">
        <v>-1617000</v>
      </c>
      <c r="J314" s="307">
        <v>-1100</v>
      </c>
      <c r="K314" s="6">
        <v>1470</v>
      </c>
      <c r="L314" s="5" t="s">
        <v>1199</v>
      </c>
      <c r="M314" s="62" t="s">
        <v>452</v>
      </c>
      <c r="N314" s="62" t="s">
        <v>464</v>
      </c>
      <c r="O314" s="62" t="s">
        <v>1200</v>
      </c>
      <c r="P314" s="100" t="s">
        <v>597</v>
      </c>
      <c r="Q314" s="5" t="s">
        <v>1201</v>
      </c>
      <c r="R314" s="34" t="s">
        <v>1223</v>
      </c>
      <c r="S314" s="5" t="s">
        <v>1203</v>
      </c>
      <c r="T314" s="5" t="s">
        <v>445</v>
      </c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customFormat="1">
      <c r="A315" s="9"/>
      <c r="B315" s="5"/>
      <c r="C315" s="5"/>
      <c r="D315" s="5"/>
      <c r="E315" s="88"/>
      <c r="F315" s="5" t="s">
        <v>309</v>
      </c>
      <c r="G315" s="34" t="s">
        <v>310</v>
      </c>
      <c r="H315" s="34"/>
      <c r="I315" s="306">
        <v>-1026795</v>
      </c>
      <c r="J315" s="307">
        <v>-698.5</v>
      </c>
      <c r="K315" s="6">
        <v>1470</v>
      </c>
      <c r="L315" s="5" t="s">
        <v>1199</v>
      </c>
      <c r="M315" s="62" t="s">
        <v>452</v>
      </c>
      <c r="N315" s="62" t="s">
        <v>464</v>
      </c>
      <c r="O315" s="62" t="s">
        <v>1200</v>
      </c>
      <c r="P315" s="100" t="s">
        <v>597</v>
      </c>
      <c r="Q315" s="5" t="s">
        <v>1201</v>
      </c>
      <c r="R315" s="34" t="s">
        <v>1225</v>
      </c>
      <c r="S315" s="5" t="s">
        <v>1203</v>
      </c>
      <c r="T315" s="5" t="s">
        <v>445</v>
      </c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customFormat="1">
      <c r="A316" s="9"/>
      <c r="B316" s="5"/>
      <c r="C316" s="5"/>
      <c r="D316" s="5"/>
      <c r="E316" s="88"/>
      <c r="F316" s="5" t="s">
        <v>309</v>
      </c>
      <c r="G316" s="34" t="s">
        <v>310</v>
      </c>
      <c r="H316" s="34"/>
      <c r="I316" s="306">
        <v>-4047000</v>
      </c>
      <c r="J316" s="307">
        <v>-2850</v>
      </c>
      <c r="K316" s="6">
        <v>1420</v>
      </c>
      <c r="L316" s="5" t="s">
        <v>1199</v>
      </c>
      <c r="M316" s="62" t="s">
        <v>452</v>
      </c>
      <c r="N316" s="62" t="s">
        <v>464</v>
      </c>
      <c r="O316" s="62" t="s">
        <v>1208</v>
      </c>
      <c r="P316" s="100" t="s">
        <v>597</v>
      </c>
      <c r="Q316" s="5" t="s">
        <v>1209</v>
      </c>
      <c r="R316" s="34" t="s">
        <v>1227</v>
      </c>
      <c r="S316" s="5" t="s">
        <v>1211</v>
      </c>
      <c r="T316" s="5" t="s">
        <v>445</v>
      </c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customFormat="1">
      <c r="A317" s="9"/>
      <c r="B317" s="5"/>
      <c r="C317" s="5"/>
      <c r="D317" s="5"/>
      <c r="E317" s="88"/>
      <c r="F317" s="5" t="s">
        <v>309</v>
      </c>
      <c r="G317" s="34" t="s">
        <v>310</v>
      </c>
      <c r="H317" s="34"/>
      <c r="I317" s="306">
        <v>-6248000</v>
      </c>
      <c r="J317" s="307">
        <v>-4400</v>
      </c>
      <c r="K317" s="6">
        <v>1420</v>
      </c>
      <c r="L317" s="5" t="s">
        <v>1242</v>
      </c>
      <c r="M317" s="62" t="s">
        <v>452</v>
      </c>
      <c r="N317" s="62" t="s">
        <v>464</v>
      </c>
      <c r="O317" s="62" t="s">
        <v>1243</v>
      </c>
      <c r="P317" s="100" t="s">
        <v>597</v>
      </c>
      <c r="Q317" s="5" t="s">
        <v>1244</v>
      </c>
      <c r="R317" s="34" t="s">
        <v>1245</v>
      </c>
      <c r="S317" s="5" t="s">
        <v>1246</v>
      </c>
      <c r="T317" s="5" t="s">
        <v>445</v>
      </c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customFormat="1">
      <c r="A318" s="9"/>
      <c r="B318" s="5"/>
      <c r="C318" s="5"/>
      <c r="D318" s="5"/>
      <c r="E318" s="88"/>
      <c r="F318" s="5" t="s">
        <v>309</v>
      </c>
      <c r="G318" s="34" t="s">
        <v>310</v>
      </c>
      <c r="H318" s="34"/>
      <c r="I318" s="306">
        <v>-4277700</v>
      </c>
      <c r="J318" s="307">
        <v>-2910</v>
      </c>
      <c r="K318" s="6">
        <v>1470</v>
      </c>
      <c r="L318" s="5" t="s">
        <v>1199</v>
      </c>
      <c r="M318" s="62" t="s">
        <v>452</v>
      </c>
      <c r="N318" s="62" t="s">
        <v>464</v>
      </c>
      <c r="O318" s="62" t="s">
        <v>1200</v>
      </c>
      <c r="P318" s="100" t="s">
        <v>597</v>
      </c>
      <c r="Q318" s="5" t="s">
        <v>1201</v>
      </c>
      <c r="R318" s="34" t="s">
        <v>1247</v>
      </c>
      <c r="S318" s="5" t="s">
        <v>1203</v>
      </c>
      <c r="T318" s="5" t="s">
        <v>445</v>
      </c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customFormat="1">
      <c r="A319" s="9"/>
      <c r="B319" s="5"/>
      <c r="C319" s="5"/>
      <c r="D319" s="5"/>
      <c r="E319" s="88"/>
      <c r="F319" s="5" t="s">
        <v>309</v>
      </c>
      <c r="G319" s="34" t="s">
        <v>310</v>
      </c>
      <c r="H319" s="34"/>
      <c r="I319" s="306">
        <v>-994000</v>
      </c>
      <c r="J319" s="307">
        <v>-700</v>
      </c>
      <c r="K319" s="6">
        <v>1420</v>
      </c>
      <c r="L319" s="5" t="s">
        <v>1259</v>
      </c>
      <c r="M319" s="62" t="s">
        <v>1382</v>
      </c>
      <c r="N319" s="62" t="s">
        <v>464</v>
      </c>
      <c r="O319" s="62" t="s">
        <v>1402</v>
      </c>
      <c r="P319" s="100" t="s">
        <v>1384</v>
      </c>
      <c r="Q319" s="5" t="s">
        <v>1403</v>
      </c>
      <c r="R319" s="34" t="s">
        <v>1400</v>
      </c>
      <c r="S319" s="5" t="s">
        <v>1404</v>
      </c>
      <c r="T319" s="5" t="s">
        <v>445</v>
      </c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customFormat="1">
      <c r="A320" s="9"/>
      <c r="B320" s="5"/>
      <c r="C320" s="5"/>
      <c r="D320" s="5"/>
      <c r="E320" s="88"/>
      <c r="F320" s="5" t="s">
        <v>1392</v>
      </c>
      <c r="G320" s="34" t="s">
        <v>1393</v>
      </c>
      <c r="H320" s="34"/>
      <c r="I320" s="306">
        <v>-426000</v>
      </c>
      <c r="J320" s="307">
        <v>-300</v>
      </c>
      <c r="K320" s="6">
        <v>1420</v>
      </c>
      <c r="L320" s="5" t="s">
        <v>1254</v>
      </c>
      <c r="M320" s="62" t="s">
        <v>1382</v>
      </c>
      <c r="N320" s="62" t="s">
        <v>464</v>
      </c>
      <c r="O320" s="62" t="s">
        <v>1394</v>
      </c>
      <c r="P320" s="100" t="s">
        <v>1384</v>
      </c>
      <c r="Q320" s="5" t="s">
        <v>1395</v>
      </c>
      <c r="R320" s="34" t="s">
        <v>1396</v>
      </c>
      <c r="S320" s="5" t="s">
        <v>1397</v>
      </c>
      <c r="T320" s="5" t="s">
        <v>445</v>
      </c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customFormat="1">
      <c r="A321" s="9"/>
      <c r="B321" s="5"/>
      <c r="C321" s="5"/>
      <c r="D321" s="5"/>
      <c r="E321" s="88"/>
      <c r="F321" s="5" t="s">
        <v>45</v>
      </c>
      <c r="G321" s="34" t="s">
        <v>44</v>
      </c>
      <c r="H321" s="34"/>
      <c r="I321" s="306">
        <v>511200</v>
      </c>
      <c r="J321" s="307">
        <v>360</v>
      </c>
      <c r="K321" s="6">
        <v>1420</v>
      </c>
      <c r="L321" s="5" t="s">
        <v>1242</v>
      </c>
      <c r="M321" s="62" t="s">
        <v>452</v>
      </c>
      <c r="N321" s="62" t="s">
        <v>464</v>
      </c>
      <c r="O321" s="62" t="s">
        <v>1356</v>
      </c>
      <c r="P321" s="100" t="s">
        <v>597</v>
      </c>
      <c r="Q321" s="5" t="s">
        <v>1357</v>
      </c>
      <c r="R321" s="34" t="s">
        <v>1376</v>
      </c>
      <c r="S321" s="5" t="s">
        <v>1359</v>
      </c>
      <c r="T321" s="5" t="s">
        <v>445</v>
      </c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customFormat="1" ht="50">
      <c r="B322" s="5"/>
      <c r="C322" s="305"/>
      <c r="D322" s="305"/>
      <c r="E322" s="88"/>
      <c r="F322" s="305" t="s">
        <v>457</v>
      </c>
      <c r="G322" s="305" t="s">
        <v>458</v>
      </c>
      <c r="H322" s="305"/>
      <c r="I322" s="308">
        <v>0</v>
      </c>
      <c r="J322" s="308">
        <v>-2.9999999999999997E-4</v>
      </c>
      <c r="K322" s="308">
        <v>1</v>
      </c>
      <c r="L322" s="305" t="s">
        <v>1443</v>
      </c>
      <c r="M322" s="305" t="s">
        <v>452</v>
      </c>
      <c r="N322" s="305" t="s">
        <v>442</v>
      </c>
      <c r="O322" s="305" t="s">
        <v>1444</v>
      </c>
      <c r="P322" s="305" t="s">
        <v>597</v>
      </c>
      <c r="Q322" s="305" t="s">
        <v>1445</v>
      </c>
      <c r="R322" s="305" t="s">
        <v>1445</v>
      </c>
      <c r="S322" s="305" t="s">
        <v>1446</v>
      </c>
      <c r="T322" s="305" t="s">
        <v>445</v>
      </c>
    </row>
    <row r="323" spans="1:31" customFormat="1" ht="50">
      <c r="B323" s="5"/>
      <c r="C323" s="305"/>
      <c r="D323" s="305"/>
      <c r="E323" s="88"/>
      <c r="F323" s="305" t="s">
        <v>457</v>
      </c>
      <c r="G323" s="305" t="s">
        <v>458</v>
      </c>
      <c r="H323" s="305"/>
      <c r="I323" s="308">
        <v>-0.4</v>
      </c>
      <c r="J323" s="308">
        <v>0</v>
      </c>
      <c r="K323" s="308">
        <v>1</v>
      </c>
      <c r="L323" s="305" t="s">
        <v>1443</v>
      </c>
      <c r="M323" s="305" t="s">
        <v>452</v>
      </c>
      <c r="N323" s="305" t="s">
        <v>442</v>
      </c>
      <c r="O323" s="305" t="s">
        <v>1444</v>
      </c>
      <c r="P323" s="305" t="s">
        <v>597</v>
      </c>
      <c r="Q323" s="305" t="s">
        <v>1445</v>
      </c>
      <c r="R323" s="305" t="s">
        <v>1445</v>
      </c>
      <c r="S323" s="305" t="s">
        <v>1446</v>
      </c>
      <c r="T323" s="305" t="s">
        <v>445</v>
      </c>
    </row>
    <row r="324" spans="1:31" customFormat="1" ht="50">
      <c r="B324" s="5"/>
      <c r="C324" s="305"/>
      <c r="D324" s="305"/>
      <c r="E324" s="88"/>
      <c r="F324" s="305" t="s">
        <v>457</v>
      </c>
      <c r="G324" s="305" t="s">
        <v>458</v>
      </c>
      <c r="H324" s="305"/>
      <c r="I324" s="308">
        <v>0</v>
      </c>
      <c r="J324" s="308">
        <v>1.6999999999999999E-3</v>
      </c>
      <c r="K324" s="308">
        <v>1</v>
      </c>
      <c r="L324" s="305" t="s">
        <v>1242</v>
      </c>
      <c r="M324" s="305" t="s">
        <v>452</v>
      </c>
      <c r="N324" s="305" t="s">
        <v>442</v>
      </c>
      <c r="O324" s="305" t="s">
        <v>1447</v>
      </c>
      <c r="P324" s="305" t="s">
        <v>597</v>
      </c>
      <c r="Q324" s="305" t="s">
        <v>1448</v>
      </c>
      <c r="R324" s="305" t="s">
        <v>1448</v>
      </c>
      <c r="S324" s="305" t="s">
        <v>1449</v>
      </c>
      <c r="T324" s="305" t="s">
        <v>445</v>
      </c>
    </row>
    <row r="325" spans="1:31" customFormat="1" ht="50">
      <c r="B325" s="5"/>
      <c r="C325" s="305"/>
      <c r="D325" s="305"/>
      <c r="E325" s="88"/>
      <c r="F325" s="305" t="s">
        <v>457</v>
      </c>
      <c r="G325" s="305" t="s">
        <v>458</v>
      </c>
      <c r="H325" s="305"/>
      <c r="I325" s="308">
        <v>2.4</v>
      </c>
      <c r="J325" s="308">
        <v>0</v>
      </c>
      <c r="K325" s="308">
        <v>1</v>
      </c>
      <c r="L325" s="305" t="s">
        <v>1242</v>
      </c>
      <c r="M325" s="305" t="s">
        <v>452</v>
      </c>
      <c r="N325" s="305" t="s">
        <v>442</v>
      </c>
      <c r="O325" s="305" t="s">
        <v>1447</v>
      </c>
      <c r="P325" s="305" t="s">
        <v>597</v>
      </c>
      <c r="Q325" s="305" t="s">
        <v>1448</v>
      </c>
      <c r="R325" s="305" t="s">
        <v>1448</v>
      </c>
      <c r="S325" s="305" t="s">
        <v>1449</v>
      </c>
      <c r="T325" s="305" t="s">
        <v>445</v>
      </c>
    </row>
    <row r="326" spans="1:31" customFormat="1" ht="50">
      <c r="B326" s="5"/>
      <c r="C326" s="305"/>
      <c r="D326" s="305"/>
      <c r="E326" s="88"/>
      <c r="F326" s="305" t="s">
        <v>457</v>
      </c>
      <c r="G326" s="305" t="s">
        <v>458</v>
      </c>
      <c r="H326" s="305"/>
      <c r="I326" s="308">
        <v>0</v>
      </c>
      <c r="J326" s="308">
        <v>-0.46479999999999999</v>
      </c>
      <c r="K326" s="308">
        <v>1</v>
      </c>
      <c r="L326" s="305" t="s">
        <v>1237</v>
      </c>
      <c r="M326" s="305" t="s">
        <v>452</v>
      </c>
      <c r="N326" s="305" t="s">
        <v>442</v>
      </c>
      <c r="O326" s="305" t="s">
        <v>1450</v>
      </c>
      <c r="P326" s="305" t="s">
        <v>597</v>
      </c>
      <c r="Q326" s="305" t="s">
        <v>1451</v>
      </c>
      <c r="R326" s="305" t="s">
        <v>1451</v>
      </c>
      <c r="S326" s="305" t="s">
        <v>1452</v>
      </c>
      <c r="T326" s="305" t="s">
        <v>445</v>
      </c>
    </row>
    <row r="327" spans="1:31" customFormat="1" ht="50">
      <c r="B327" s="5"/>
      <c r="C327" s="305"/>
      <c r="D327" s="305"/>
      <c r="E327" s="88"/>
      <c r="F327" s="305" t="s">
        <v>457</v>
      </c>
      <c r="G327" s="305" t="s">
        <v>458</v>
      </c>
      <c r="H327" s="305"/>
      <c r="I327" s="308">
        <v>-660</v>
      </c>
      <c r="J327" s="308">
        <v>0</v>
      </c>
      <c r="K327" s="308">
        <v>1</v>
      </c>
      <c r="L327" s="305" t="s">
        <v>1237</v>
      </c>
      <c r="M327" s="305" t="s">
        <v>452</v>
      </c>
      <c r="N327" s="305" t="s">
        <v>442</v>
      </c>
      <c r="O327" s="305" t="s">
        <v>1450</v>
      </c>
      <c r="P327" s="305" t="s">
        <v>597</v>
      </c>
      <c r="Q327" s="305" t="s">
        <v>1451</v>
      </c>
      <c r="R327" s="305" t="s">
        <v>1451</v>
      </c>
      <c r="S327" s="305" t="s">
        <v>1452</v>
      </c>
      <c r="T327" s="305" t="s">
        <v>445</v>
      </c>
    </row>
    <row r="328" spans="1:31" customFormat="1" ht="40">
      <c r="B328" s="5"/>
      <c r="C328" s="305"/>
      <c r="D328" s="305"/>
      <c r="E328" s="88"/>
      <c r="F328" s="305" t="s">
        <v>457</v>
      </c>
      <c r="G328" s="305" t="s">
        <v>458</v>
      </c>
      <c r="H328" s="305"/>
      <c r="I328" s="308">
        <v>660</v>
      </c>
      <c r="J328" s="308">
        <v>0</v>
      </c>
      <c r="K328" s="308">
        <v>1</v>
      </c>
      <c r="L328" s="305" t="s">
        <v>1237</v>
      </c>
      <c r="M328" s="305" t="s">
        <v>452</v>
      </c>
      <c r="N328" s="305" t="s">
        <v>442</v>
      </c>
      <c r="O328" s="305" t="s">
        <v>1453</v>
      </c>
      <c r="P328" s="305" t="s">
        <v>597</v>
      </c>
      <c r="Q328" s="305" t="s">
        <v>1454</v>
      </c>
      <c r="R328" s="305" t="s">
        <v>1454</v>
      </c>
      <c r="S328" s="305" t="s">
        <v>1455</v>
      </c>
      <c r="T328" s="305" t="s">
        <v>445</v>
      </c>
    </row>
    <row r="329" spans="1:31" customFormat="1" ht="40">
      <c r="B329" s="5"/>
      <c r="C329" s="305"/>
      <c r="D329" s="305"/>
      <c r="E329" s="88"/>
      <c r="F329" s="305" t="s">
        <v>457</v>
      </c>
      <c r="G329" s="305" t="s">
        <v>458</v>
      </c>
      <c r="H329" s="305"/>
      <c r="I329" s="308">
        <v>0</v>
      </c>
      <c r="J329" s="308">
        <v>0.46479999999999999</v>
      </c>
      <c r="K329" s="308">
        <v>1</v>
      </c>
      <c r="L329" s="305" t="s">
        <v>1237</v>
      </c>
      <c r="M329" s="305" t="s">
        <v>452</v>
      </c>
      <c r="N329" s="305" t="s">
        <v>442</v>
      </c>
      <c r="O329" s="305" t="s">
        <v>1453</v>
      </c>
      <c r="P329" s="305" t="s">
        <v>597</v>
      </c>
      <c r="Q329" s="305" t="s">
        <v>1454</v>
      </c>
      <c r="R329" s="305" t="s">
        <v>1454</v>
      </c>
      <c r="S329" s="305" t="s">
        <v>1455</v>
      </c>
      <c r="T329" s="305" t="s">
        <v>445</v>
      </c>
    </row>
    <row r="330" spans="1:31" customFormat="1" ht="50">
      <c r="B330" s="5"/>
      <c r="C330" s="305"/>
      <c r="D330" s="305"/>
      <c r="E330" s="88"/>
      <c r="F330" s="305" t="s">
        <v>457</v>
      </c>
      <c r="G330" s="305" t="s">
        <v>458</v>
      </c>
      <c r="H330" s="305"/>
      <c r="I330" s="308">
        <v>-6.6</v>
      </c>
      <c r="J330" s="308">
        <v>0</v>
      </c>
      <c r="K330" s="308">
        <v>1</v>
      </c>
      <c r="L330" s="305" t="s">
        <v>1237</v>
      </c>
      <c r="M330" s="305" t="s">
        <v>452</v>
      </c>
      <c r="N330" s="305" t="s">
        <v>442</v>
      </c>
      <c r="O330" s="305" t="s">
        <v>1456</v>
      </c>
      <c r="P330" s="305" t="s">
        <v>597</v>
      </c>
      <c r="Q330" s="305" t="s">
        <v>1457</v>
      </c>
      <c r="R330" s="305" t="s">
        <v>1457</v>
      </c>
      <c r="S330" s="305" t="s">
        <v>1458</v>
      </c>
      <c r="T330" s="305" t="s">
        <v>445</v>
      </c>
    </row>
    <row r="331" spans="1:31" customFormat="1" ht="50">
      <c r="B331" s="5"/>
      <c r="C331" s="305"/>
      <c r="D331" s="305"/>
      <c r="E331" s="88"/>
      <c r="F331" s="305" t="s">
        <v>457</v>
      </c>
      <c r="G331" s="305" t="s">
        <v>458</v>
      </c>
      <c r="H331" s="305"/>
      <c r="I331" s="308">
        <v>0</v>
      </c>
      <c r="J331" s="308">
        <v>-4.5999999999999999E-3</v>
      </c>
      <c r="K331" s="308">
        <v>1</v>
      </c>
      <c r="L331" s="305" t="s">
        <v>1237</v>
      </c>
      <c r="M331" s="305" t="s">
        <v>452</v>
      </c>
      <c r="N331" s="305" t="s">
        <v>442</v>
      </c>
      <c r="O331" s="305" t="s">
        <v>1456</v>
      </c>
      <c r="P331" s="305" t="s">
        <v>597</v>
      </c>
      <c r="Q331" s="305" t="s">
        <v>1457</v>
      </c>
      <c r="R331" s="305" t="s">
        <v>1457</v>
      </c>
      <c r="S331" s="305" t="s">
        <v>1458</v>
      </c>
      <c r="T331" s="305" t="s">
        <v>445</v>
      </c>
    </row>
    <row r="332" spans="1:31" customFormat="1">
      <c r="A332" s="9"/>
      <c r="B332" s="5"/>
      <c r="C332" s="5"/>
      <c r="D332" s="5"/>
      <c r="E332" s="88"/>
      <c r="F332" s="5" t="s">
        <v>318</v>
      </c>
      <c r="G332" s="34" t="s">
        <v>319</v>
      </c>
      <c r="H332" s="34"/>
      <c r="I332" s="306">
        <v>776740</v>
      </c>
      <c r="J332" s="307">
        <v>547</v>
      </c>
      <c r="K332" s="6">
        <v>1420</v>
      </c>
      <c r="L332" s="5" t="s">
        <v>1237</v>
      </c>
      <c r="M332" s="62" t="s">
        <v>452</v>
      </c>
      <c r="N332" s="62" t="s">
        <v>464</v>
      </c>
      <c r="O332" s="62" t="s">
        <v>1238</v>
      </c>
      <c r="P332" s="100" t="s">
        <v>597</v>
      </c>
      <c r="Q332" s="5" t="s">
        <v>1239</v>
      </c>
      <c r="R332" s="34" t="s">
        <v>1240</v>
      </c>
      <c r="S332" s="5" t="s">
        <v>1241</v>
      </c>
      <c r="T332" s="5" t="s">
        <v>445</v>
      </c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customFormat="1">
      <c r="A333" s="9"/>
      <c r="B333" s="5"/>
      <c r="C333" s="5"/>
      <c r="D333" s="5"/>
      <c r="E333" s="88"/>
      <c r="F333" s="5" t="s">
        <v>320</v>
      </c>
      <c r="G333" s="34" t="s">
        <v>321</v>
      </c>
      <c r="H333" s="34"/>
      <c r="I333" s="306">
        <v>48230.7</v>
      </c>
      <c r="J333" s="307">
        <v>32.81</v>
      </c>
      <c r="K333" s="6">
        <v>1470</v>
      </c>
      <c r="L333" s="5" t="s">
        <v>1199</v>
      </c>
      <c r="M333" s="62" t="s">
        <v>452</v>
      </c>
      <c r="N333" s="62" t="s">
        <v>464</v>
      </c>
      <c r="O333" s="62" t="s">
        <v>1204</v>
      </c>
      <c r="P333" s="100" t="s">
        <v>597</v>
      </c>
      <c r="Q333" s="5" t="s">
        <v>1205</v>
      </c>
      <c r="R333" s="34" t="s">
        <v>1206</v>
      </c>
      <c r="S333" s="5" t="s">
        <v>1207</v>
      </c>
      <c r="T333" s="5" t="s">
        <v>445</v>
      </c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customFormat="1">
      <c r="A334" s="9"/>
      <c r="B334" s="5"/>
      <c r="C334" s="5"/>
      <c r="D334" s="5"/>
      <c r="E334" s="88"/>
      <c r="F334" s="5" t="s">
        <v>320</v>
      </c>
      <c r="G334" s="34" t="s">
        <v>321</v>
      </c>
      <c r="H334" s="34"/>
      <c r="I334" s="306">
        <v>-3087</v>
      </c>
      <c r="J334" s="307">
        <v>-2.1</v>
      </c>
      <c r="K334" s="6">
        <v>1470</v>
      </c>
      <c r="L334" s="5" t="s">
        <v>1199</v>
      </c>
      <c r="M334" s="62" t="s">
        <v>452</v>
      </c>
      <c r="N334" s="62" t="s">
        <v>464</v>
      </c>
      <c r="O334" s="62" t="s">
        <v>1213</v>
      </c>
      <c r="P334" s="100" t="s">
        <v>597</v>
      </c>
      <c r="Q334" s="5" t="s">
        <v>1214</v>
      </c>
      <c r="R334" s="34" t="s">
        <v>1215</v>
      </c>
      <c r="S334" s="5" t="s">
        <v>1216</v>
      </c>
      <c r="T334" s="5" t="s">
        <v>445</v>
      </c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customFormat="1">
      <c r="A335" s="9"/>
      <c r="B335" s="5"/>
      <c r="C335" s="5"/>
      <c r="D335" s="5"/>
      <c r="E335" s="88"/>
      <c r="F335" s="5" t="s">
        <v>320</v>
      </c>
      <c r="G335" s="34" t="s">
        <v>321</v>
      </c>
      <c r="H335" s="34"/>
      <c r="I335" s="306">
        <v>3189.9</v>
      </c>
      <c r="J335" s="307">
        <v>2.17</v>
      </c>
      <c r="K335" s="6">
        <v>1470</v>
      </c>
      <c r="L335" s="5" t="s">
        <v>1199</v>
      </c>
      <c r="M335" s="62" t="s">
        <v>452</v>
      </c>
      <c r="N335" s="62" t="s">
        <v>464</v>
      </c>
      <c r="O335" s="62" t="s">
        <v>1204</v>
      </c>
      <c r="P335" s="100" t="s">
        <v>597</v>
      </c>
      <c r="Q335" s="5" t="s">
        <v>1205</v>
      </c>
      <c r="R335" s="34" t="s">
        <v>1217</v>
      </c>
      <c r="S335" s="5" t="s">
        <v>1207</v>
      </c>
      <c r="T335" s="5" t="s">
        <v>445</v>
      </c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customFormat="1">
      <c r="A336" s="9"/>
      <c r="B336" s="5"/>
      <c r="C336" s="5"/>
      <c r="D336" s="5"/>
      <c r="E336" s="88"/>
      <c r="F336" s="5" t="s">
        <v>320</v>
      </c>
      <c r="G336" s="34" t="s">
        <v>321</v>
      </c>
      <c r="H336" s="34"/>
      <c r="I336" s="306">
        <v>56595</v>
      </c>
      <c r="J336" s="307">
        <v>38.5</v>
      </c>
      <c r="K336" s="6">
        <v>1470</v>
      </c>
      <c r="L336" s="5" t="s">
        <v>1199</v>
      </c>
      <c r="M336" s="62" t="s">
        <v>452</v>
      </c>
      <c r="N336" s="62" t="s">
        <v>464</v>
      </c>
      <c r="O336" s="62" t="s">
        <v>1204</v>
      </c>
      <c r="P336" s="100" t="s">
        <v>597</v>
      </c>
      <c r="Q336" s="5" t="s">
        <v>1205</v>
      </c>
      <c r="R336" s="34" t="s">
        <v>1224</v>
      </c>
      <c r="S336" s="5" t="s">
        <v>1207</v>
      </c>
      <c r="T336" s="5" t="s">
        <v>445</v>
      </c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customFormat="1">
      <c r="A337" s="9"/>
      <c r="B337" s="5"/>
      <c r="C337" s="5"/>
      <c r="D337" s="5"/>
      <c r="E337" s="88"/>
      <c r="F337" s="5" t="s">
        <v>320</v>
      </c>
      <c r="G337" s="34" t="s">
        <v>321</v>
      </c>
      <c r="H337" s="34"/>
      <c r="I337" s="306">
        <v>35941.5</v>
      </c>
      <c r="J337" s="307">
        <v>24.45</v>
      </c>
      <c r="K337" s="6">
        <v>1470</v>
      </c>
      <c r="L337" s="5" t="s">
        <v>1199</v>
      </c>
      <c r="M337" s="62" t="s">
        <v>452</v>
      </c>
      <c r="N337" s="62" t="s">
        <v>464</v>
      </c>
      <c r="O337" s="62" t="s">
        <v>1204</v>
      </c>
      <c r="P337" s="100" t="s">
        <v>597</v>
      </c>
      <c r="Q337" s="5" t="s">
        <v>1205</v>
      </c>
      <c r="R337" s="34" t="s">
        <v>1226</v>
      </c>
      <c r="S337" s="5" t="s">
        <v>1207</v>
      </c>
      <c r="T337" s="5" t="s">
        <v>445</v>
      </c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customFormat="1">
      <c r="A338" s="9"/>
      <c r="B338" s="5"/>
      <c r="C338" s="5"/>
      <c r="D338" s="5"/>
      <c r="E338" s="88"/>
      <c r="F338" s="5" t="s">
        <v>320</v>
      </c>
      <c r="G338" s="34" t="s">
        <v>321</v>
      </c>
      <c r="H338" s="34"/>
      <c r="I338" s="306">
        <v>-3087</v>
      </c>
      <c r="J338" s="307">
        <v>-2.1</v>
      </c>
      <c r="K338" s="6">
        <v>1470</v>
      </c>
      <c r="L338" s="5" t="s">
        <v>1199</v>
      </c>
      <c r="M338" s="62" t="s">
        <v>452</v>
      </c>
      <c r="N338" s="62" t="s">
        <v>464</v>
      </c>
      <c r="O338" s="62" t="s">
        <v>1213</v>
      </c>
      <c r="P338" s="100" t="s">
        <v>597</v>
      </c>
      <c r="Q338" s="5" t="s">
        <v>1214</v>
      </c>
      <c r="R338" s="34" t="s">
        <v>1228</v>
      </c>
      <c r="S338" s="5" t="s">
        <v>1216</v>
      </c>
      <c r="T338" s="5" t="s">
        <v>445</v>
      </c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customFormat="1">
      <c r="A339" s="9"/>
      <c r="B339" s="5"/>
      <c r="C339" s="5"/>
      <c r="D339" s="5"/>
      <c r="E339" s="88"/>
      <c r="F339" s="5" t="s">
        <v>320</v>
      </c>
      <c r="G339" s="34" t="s">
        <v>321</v>
      </c>
      <c r="H339" s="34"/>
      <c r="I339" s="306">
        <v>3189.9</v>
      </c>
      <c r="J339" s="307">
        <v>2.17</v>
      </c>
      <c r="K339" s="6">
        <v>1470</v>
      </c>
      <c r="L339" s="5" t="s">
        <v>1199</v>
      </c>
      <c r="M339" s="62" t="s">
        <v>452</v>
      </c>
      <c r="N339" s="62" t="s">
        <v>464</v>
      </c>
      <c r="O339" s="62" t="s">
        <v>1204</v>
      </c>
      <c r="P339" s="100" t="s">
        <v>597</v>
      </c>
      <c r="Q339" s="5" t="s">
        <v>1205</v>
      </c>
      <c r="R339" s="34" t="s">
        <v>1229</v>
      </c>
      <c r="S339" s="5" t="s">
        <v>1207</v>
      </c>
      <c r="T339" s="5" t="s">
        <v>445</v>
      </c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customFormat="1">
      <c r="A340" s="9"/>
      <c r="B340" s="5"/>
      <c r="C340" s="5"/>
      <c r="D340" s="5"/>
      <c r="E340" s="88"/>
      <c r="F340" s="5" t="s">
        <v>320</v>
      </c>
      <c r="G340" s="34" t="s">
        <v>321</v>
      </c>
      <c r="H340" s="34"/>
      <c r="I340" s="306">
        <v>-3087</v>
      </c>
      <c r="J340" s="307">
        <v>-2.1</v>
      </c>
      <c r="K340" s="6">
        <v>1470</v>
      </c>
      <c r="L340" s="5" t="s">
        <v>1199</v>
      </c>
      <c r="M340" s="62" t="s">
        <v>452</v>
      </c>
      <c r="N340" s="62" t="s">
        <v>464</v>
      </c>
      <c r="O340" s="62" t="s">
        <v>1213</v>
      </c>
      <c r="P340" s="100" t="s">
        <v>597</v>
      </c>
      <c r="Q340" s="5" t="s">
        <v>1214</v>
      </c>
      <c r="R340" s="34" t="s">
        <v>1230</v>
      </c>
      <c r="S340" s="5" t="s">
        <v>1216</v>
      </c>
      <c r="T340" s="5" t="s">
        <v>445</v>
      </c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customFormat="1">
      <c r="A341" s="9"/>
      <c r="B341" s="5"/>
      <c r="C341" s="5"/>
      <c r="D341" s="5"/>
      <c r="E341" s="88"/>
      <c r="F341" s="5" t="s">
        <v>320</v>
      </c>
      <c r="G341" s="34" t="s">
        <v>321</v>
      </c>
      <c r="H341" s="34"/>
      <c r="I341" s="306">
        <v>-36015</v>
      </c>
      <c r="J341" s="307">
        <v>-24.5</v>
      </c>
      <c r="K341" s="6">
        <v>1470</v>
      </c>
      <c r="L341" s="5" t="s">
        <v>1199</v>
      </c>
      <c r="M341" s="62" t="s">
        <v>452</v>
      </c>
      <c r="N341" s="62" t="s">
        <v>464</v>
      </c>
      <c r="O341" s="62" t="s">
        <v>1213</v>
      </c>
      <c r="P341" s="100" t="s">
        <v>597</v>
      </c>
      <c r="Q341" s="5" t="s">
        <v>1214</v>
      </c>
      <c r="R341" s="34" t="s">
        <v>1230</v>
      </c>
      <c r="S341" s="5" t="s">
        <v>1216</v>
      </c>
      <c r="T341" s="5" t="s">
        <v>445</v>
      </c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customFormat="1">
      <c r="A342" s="9"/>
      <c r="B342" s="5"/>
      <c r="C342" s="5"/>
      <c r="D342" s="5"/>
      <c r="E342" s="88"/>
      <c r="F342" s="5" t="s">
        <v>320</v>
      </c>
      <c r="G342" s="34" t="s">
        <v>321</v>
      </c>
      <c r="H342" s="34"/>
      <c r="I342" s="306">
        <v>37279.199999999997</v>
      </c>
      <c r="J342" s="307">
        <v>25.36</v>
      </c>
      <c r="K342" s="6">
        <v>1470</v>
      </c>
      <c r="L342" s="5" t="s">
        <v>1199</v>
      </c>
      <c r="M342" s="62" t="s">
        <v>452</v>
      </c>
      <c r="N342" s="62" t="s">
        <v>464</v>
      </c>
      <c r="O342" s="62" t="s">
        <v>1204</v>
      </c>
      <c r="P342" s="100" t="s">
        <v>597</v>
      </c>
      <c r="Q342" s="5" t="s">
        <v>1205</v>
      </c>
      <c r="R342" s="34" t="s">
        <v>1231</v>
      </c>
      <c r="S342" s="5" t="s">
        <v>1207</v>
      </c>
      <c r="T342" s="5" t="s">
        <v>445</v>
      </c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customFormat="1">
      <c r="A343" s="9"/>
      <c r="B343" s="5"/>
      <c r="C343" s="5"/>
      <c r="D343" s="5"/>
      <c r="E343" s="88"/>
      <c r="F343" s="5" t="s">
        <v>320</v>
      </c>
      <c r="G343" s="34" t="s">
        <v>321</v>
      </c>
      <c r="H343" s="34"/>
      <c r="I343" s="306">
        <v>3189.9</v>
      </c>
      <c r="J343" s="307">
        <v>2.17</v>
      </c>
      <c r="K343" s="6">
        <v>1470</v>
      </c>
      <c r="L343" s="5" t="s">
        <v>1199</v>
      </c>
      <c r="M343" s="62" t="s">
        <v>452</v>
      </c>
      <c r="N343" s="62" t="s">
        <v>464</v>
      </c>
      <c r="O343" s="62" t="s">
        <v>1204</v>
      </c>
      <c r="P343" s="100" t="s">
        <v>597</v>
      </c>
      <c r="Q343" s="5" t="s">
        <v>1205</v>
      </c>
      <c r="R343" s="34" t="s">
        <v>1231</v>
      </c>
      <c r="S343" s="5" t="s">
        <v>1207</v>
      </c>
      <c r="T343" s="5" t="s">
        <v>445</v>
      </c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customFormat="1">
      <c r="A344" s="9"/>
      <c r="B344" s="5"/>
      <c r="C344" s="5"/>
      <c r="D344" s="5"/>
      <c r="E344" s="88"/>
      <c r="F344" s="5" t="s">
        <v>320</v>
      </c>
      <c r="G344" s="34" t="s">
        <v>321</v>
      </c>
      <c r="H344" s="34"/>
      <c r="I344" s="306">
        <v>-6174</v>
      </c>
      <c r="J344" s="307">
        <v>-4.2</v>
      </c>
      <c r="K344" s="6">
        <v>1470</v>
      </c>
      <c r="L344" s="5" t="s">
        <v>1199</v>
      </c>
      <c r="M344" s="62" t="s">
        <v>452</v>
      </c>
      <c r="N344" s="62" t="s">
        <v>464</v>
      </c>
      <c r="O344" s="62" t="s">
        <v>1213</v>
      </c>
      <c r="P344" s="100" t="s">
        <v>597</v>
      </c>
      <c r="Q344" s="5" t="s">
        <v>1214</v>
      </c>
      <c r="R344" s="34" t="s">
        <v>1232</v>
      </c>
      <c r="S344" s="5" t="s">
        <v>1216</v>
      </c>
      <c r="T344" s="5" t="s">
        <v>445</v>
      </c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customFormat="1">
      <c r="A345" s="9"/>
      <c r="B345" s="5"/>
      <c r="C345" s="5"/>
      <c r="D345" s="5"/>
      <c r="E345" s="88"/>
      <c r="F345" s="5" t="s">
        <v>320</v>
      </c>
      <c r="G345" s="34" t="s">
        <v>321</v>
      </c>
      <c r="H345" s="34"/>
      <c r="I345" s="306">
        <v>-41160</v>
      </c>
      <c r="J345" s="307">
        <v>-28</v>
      </c>
      <c r="K345" s="6">
        <v>1470</v>
      </c>
      <c r="L345" s="5" t="s">
        <v>1199</v>
      </c>
      <c r="M345" s="62" t="s">
        <v>452</v>
      </c>
      <c r="N345" s="62" t="s">
        <v>464</v>
      </c>
      <c r="O345" s="62" t="s">
        <v>1213</v>
      </c>
      <c r="P345" s="100" t="s">
        <v>597</v>
      </c>
      <c r="Q345" s="5" t="s">
        <v>1214</v>
      </c>
      <c r="R345" s="34" t="s">
        <v>1232</v>
      </c>
      <c r="S345" s="5" t="s">
        <v>1216</v>
      </c>
      <c r="T345" s="5" t="s">
        <v>445</v>
      </c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customFormat="1">
      <c r="A346" s="9"/>
      <c r="B346" s="5"/>
      <c r="C346" s="5"/>
      <c r="D346" s="5"/>
      <c r="E346" s="88"/>
      <c r="F346" s="5" t="s">
        <v>320</v>
      </c>
      <c r="G346" s="34" t="s">
        <v>321</v>
      </c>
      <c r="H346" s="34"/>
      <c r="I346" s="306">
        <v>-41013</v>
      </c>
      <c r="J346" s="307">
        <v>-27.9</v>
      </c>
      <c r="K346" s="6">
        <v>1470</v>
      </c>
      <c r="L346" s="5" t="s">
        <v>1199</v>
      </c>
      <c r="M346" s="62" t="s">
        <v>452</v>
      </c>
      <c r="N346" s="62" t="s">
        <v>464</v>
      </c>
      <c r="O346" s="62" t="s">
        <v>1233</v>
      </c>
      <c r="P346" s="100" t="s">
        <v>597</v>
      </c>
      <c r="Q346" s="5" t="s">
        <v>1234</v>
      </c>
      <c r="R346" s="34" t="s">
        <v>1232</v>
      </c>
      <c r="S346" s="5" t="s">
        <v>1235</v>
      </c>
      <c r="T346" s="5" t="s">
        <v>445</v>
      </c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customFormat="1">
      <c r="A347" s="9"/>
      <c r="B347" s="5"/>
      <c r="C347" s="5"/>
      <c r="D347" s="5"/>
      <c r="E347" s="88"/>
      <c r="F347" s="5" t="s">
        <v>320</v>
      </c>
      <c r="G347" s="34" t="s">
        <v>321</v>
      </c>
      <c r="H347" s="34"/>
      <c r="I347" s="306">
        <v>6394.5</v>
      </c>
      <c r="J347" s="307">
        <v>4.3499999999999996</v>
      </c>
      <c r="K347" s="6">
        <v>1470</v>
      </c>
      <c r="L347" s="5" t="s">
        <v>1199</v>
      </c>
      <c r="M347" s="62" t="s">
        <v>452</v>
      </c>
      <c r="N347" s="62" t="s">
        <v>464</v>
      </c>
      <c r="O347" s="62" t="s">
        <v>1204</v>
      </c>
      <c r="P347" s="100" t="s">
        <v>597</v>
      </c>
      <c r="Q347" s="5" t="s">
        <v>1205</v>
      </c>
      <c r="R347" s="34" t="s">
        <v>1236</v>
      </c>
      <c r="S347" s="5" t="s">
        <v>1207</v>
      </c>
      <c r="T347" s="5" t="s">
        <v>445</v>
      </c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customFormat="1">
      <c r="A348" s="9"/>
      <c r="B348" s="5"/>
      <c r="C348" s="5"/>
      <c r="D348" s="5"/>
      <c r="E348" s="88"/>
      <c r="F348" s="5" t="s">
        <v>320</v>
      </c>
      <c r="G348" s="34" t="s">
        <v>321</v>
      </c>
      <c r="H348" s="34"/>
      <c r="I348" s="306">
        <v>42600.6</v>
      </c>
      <c r="J348" s="307">
        <v>28.98</v>
      </c>
      <c r="K348" s="6">
        <v>1470</v>
      </c>
      <c r="L348" s="5" t="s">
        <v>1199</v>
      </c>
      <c r="M348" s="62" t="s">
        <v>452</v>
      </c>
      <c r="N348" s="62" t="s">
        <v>464</v>
      </c>
      <c r="O348" s="62" t="s">
        <v>1204</v>
      </c>
      <c r="P348" s="100" t="s">
        <v>597</v>
      </c>
      <c r="Q348" s="5" t="s">
        <v>1205</v>
      </c>
      <c r="R348" s="34" t="s">
        <v>1236</v>
      </c>
      <c r="S348" s="5" t="s">
        <v>1207</v>
      </c>
      <c r="T348" s="5" t="s">
        <v>445</v>
      </c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customFormat="1">
      <c r="A349" s="9"/>
      <c r="B349" s="5"/>
      <c r="C349" s="5"/>
      <c r="D349" s="5"/>
      <c r="E349" s="88"/>
      <c r="F349" s="5" t="s">
        <v>320</v>
      </c>
      <c r="G349" s="34" t="s">
        <v>321</v>
      </c>
      <c r="H349" s="34"/>
      <c r="I349" s="306">
        <v>149719.5</v>
      </c>
      <c r="J349" s="307">
        <v>101.85</v>
      </c>
      <c r="K349" s="6">
        <v>1470</v>
      </c>
      <c r="L349" s="5" t="s">
        <v>1199</v>
      </c>
      <c r="M349" s="62" t="s">
        <v>452</v>
      </c>
      <c r="N349" s="62" t="s">
        <v>464</v>
      </c>
      <c r="O349" s="62" t="s">
        <v>1204</v>
      </c>
      <c r="P349" s="100" t="s">
        <v>597</v>
      </c>
      <c r="Q349" s="5" t="s">
        <v>1205</v>
      </c>
      <c r="R349" s="34" t="s">
        <v>1248</v>
      </c>
      <c r="S349" s="5" t="s">
        <v>1207</v>
      </c>
      <c r="T349" s="5" t="s">
        <v>445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customFormat="1">
      <c r="A350" s="9"/>
      <c r="B350" s="5"/>
      <c r="C350" s="5"/>
      <c r="D350" s="5"/>
      <c r="E350" s="88"/>
      <c r="F350" s="5" t="s">
        <v>320</v>
      </c>
      <c r="G350" s="34" t="s">
        <v>321</v>
      </c>
      <c r="H350" s="34"/>
      <c r="I350" s="306">
        <v>441000</v>
      </c>
      <c r="J350" s="307">
        <v>300</v>
      </c>
      <c r="K350" s="6">
        <v>1470</v>
      </c>
      <c r="L350" s="5" t="s">
        <v>1218</v>
      </c>
      <c r="M350" s="62" t="s">
        <v>452</v>
      </c>
      <c r="N350" s="62" t="s">
        <v>464</v>
      </c>
      <c r="O350" s="62" t="s">
        <v>1351</v>
      </c>
      <c r="P350" s="100" t="s">
        <v>597</v>
      </c>
      <c r="Q350" s="5" t="s">
        <v>1352</v>
      </c>
      <c r="R350" s="34" t="s">
        <v>1353</v>
      </c>
      <c r="S350" s="5" t="s">
        <v>1354</v>
      </c>
      <c r="T350" s="5" t="s">
        <v>445</v>
      </c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customFormat="1">
      <c r="A351" s="9"/>
      <c r="B351" s="5"/>
      <c r="C351" s="5"/>
      <c r="D351" s="5"/>
      <c r="E351" s="88"/>
      <c r="F351" s="5" t="s">
        <v>320</v>
      </c>
      <c r="G351" s="34" t="s">
        <v>321</v>
      </c>
      <c r="H351" s="34"/>
      <c r="I351" s="306">
        <v>53934.3</v>
      </c>
      <c r="J351" s="307">
        <v>36.69</v>
      </c>
      <c r="K351" s="6">
        <v>1470</v>
      </c>
      <c r="L351" s="5" t="s">
        <v>1199</v>
      </c>
      <c r="M351" s="62" t="s">
        <v>452</v>
      </c>
      <c r="N351" s="62" t="s">
        <v>464</v>
      </c>
      <c r="O351" s="62" t="s">
        <v>1204</v>
      </c>
      <c r="P351" s="100" t="s">
        <v>597</v>
      </c>
      <c r="Q351" s="5" t="s">
        <v>1205</v>
      </c>
      <c r="R351" s="34" t="s">
        <v>1379</v>
      </c>
      <c r="S351" s="5" t="s">
        <v>1207</v>
      </c>
      <c r="T351" s="5" t="s">
        <v>445</v>
      </c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customFormat="1">
      <c r="A352" s="9"/>
      <c r="B352" s="5"/>
      <c r="C352" s="5"/>
      <c r="D352" s="5"/>
      <c r="E352" s="88"/>
      <c r="F352" s="5" t="s">
        <v>324</v>
      </c>
      <c r="G352" s="34" t="s">
        <v>325</v>
      </c>
      <c r="H352" s="34"/>
      <c r="I352" s="306">
        <v>-222500</v>
      </c>
      <c r="J352" s="307">
        <v>-156.69014084507</v>
      </c>
      <c r="K352" s="6">
        <v>1420</v>
      </c>
      <c r="L352" s="5" t="s">
        <v>1254</v>
      </c>
      <c r="M352" s="62" t="s">
        <v>452</v>
      </c>
      <c r="N352" s="62" t="s">
        <v>464</v>
      </c>
      <c r="O352" s="62" t="s">
        <v>1278</v>
      </c>
      <c r="P352" s="100" t="s">
        <v>597</v>
      </c>
      <c r="Q352" s="5" t="s">
        <v>1279</v>
      </c>
      <c r="R352" s="34" t="s">
        <v>563</v>
      </c>
      <c r="S352" s="5" t="s">
        <v>1280</v>
      </c>
      <c r="T352" s="5" t="s">
        <v>445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256" customFormat="1">
      <c r="A353" s="9"/>
      <c r="B353" s="5"/>
      <c r="C353" s="5"/>
      <c r="D353" s="5"/>
      <c r="E353" s="88"/>
      <c r="F353" s="5" t="s">
        <v>324</v>
      </c>
      <c r="G353" s="34" t="s">
        <v>325</v>
      </c>
      <c r="H353" s="34"/>
      <c r="I353" s="306">
        <v>-7100000</v>
      </c>
      <c r="J353" s="307">
        <v>-5000</v>
      </c>
      <c r="K353" s="6">
        <v>1420</v>
      </c>
      <c r="L353" s="5" t="s">
        <v>1254</v>
      </c>
      <c r="M353" s="62" t="s">
        <v>452</v>
      </c>
      <c r="N353" s="62" t="s">
        <v>464</v>
      </c>
      <c r="O353" s="62" t="s">
        <v>1287</v>
      </c>
      <c r="P353" s="100" t="s">
        <v>597</v>
      </c>
      <c r="Q353" s="5" t="s">
        <v>1288</v>
      </c>
      <c r="R353" s="34" t="s">
        <v>1289</v>
      </c>
      <c r="S353" s="5" t="s">
        <v>1290</v>
      </c>
      <c r="T353" s="5" t="s">
        <v>445</v>
      </c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256" customFormat="1">
      <c r="A354" s="9"/>
      <c r="B354" s="5"/>
      <c r="C354" s="5"/>
      <c r="D354" s="5"/>
      <c r="E354" s="88"/>
      <c r="F354" s="5" t="s">
        <v>324</v>
      </c>
      <c r="G354" s="34" t="s">
        <v>325</v>
      </c>
      <c r="H354" s="34"/>
      <c r="I354" s="306">
        <v>-4100000</v>
      </c>
      <c r="J354" s="307">
        <v>-2789.1156462585</v>
      </c>
      <c r="K354" s="6">
        <v>1470</v>
      </c>
      <c r="L354" s="5" t="s">
        <v>1199</v>
      </c>
      <c r="M354" s="62" t="s">
        <v>452</v>
      </c>
      <c r="N354" s="62" t="s">
        <v>464</v>
      </c>
      <c r="O354" s="62" t="s">
        <v>1281</v>
      </c>
      <c r="P354" s="100" t="s">
        <v>597</v>
      </c>
      <c r="Q354" s="5" t="s">
        <v>1282</v>
      </c>
      <c r="R354" s="34" t="s">
        <v>563</v>
      </c>
      <c r="S354" s="5" t="s">
        <v>1283</v>
      </c>
      <c r="T354" s="5" t="s">
        <v>445</v>
      </c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256" customFormat="1">
      <c r="A355" s="9"/>
      <c r="B355" s="5"/>
      <c r="C355" s="5"/>
      <c r="D355" s="5"/>
      <c r="E355" s="88"/>
      <c r="F355" s="5" t="s">
        <v>324</v>
      </c>
      <c r="G355" s="34" t="s">
        <v>325</v>
      </c>
      <c r="H355" s="34"/>
      <c r="I355" s="306">
        <v>4100000</v>
      </c>
      <c r="J355" s="307">
        <v>2887.3239436619701</v>
      </c>
      <c r="K355" s="6">
        <v>1420</v>
      </c>
      <c r="L355" s="5" t="s">
        <v>1237</v>
      </c>
      <c r="M355" s="62" t="s">
        <v>452</v>
      </c>
      <c r="N355" s="62" t="s">
        <v>464</v>
      </c>
      <c r="O355" s="62" t="s">
        <v>1343</v>
      </c>
      <c r="P355" s="100" t="s">
        <v>597</v>
      </c>
      <c r="Q355" s="5" t="s">
        <v>1344</v>
      </c>
      <c r="R355" s="34" t="s">
        <v>1345</v>
      </c>
      <c r="S355" s="5" t="s">
        <v>1346</v>
      </c>
      <c r="T355" s="5" t="s">
        <v>445</v>
      </c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256" customFormat="1">
      <c r="A356" s="9"/>
      <c r="B356" s="5"/>
      <c r="C356" s="5"/>
      <c r="D356" s="5"/>
      <c r="E356" s="88"/>
      <c r="F356" s="5" t="s">
        <v>324</v>
      </c>
      <c r="G356" s="34" t="s">
        <v>325</v>
      </c>
      <c r="H356" s="34"/>
      <c r="I356" s="306">
        <v>3322800</v>
      </c>
      <c r="J356" s="307">
        <v>2340</v>
      </c>
      <c r="K356" s="6">
        <v>1420</v>
      </c>
      <c r="L356" s="5" t="s">
        <v>1242</v>
      </c>
      <c r="M356" s="62" t="s">
        <v>452</v>
      </c>
      <c r="N356" s="62" t="s">
        <v>464</v>
      </c>
      <c r="O356" s="62" t="s">
        <v>1356</v>
      </c>
      <c r="P356" s="100" t="s">
        <v>597</v>
      </c>
      <c r="Q356" s="5" t="s">
        <v>1357</v>
      </c>
      <c r="R356" s="34" t="s">
        <v>1358</v>
      </c>
      <c r="S356" s="5" t="s">
        <v>1359</v>
      </c>
      <c r="T356" s="5" t="s">
        <v>445</v>
      </c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256" customFormat="1">
      <c r="A357" s="9"/>
      <c r="B357" s="5"/>
      <c r="C357" s="5"/>
      <c r="D357" s="5"/>
      <c r="E357" s="88"/>
      <c r="F357" s="5" t="s">
        <v>324</v>
      </c>
      <c r="G357" s="34" t="s">
        <v>325</v>
      </c>
      <c r="H357" s="34"/>
      <c r="I357" s="306">
        <v>-3439800</v>
      </c>
      <c r="J357" s="307">
        <v>-2340</v>
      </c>
      <c r="K357" s="6">
        <v>1470</v>
      </c>
      <c r="L357" s="5" t="s">
        <v>1199</v>
      </c>
      <c r="M357" s="62" t="s">
        <v>452</v>
      </c>
      <c r="N357" s="62" t="s">
        <v>464</v>
      </c>
      <c r="O357" s="62" t="s">
        <v>1284</v>
      </c>
      <c r="P357" s="100" t="s">
        <v>597</v>
      </c>
      <c r="Q357" s="5" t="s">
        <v>1285</v>
      </c>
      <c r="R357" s="34" t="s">
        <v>563</v>
      </c>
      <c r="S357" s="5" t="s">
        <v>1286</v>
      </c>
      <c r="T357" s="5" t="s">
        <v>445</v>
      </c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256" ht="14.5">
      <c r="A358" s="5"/>
      <c r="B358" s="103"/>
      <c r="C358" s="103"/>
      <c r="D358" s="103"/>
      <c r="F358" s="105"/>
      <c r="G358" s="103"/>
      <c r="H358" s="103"/>
      <c r="I358" s="106"/>
      <c r="J358" s="106"/>
      <c r="K358" s="106"/>
      <c r="L358" s="65"/>
      <c r="M358" s="65"/>
      <c r="N358" s="5"/>
      <c r="X358" s="6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  <c r="AV358" s="103"/>
      <c r="AW358" s="103"/>
      <c r="AX358" s="103"/>
      <c r="AY358" s="103"/>
      <c r="AZ358" s="103"/>
      <c r="BA358" s="103"/>
      <c r="BB358" s="103"/>
      <c r="BC358" s="103"/>
      <c r="BD358" s="103"/>
      <c r="BE358" s="103"/>
      <c r="BF358" s="103"/>
      <c r="BG358" s="103"/>
      <c r="BH358" s="103"/>
      <c r="BI358" s="103"/>
      <c r="BJ358" s="103"/>
      <c r="BK358" s="103"/>
      <c r="BL358" s="103"/>
      <c r="BM358" s="103"/>
      <c r="BN358" s="103"/>
      <c r="BO358" s="103"/>
      <c r="BP358" s="103"/>
      <c r="BQ358" s="103"/>
      <c r="BR358" s="103"/>
      <c r="BS358" s="103"/>
      <c r="BT358" s="103"/>
      <c r="BU358" s="103"/>
      <c r="BV358" s="103"/>
      <c r="BW358" s="103"/>
      <c r="BX358" s="103"/>
      <c r="BY358" s="103"/>
      <c r="BZ358" s="103"/>
      <c r="CA358" s="103"/>
      <c r="CB358" s="103"/>
      <c r="CC358" s="103"/>
      <c r="CD358" s="103"/>
      <c r="CE358" s="103"/>
      <c r="CF358" s="103"/>
      <c r="CG358" s="103"/>
      <c r="CH358" s="103"/>
      <c r="CI358" s="103"/>
      <c r="CJ358" s="103"/>
      <c r="CK358" s="103"/>
      <c r="CL358" s="103"/>
      <c r="CM358" s="103"/>
      <c r="CN358" s="103"/>
      <c r="CO358" s="103"/>
      <c r="CP358" s="103"/>
      <c r="CQ358" s="103"/>
      <c r="CR358" s="103"/>
      <c r="CS358" s="103"/>
      <c r="CT358" s="103"/>
      <c r="CU358" s="103"/>
      <c r="CV358" s="103"/>
      <c r="CW358" s="103"/>
      <c r="CX358" s="103"/>
      <c r="CY358" s="103"/>
      <c r="CZ358" s="103"/>
      <c r="DA358" s="103"/>
      <c r="DB358" s="103"/>
      <c r="DC358" s="103"/>
      <c r="DD358" s="103"/>
      <c r="DE358" s="103"/>
      <c r="DF358" s="103"/>
      <c r="DG358" s="103"/>
      <c r="DH358" s="103"/>
      <c r="DI358" s="103"/>
      <c r="DJ358" s="103"/>
      <c r="DK358" s="103"/>
      <c r="DL358" s="103"/>
      <c r="DM358" s="103"/>
      <c r="DN358" s="103"/>
      <c r="DO358" s="103"/>
      <c r="DP358" s="103"/>
      <c r="DQ358" s="103"/>
      <c r="DR358" s="103"/>
      <c r="DS358" s="103"/>
      <c r="DT358" s="103"/>
      <c r="DU358" s="103"/>
      <c r="DV358" s="103"/>
      <c r="DW358" s="103"/>
      <c r="DX358" s="103"/>
      <c r="DY358" s="103"/>
      <c r="DZ358" s="103"/>
      <c r="EA358" s="103"/>
      <c r="EB358" s="103"/>
      <c r="EC358" s="103"/>
      <c r="ED358" s="103"/>
      <c r="EE358" s="103"/>
      <c r="EF358" s="103"/>
      <c r="EG358" s="103"/>
      <c r="EH358" s="103"/>
      <c r="EI358" s="103"/>
      <c r="EJ358" s="103"/>
      <c r="EK358" s="103"/>
      <c r="EL358" s="103"/>
      <c r="EM358" s="103"/>
      <c r="EN358" s="103"/>
      <c r="EO358" s="103"/>
      <c r="EP358" s="103"/>
      <c r="EQ358" s="103"/>
      <c r="ER358" s="103"/>
      <c r="ES358" s="103"/>
      <c r="ET358" s="103"/>
      <c r="EU358" s="103"/>
      <c r="EV358" s="103"/>
      <c r="EW358" s="103"/>
      <c r="EX358" s="103"/>
      <c r="EY358" s="103"/>
      <c r="EZ358" s="103"/>
      <c r="FA358" s="103"/>
      <c r="FB358" s="103"/>
      <c r="FC358" s="103"/>
      <c r="FD358" s="103"/>
      <c r="FE358" s="103"/>
      <c r="FF358" s="103"/>
      <c r="FG358" s="103"/>
      <c r="FH358" s="103"/>
      <c r="FI358" s="103"/>
      <c r="FJ358" s="103"/>
      <c r="FK358" s="103"/>
      <c r="FL358" s="103"/>
      <c r="FM358" s="103"/>
      <c r="FN358" s="103"/>
      <c r="FO358" s="103"/>
      <c r="FP358" s="103"/>
      <c r="FQ358" s="103"/>
      <c r="FR358" s="103"/>
      <c r="FS358" s="103"/>
      <c r="FT358" s="103"/>
      <c r="FU358" s="103"/>
      <c r="FV358" s="103"/>
      <c r="FW358" s="103"/>
      <c r="FX358" s="103"/>
      <c r="FY358" s="103"/>
      <c r="FZ358" s="103"/>
      <c r="GA358" s="103"/>
      <c r="GB358" s="103"/>
      <c r="GC358" s="103"/>
      <c r="GD358" s="103"/>
      <c r="GE358" s="103"/>
      <c r="GF358" s="103"/>
      <c r="GG358" s="103"/>
      <c r="GH358" s="103"/>
      <c r="GI358" s="103"/>
      <c r="GJ358" s="103"/>
      <c r="GK358" s="103"/>
      <c r="GL358" s="103"/>
      <c r="GM358" s="103"/>
      <c r="GN358" s="103"/>
      <c r="GO358" s="103"/>
      <c r="GP358" s="103"/>
      <c r="GQ358" s="103"/>
      <c r="GR358" s="103"/>
      <c r="GS358" s="103"/>
      <c r="GT358" s="103"/>
      <c r="GU358" s="103"/>
      <c r="GV358" s="103"/>
      <c r="GW358" s="103"/>
      <c r="GX358" s="103"/>
      <c r="GY358" s="103"/>
      <c r="GZ358" s="103"/>
      <c r="HA358" s="103"/>
      <c r="HB358" s="103"/>
      <c r="HC358" s="103"/>
      <c r="HD358" s="103"/>
      <c r="HE358" s="103"/>
      <c r="HF358" s="103"/>
      <c r="HG358" s="103"/>
      <c r="HH358" s="103"/>
      <c r="HI358" s="103"/>
      <c r="HJ358" s="103"/>
      <c r="HK358" s="103"/>
      <c r="HL358" s="103"/>
      <c r="HM358" s="103"/>
      <c r="HN358" s="103"/>
      <c r="HO358" s="103"/>
      <c r="HP358" s="103"/>
      <c r="HQ358" s="103"/>
      <c r="HR358" s="103"/>
      <c r="HS358" s="103"/>
      <c r="HT358" s="103"/>
      <c r="HU358" s="103"/>
      <c r="HV358" s="103"/>
      <c r="HW358" s="103"/>
      <c r="HX358" s="103"/>
      <c r="HY358" s="103"/>
      <c r="HZ358" s="103"/>
      <c r="IA358" s="103"/>
      <c r="IB358" s="103"/>
      <c r="IC358" s="103"/>
      <c r="ID358" s="103"/>
      <c r="IE358" s="103"/>
      <c r="IF358" s="103"/>
      <c r="IG358" s="103"/>
      <c r="IH358" s="103"/>
      <c r="II358" s="103"/>
      <c r="IJ358" s="103"/>
      <c r="IK358" s="103"/>
      <c r="IL358" s="103"/>
      <c r="IM358" s="103"/>
      <c r="IN358" s="103"/>
      <c r="IO358" s="103"/>
      <c r="IP358" s="103"/>
      <c r="IQ358" s="103"/>
      <c r="IR358" s="103"/>
      <c r="IS358" s="103"/>
      <c r="IT358" s="103"/>
      <c r="IU358" s="103"/>
      <c r="IV358" s="103"/>
    </row>
    <row r="359" spans="1:256" ht="14.5">
      <c r="A359" s="103"/>
      <c r="B359" s="103"/>
      <c r="C359" s="103"/>
      <c r="D359" s="103"/>
      <c r="F359" s="105"/>
      <c r="G359" s="103"/>
      <c r="H359" s="103"/>
      <c r="I359" s="106"/>
      <c r="J359" s="106"/>
      <c r="K359" s="106"/>
      <c r="L359" s="65"/>
      <c r="M359" s="65"/>
      <c r="N359" s="5"/>
      <c r="X359" s="6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3"/>
      <c r="BK359" s="103"/>
      <c r="BL359" s="103"/>
      <c r="BM359" s="103"/>
      <c r="BN359" s="103"/>
      <c r="BO359" s="103"/>
      <c r="BP359" s="103"/>
      <c r="BQ359" s="103"/>
      <c r="BR359" s="103"/>
      <c r="BS359" s="103"/>
      <c r="BT359" s="103"/>
      <c r="BU359" s="103"/>
      <c r="BV359" s="103"/>
      <c r="BW359" s="103"/>
      <c r="BX359" s="103"/>
      <c r="BY359" s="103"/>
      <c r="BZ359" s="103"/>
      <c r="CA359" s="103"/>
      <c r="CB359" s="103"/>
      <c r="CC359" s="103"/>
      <c r="CD359" s="103"/>
      <c r="CE359" s="103"/>
      <c r="CF359" s="103"/>
      <c r="CG359" s="103"/>
      <c r="CH359" s="103"/>
      <c r="CI359" s="103"/>
      <c r="CJ359" s="103"/>
      <c r="CK359" s="103"/>
      <c r="CL359" s="103"/>
      <c r="CM359" s="103"/>
      <c r="CN359" s="103"/>
      <c r="CO359" s="103"/>
      <c r="CP359" s="103"/>
      <c r="CQ359" s="103"/>
      <c r="CR359" s="103"/>
      <c r="CS359" s="103"/>
      <c r="CT359" s="103"/>
      <c r="CU359" s="103"/>
      <c r="CV359" s="103"/>
      <c r="CW359" s="103"/>
      <c r="CX359" s="103"/>
      <c r="CY359" s="103"/>
      <c r="CZ359" s="103"/>
      <c r="DA359" s="103"/>
      <c r="DB359" s="103"/>
      <c r="DC359" s="103"/>
      <c r="DD359" s="103"/>
      <c r="DE359" s="103"/>
      <c r="DF359" s="103"/>
      <c r="DG359" s="103"/>
      <c r="DH359" s="103"/>
      <c r="DI359" s="103"/>
      <c r="DJ359" s="103"/>
      <c r="DK359" s="103"/>
      <c r="DL359" s="103"/>
      <c r="DM359" s="103"/>
      <c r="DN359" s="103"/>
      <c r="DO359" s="103"/>
      <c r="DP359" s="103"/>
      <c r="DQ359" s="103"/>
      <c r="DR359" s="103"/>
      <c r="DS359" s="103"/>
      <c r="DT359" s="103"/>
      <c r="DU359" s="103"/>
      <c r="DV359" s="103"/>
      <c r="DW359" s="103"/>
      <c r="DX359" s="103"/>
      <c r="DY359" s="103"/>
      <c r="DZ359" s="103"/>
      <c r="EA359" s="103"/>
      <c r="EB359" s="103"/>
      <c r="EC359" s="103"/>
      <c r="ED359" s="103"/>
      <c r="EE359" s="103"/>
      <c r="EF359" s="103"/>
      <c r="EG359" s="103"/>
      <c r="EH359" s="103"/>
      <c r="EI359" s="103"/>
      <c r="EJ359" s="103"/>
      <c r="EK359" s="103"/>
      <c r="EL359" s="103"/>
      <c r="EM359" s="103"/>
      <c r="EN359" s="103"/>
      <c r="EO359" s="103"/>
      <c r="EP359" s="103"/>
      <c r="EQ359" s="103"/>
      <c r="ER359" s="103"/>
      <c r="ES359" s="103"/>
      <c r="ET359" s="103"/>
      <c r="EU359" s="103"/>
      <c r="EV359" s="103"/>
      <c r="EW359" s="103"/>
      <c r="EX359" s="103"/>
      <c r="EY359" s="103"/>
      <c r="EZ359" s="103"/>
      <c r="FA359" s="103"/>
      <c r="FB359" s="103"/>
      <c r="FC359" s="103"/>
      <c r="FD359" s="103"/>
      <c r="FE359" s="103"/>
      <c r="FF359" s="103"/>
      <c r="FG359" s="103"/>
      <c r="FH359" s="103"/>
      <c r="FI359" s="103"/>
      <c r="FJ359" s="103"/>
      <c r="FK359" s="103"/>
      <c r="FL359" s="103"/>
      <c r="FM359" s="103"/>
      <c r="FN359" s="103"/>
      <c r="FO359" s="103"/>
      <c r="FP359" s="103"/>
      <c r="FQ359" s="103"/>
      <c r="FR359" s="103"/>
      <c r="FS359" s="103"/>
      <c r="FT359" s="103"/>
      <c r="FU359" s="103"/>
      <c r="FV359" s="103"/>
      <c r="FW359" s="103"/>
      <c r="FX359" s="103"/>
      <c r="FY359" s="103"/>
      <c r="FZ359" s="103"/>
      <c r="GA359" s="103"/>
      <c r="GB359" s="103"/>
      <c r="GC359" s="103"/>
      <c r="GD359" s="103"/>
      <c r="GE359" s="103"/>
      <c r="GF359" s="103"/>
      <c r="GG359" s="103"/>
      <c r="GH359" s="103"/>
      <c r="GI359" s="103"/>
      <c r="GJ359" s="103"/>
      <c r="GK359" s="103"/>
      <c r="GL359" s="103"/>
      <c r="GM359" s="103"/>
      <c r="GN359" s="103"/>
      <c r="GO359" s="103"/>
      <c r="GP359" s="103"/>
      <c r="GQ359" s="103"/>
      <c r="GR359" s="103"/>
      <c r="GS359" s="103"/>
      <c r="GT359" s="103"/>
      <c r="GU359" s="103"/>
      <c r="GV359" s="103"/>
      <c r="GW359" s="103"/>
      <c r="GX359" s="103"/>
      <c r="GY359" s="103"/>
      <c r="GZ359" s="103"/>
      <c r="HA359" s="103"/>
      <c r="HB359" s="103"/>
      <c r="HC359" s="103"/>
      <c r="HD359" s="103"/>
      <c r="HE359" s="103"/>
      <c r="HF359" s="103"/>
      <c r="HG359" s="103"/>
      <c r="HH359" s="103"/>
      <c r="HI359" s="103"/>
      <c r="HJ359" s="103"/>
      <c r="HK359" s="103"/>
      <c r="HL359" s="103"/>
      <c r="HM359" s="103"/>
      <c r="HN359" s="103"/>
      <c r="HO359" s="103"/>
      <c r="HP359" s="103"/>
      <c r="HQ359" s="103"/>
      <c r="HR359" s="103"/>
      <c r="HS359" s="103"/>
      <c r="HT359" s="103"/>
      <c r="HU359" s="103"/>
      <c r="HV359" s="103"/>
      <c r="HW359" s="103"/>
      <c r="HX359" s="103"/>
      <c r="HY359" s="103"/>
      <c r="HZ359" s="103"/>
      <c r="IA359" s="103"/>
      <c r="IB359" s="103"/>
      <c r="IC359" s="103"/>
      <c r="ID359" s="103"/>
      <c r="IE359" s="103"/>
      <c r="IF359" s="103"/>
      <c r="IG359" s="103"/>
      <c r="IH359" s="103"/>
      <c r="II359" s="103"/>
      <c r="IJ359" s="103"/>
      <c r="IK359" s="103"/>
      <c r="IL359" s="103"/>
      <c r="IM359" s="103"/>
      <c r="IN359" s="103"/>
      <c r="IO359" s="103"/>
      <c r="IP359" s="103"/>
      <c r="IQ359" s="103"/>
      <c r="IR359" s="103"/>
      <c r="IS359" s="103"/>
      <c r="IT359" s="103"/>
      <c r="IU359" s="103"/>
      <c r="IV359" s="103"/>
    </row>
    <row r="360" spans="1:256" ht="14.5">
      <c r="A360" s="103"/>
      <c r="B360" s="103"/>
      <c r="C360" s="103"/>
      <c r="D360" s="103"/>
      <c r="F360" s="105"/>
      <c r="G360" s="103"/>
      <c r="H360" s="103"/>
      <c r="I360" s="106"/>
      <c r="J360" s="106"/>
      <c r="K360" s="106"/>
      <c r="L360" s="65"/>
      <c r="M360" s="65"/>
      <c r="N360" s="5"/>
      <c r="X360" s="6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  <c r="BB360" s="103"/>
      <c r="BC360" s="103"/>
      <c r="BD360" s="103"/>
      <c r="BE360" s="103"/>
      <c r="BF360" s="103"/>
      <c r="BG360" s="103"/>
      <c r="BH360" s="103"/>
      <c r="BI360" s="103"/>
      <c r="BJ360" s="103"/>
      <c r="BK360" s="103"/>
      <c r="BL360" s="103"/>
      <c r="BM360" s="103"/>
      <c r="BN360" s="103"/>
      <c r="BO360" s="103"/>
      <c r="BP360" s="103"/>
      <c r="BQ360" s="103"/>
      <c r="BR360" s="103"/>
      <c r="BS360" s="103"/>
      <c r="BT360" s="103"/>
      <c r="BU360" s="103"/>
      <c r="BV360" s="103"/>
      <c r="BW360" s="103"/>
      <c r="BX360" s="103"/>
      <c r="BY360" s="103"/>
      <c r="BZ360" s="103"/>
      <c r="CA360" s="103"/>
      <c r="CB360" s="103"/>
      <c r="CC360" s="103"/>
      <c r="CD360" s="103"/>
      <c r="CE360" s="103"/>
      <c r="CF360" s="103"/>
      <c r="CG360" s="103"/>
      <c r="CH360" s="103"/>
      <c r="CI360" s="103"/>
      <c r="CJ360" s="103"/>
      <c r="CK360" s="103"/>
      <c r="CL360" s="103"/>
      <c r="CM360" s="103"/>
      <c r="CN360" s="103"/>
      <c r="CO360" s="103"/>
      <c r="CP360" s="103"/>
      <c r="CQ360" s="103"/>
      <c r="CR360" s="103"/>
      <c r="CS360" s="103"/>
      <c r="CT360" s="103"/>
      <c r="CU360" s="103"/>
      <c r="CV360" s="103"/>
      <c r="CW360" s="103"/>
      <c r="CX360" s="103"/>
      <c r="CY360" s="103"/>
      <c r="CZ360" s="103"/>
      <c r="DA360" s="103"/>
      <c r="DB360" s="103"/>
      <c r="DC360" s="103"/>
      <c r="DD360" s="103"/>
      <c r="DE360" s="103"/>
      <c r="DF360" s="103"/>
      <c r="DG360" s="103"/>
      <c r="DH360" s="103"/>
      <c r="DI360" s="103"/>
      <c r="DJ360" s="103"/>
      <c r="DK360" s="103"/>
      <c r="DL360" s="103"/>
      <c r="DM360" s="103"/>
      <c r="DN360" s="103"/>
      <c r="DO360" s="103"/>
      <c r="DP360" s="103"/>
      <c r="DQ360" s="103"/>
      <c r="DR360" s="103"/>
      <c r="DS360" s="103"/>
      <c r="DT360" s="103"/>
      <c r="DU360" s="103"/>
      <c r="DV360" s="103"/>
      <c r="DW360" s="103"/>
      <c r="DX360" s="103"/>
      <c r="DY360" s="103"/>
      <c r="DZ360" s="103"/>
      <c r="EA360" s="103"/>
      <c r="EB360" s="103"/>
      <c r="EC360" s="103"/>
      <c r="ED360" s="103"/>
      <c r="EE360" s="103"/>
      <c r="EF360" s="103"/>
      <c r="EG360" s="103"/>
      <c r="EH360" s="103"/>
      <c r="EI360" s="103"/>
      <c r="EJ360" s="103"/>
      <c r="EK360" s="103"/>
      <c r="EL360" s="103"/>
      <c r="EM360" s="103"/>
      <c r="EN360" s="103"/>
      <c r="EO360" s="103"/>
      <c r="EP360" s="103"/>
      <c r="EQ360" s="103"/>
      <c r="ER360" s="103"/>
      <c r="ES360" s="103"/>
      <c r="ET360" s="103"/>
      <c r="EU360" s="103"/>
      <c r="EV360" s="103"/>
      <c r="EW360" s="103"/>
      <c r="EX360" s="103"/>
      <c r="EY360" s="103"/>
      <c r="EZ360" s="103"/>
      <c r="FA360" s="103"/>
      <c r="FB360" s="103"/>
      <c r="FC360" s="103"/>
      <c r="FD360" s="103"/>
      <c r="FE360" s="103"/>
      <c r="FF360" s="103"/>
      <c r="FG360" s="103"/>
      <c r="FH360" s="103"/>
      <c r="FI360" s="103"/>
      <c r="FJ360" s="103"/>
      <c r="FK360" s="103"/>
      <c r="FL360" s="103"/>
      <c r="FM360" s="103"/>
      <c r="FN360" s="103"/>
      <c r="FO360" s="103"/>
      <c r="FP360" s="103"/>
      <c r="FQ360" s="103"/>
      <c r="FR360" s="103"/>
      <c r="FS360" s="103"/>
      <c r="FT360" s="103"/>
      <c r="FU360" s="103"/>
      <c r="FV360" s="103"/>
      <c r="FW360" s="103"/>
      <c r="FX360" s="103"/>
      <c r="FY360" s="103"/>
      <c r="FZ360" s="103"/>
      <c r="GA360" s="103"/>
      <c r="GB360" s="103"/>
      <c r="GC360" s="103"/>
      <c r="GD360" s="103"/>
      <c r="GE360" s="103"/>
      <c r="GF360" s="103"/>
      <c r="GG360" s="103"/>
      <c r="GH360" s="103"/>
      <c r="GI360" s="103"/>
      <c r="GJ360" s="103"/>
      <c r="GK360" s="103"/>
      <c r="GL360" s="103"/>
      <c r="GM360" s="103"/>
      <c r="GN360" s="103"/>
      <c r="GO360" s="103"/>
      <c r="GP360" s="103"/>
      <c r="GQ360" s="103"/>
      <c r="GR360" s="103"/>
      <c r="GS360" s="103"/>
      <c r="GT360" s="103"/>
      <c r="GU360" s="103"/>
      <c r="GV360" s="103"/>
      <c r="GW360" s="103"/>
      <c r="GX360" s="103"/>
      <c r="GY360" s="103"/>
      <c r="GZ360" s="103"/>
      <c r="HA360" s="103"/>
      <c r="HB360" s="103"/>
      <c r="HC360" s="103"/>
      <c r="HD360" s="103"/>
      <c r="HE360" s="103"/>
      <c r="HF360" s="103"/>
      <c r="HG360" s="103"/>
      <c r="HH360" s="103"/>
      <c r="HI360" s="103"/>
      <c r="HJ360" s="103"/>
      <c r="HK360" s="103"/>
      <c r="HL360" s="103"/>
      <c r="HM360" s="103"/>
      <c r="HN360" s="103"/>
      <c r="HO360" s="103"/>
      <c r="HP360" s="103"/>
      <c r="HQ360" s="103"/>
      <c r="HR360" s="103"/>
      <c r="HS360" s="103"/>
      <c r="HT360" s="103"/>
      <c r="HU360" s="103"/>
      <c r="HV360" s="103"/>
      <c r="HW360" s="103"/>
      <c r="HX360" s="103"/>
      <c r="HY360" s="103"/>
      <c r="HZ360" s="103"/>
      <c r="IA360" s="103"/>
      <c r="IB360" s="103"/>
      <c r="IC360" s="103"/>
      <c r="ID360" s="103"/>
      <c r="IE360" s="103"/>
      <c r="IF360" s="103"/>
      <c r="IG360" s="103"/>
      <c r="IH360" s="103"/>
      <c r="II360" s="103"/>
      <c r="IJ360" s="103"/>
      <c r="IK360" s="103"/>
      <c r="IL360" s="103"/>
      <c r="IM360" s="103"/>
      <c r="IN360" s="103"/>
      <c r="IO360" s="103"/>
      <c r="IP360" s="103"/>
      <c r="IQ360" s="103"/>
      <c r="IR360" s="103"/>
      <c r="IS360" s="103"/>
      <c r="IT360" s="103"/>
      <c r="IU360" s="103"/>
      <c r="IV360" s="103"/>
    </row>
    <row r="362" spans="1:256">
      <c r="A362" s="10" t="s">
        <v>75</v>
      </c>
      <c r="B362" s="10" t="s">
        <v>75</v>
      </c>
      <c r="C362" s="10" t="s">
        <v>75</v>
      </c>
      <c r="D362" s="10" t="s">
        <v>75</v>
      </c>
      <c r="E362" s="10" t="s">
        <v>75</v>
      </c>
      <c r="F362" s="11" t="s">
        <v>75</v>
      </c>
      <c r="G362" s="11" t="s">
        <v>75</v>
      </c>
      <c r="H362" s="11" t="s">
        <v>75</v>
      </c>
      <c r="I362" s="35" t="s">
        <v>75</v>
      </c>
      <c r="J362" s="35" t="s">
        <v>75</v>
      </c>
      <c r="K362" s="35" t="s">
        <v>75</v>
      </c>
      <c r="L362" s="102" t="s">
        <v>75</v>
      </c>
      <c r="M362" s="11" t="s">
        <v>75</v>
      </c>
      <c r="N362" s="11" t="s">
        <v>75</v>
      </c>
      <c r="O362" s="11" t="s">
        <v>75</v>
      </c>
      <c r="P362" s="11" t="s">
        <v>75</v>
      </c>
      <c r="Q362" s="11" t="s">
        <v>75</v>
      </c>
      <c r="R362" s="11" t="s">
        <v>75</v>
      </c>
      <c r="S362" s="11" t="s">
        <v>75</v>
      </c>
      <c r="T362" s="11" t="s">
        <v>75</v>
      </c>
      <c r="U362" s="11" t="s">
        <v>75</v>
      </c>
      <c r="V362" s="11" t="s">
        <v>75</v>
      </c>
      <c r="W362" s="11" t="s">
        <v>75</v>
      </c>
    </row>
  </sheetData>
  <autoFilter ref="A10:AA362" xr:uid="{00000000-0009-0000-0000-000001000000}"/>
  <sortState xmlns:xlrd2="http://schemas.microsoft.com/office/spreadsheetml/2017/richdata2" ref="A132:IV357">
    <sortCondition ref="F132"/>
  </sortState>
  <conditionalFormatting sqref="G7:G8">
    <cfRule type="cellIs" dxfId="27" priority="1" stopIfTrue="1" operator="equal">
      <formula>"Check"</formula>
    </cfRule>
  </conditionalFormatting>
  <pageMargins left="0.75" right="0.75" top="1" bottom="1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625"/>
  <sheetViews>
    <sheetView topLeftCell="A91" zoomScale="70" zoomScaleNormal="70" workbookViewId="0">
      <selection activeCell="G18" sqref="G18"/>
    </sheetView>
  </sheetViews>
  <sheetFormatPr baseColWidth="10" defaultColWidth="10.83203125" defaultRowHeight="13"/>
  <cols>
    <col min="1" max="1" width="15" style="9" customWidth="1"/>
    <col min="2" max="2" width="29.83203125" style="5" bestFit="1" customWidth="1"/>
    <col min="3" max="3" width="55.6640625" style="5" bestFit="1" customWidth="1"/>
    <col min="4" max="4" width="13.1640625" style="34" bestFit="1" customWidth="1"/>
    <col min="5" max="5" width="33.1640625" style="88" bestFit="1" customWidth="1"/>
    <col min="6" max="6" width="10.5" style="36" bestFit="1" customWidth="1"/>
    <col min="7" max="7" width="24.33203125" style="5" customWidth="1"/>
    <col min="8" max="8" width="13" style="5" bestFit="1" customWidth="1"/>
    <col min="9" max="9" width="22.5" style="62" customWidth="1"/>
    <col min="10" max="10" width="19.1640625" style="62" customWidth="1"/>
    <col min="11" max="11" width="20.1640625" style="62" customWidth="1"/>
    <col min="12" max="12" width="13.1640625" style="100" customWidth="1"/>
    <col min="13" max="13" width="18.83203125" style="5" customWidth="1"/>
    <col min="14" max="14" width="12.5" style="34" customWidth="1"/>
    <col min="15" max="15" width="28.1640625" style="5" customWidth="1"/>
    <col min="16" max="16" width="36.1640625" style="5" customWidth="1"/>
    <col min="17" max="17" width="13.83203125" style="5" customWidth="1"/>
    <col min="18" max="18" width="109.33203125" style="5" bestFit="1" customWidth="1"/>
    <col min="19" max="19" width="15.83203125" style="5" customWidth="1"/>
    <col min="20" max="20" width="21.5" style="5" customWidth="1"/>
    <col min="21" max="21" width="38.83203125" style="5" bestFit="1" customWidth="1"/>
    <col min="22" max="22" width="35.5" style="5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+SUMIF($E$10:$E$243,H4,$I$10:$I$243)</f>
        <v>11715962.859999999</v>
      </c>
      <c r="J4" s="298">
        <f>+SUMIF($E$10:$E$243,H4,$J$10:$J$243)</f>
        <v>7935.0283389409769</v>
      </c>
      <c r="K4" s="299">
        <f>+I4/J4</f>
        <v>1476.4865807100107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ROUND(SUM(I10:I625),0)</f>
        <v>0</v>
      </c>
      <c r="J7" s="61">
        <f>ROUND(SUM(J10:J625),0)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SUM(I10:I243)</f>
        <v>41028183.159999996</v>
      </c>
      <c r="J9" s="104">
        <f>SUM(J10:J243)</f>
        <v>30923.554306490132</v>
      </c>
      <c r="L9" s="62"/>
      <c r="M9" s="62"/>
      <c r="N9" s="62"/>
    </row>
    <row r="10" spans="1:40" ht="32">
      <c r="B10" s="12" t="s">
        <v>81</v>
      </c>
      <c r="C10" s="9"/>
      <c r="D10" s="12" t="s">
        <v>71</v>
      </c>
      <c r="E10" s="12" t="s">
        <v>72</v>
      </c>
      <c r="F10" s="37" t="s">
        <v>22</v>
      </c>
      <c r="G10" s="7" t="s">
        <v>21</v>
      </c>
      <c r="H10" s="7"/>
      <c r="I10" s="8" t="s">
        <v>20</v>
      </c>
      <c r="J10" s="8" t="s">
        <v>18</v>
      </c>
      <c r="K10" s="71" t="s">
        <v>70</v>
      </c>
      <c r="L10" s="101" t="s">
        <v>16</v>
      </c>
      <c r="M10" s="7" t="s">
        <v>15</v>
      </c>
      <c r="N10" s="7" t="s">
        <v>14</v>
      </c>
      <c r="O10" s="7" t="s">
        <v>13</v>
      </c>
      <c r="P10" s="7" t="s">
        <v>12</v>
      </c>
      <c r="Q10" s="7" t="s">
        <v>11</v>
      </c>
      <c r="R10" s="7" t="s">
        <v>10</v>
      </c>
      <c r="S10" s="7" t="s">
        <v>9</v>
      </c>
      <c r="T10" s="7" t="s">
        <v>8</v>
      </c>
      <c r="U10" s="7" t="s">
        <v>7</v>
      </c>
      <c r="V10" s="7" t="s">
        <v>6</v>
      </c>
      <c r="W10" s="7" t="s">
        <v>5</v>
      </c>
      <c r="X10" s="8" t="s">
        <v>19</v>
      </c>
      <c r="Y10" s="7"/>
      <c r="Z10" s="7" t="s">
        <v>18</v>
      </c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2" spans="1:40" ht="28">
      <c r="C12" s="5" t="str">
        <f>+VLOOKUP(F12,Resumen_Base!$B$7:$F$69,5,0)</f>
        <v>Fixed Asset's Payments (Investments) Mejoras/equipamiento Lodge</v>
      </c>
      <c r="D12" s="214" t="s">
        <v>383</v>
      </c>
      <c r="E12" s="212" t="str">
        <f>+VLOOKUP(F12,Resumen_Base!$B$6:$F$69,5,0)</f>
        <v>Fixed Asset's Payments (Investments) Mejoras/equipamiento Lodge</v>
      </c>
      <c r="F12" s="36" t="s">
        <v>4</v>
      </c>
      <c r="G12" s="5" t="s">
        <v>3</v>
      </c>
      <c r="H12" s="5" t="str">
        <f t="shared" ref="H12:H74" si="0">+D12&amp;F12</f>
        <v>DEL12020301</v>
      </c>
      <c r="I12" s="6">
        <v>179000</v>
      </c>
      <c r="J12" s="62">
        <v>120.94594594594599</v>
      </c>
      <c r="K12" s="62">
        <v>1480</v>
      </c>
      <c r="L12" s="62" t="s">
        <v>1717</v>
      </c>
      <c r="M12" s="100" t="s">
        <v>452</v>
      </c>
      <c r="N12" s="5" t="s">
        <v>464</v>
      </c>
      <c r="O12" s="34" t="s">
        <v>1718</v>
      </c>
      <c r="P12" s="5" t="s">
        <v>1467</v>
      </c>
      <c r="Q12" s="5" t="s">
        <v>1719</v>
      </c>
      <c r="R12" s="5" t="s">
        <v>1720</v>
      </c>
      <c r="S12" s="5" t="s">
        <v>1721</v>
      </c>
      <c r="T12" s="5" t="s">
        <v>445</v>
      </c>
    </row>
    <row r="13" spans="1:40" ht="14">
      <c r="A13" s="336">
        <v>5252</v>
      </c>
      <c r="B13" s="5">
        <v>12020301</v>
      </c>
      <c r="C13" s="5" t="str">
        <f>+VLOOKUP(F13,Resumen_Base!$B$7:$F$69,5,0)</f>
        <v>Maintenance Lodge</v>
      </c>
      <c r="D13" s="214" t="s">
        <v>383</v>
      </c>
      <c r="E13" s="212" t="str">
        <f>+VLOOKUP(F13,Resumen_Base!$B$6:$F$69,5,0)</f>
        <v>Maintenance Lodge</v>
      </c>
      <c r="F13" s="3" t="s">
        <v>31</v>
      </c>
      <c r="G13" t="s">
        <v>30</v>
      </c>
      <c r="H13" s="5" t="str">
        <f t="shared" si="0"/>
        <v>DEL5252</v>
      </c>
      <c r="I13" s="6">
        <v>49999</v>
      </c>
      <c r="J13" s="62">
        <v>34.012925170068002</v>
      </c>
      <c r="K13" s="62">
        <v>1470</v>
      </c>
      <c r="L13" s="62" t="s">
        <v>1521</v>
      </c>
      <c r="M13" s="100" t="s">
        <v>452</v>
      </c>
      <c r="N13" s="5" t="s">
        <v>464</v>
      </c>
      <c r="O13" s="34" t="s">
        <v>1692</v>
      </c>
      <c r="P13" s="5" t="s">
        <v>597</v>
      </c>
      <c r="Q13" s="5" t="s">
        <v>1693</v>
      </c>
      <c r="R13" s="5" t="s">
        <v>1730</v>
      </c>
      <c r="S13" s="5" t="s">
        <v>1695</v>
      </c>
      <c r="T13" s="5" t="s">
        <v>445</v>
      </c>
    </row>
    <row r="14" spans="1:40" ht="28">
      <c r="C14" s="5" t="str">
        <f>+VLOOKUP(F14,Resumen_Base!$B$7:$F$69,5,0)</f>
        <v>Fixed Asset's Payments (Investments) Mejoras/equipamiento Lodge</v>
      </c>
      <c r="D14" s="214" t="s">
        <v>383</v>
      </c>
      <c r="E14" s="212" t="str">
        <f>+VLOOKUP(F14,Resumen_Base!$B$6:$F$69,5,0)</f>
        <v>Fixed Asset's Payments (Investments) Mejoras/equipamiento Lodge</v>
      </c>
      <c r="F14" s="36" t="s">
        <v>4</v>
      </c>
      <c r="G14" s="5" t="s">
        <v>3</v>
      </c>
      <c r="H14" s="5" t="str">
        <f t="shared" si="0"/>
        <v>DEL12020301</v>
      </c>
      <c r="I14" s="6">
        <v>158175</v>
      </c>
      <c r="J14" s="62">
        <v>107.602040816327</v>
      </c>
      <c r="K14" s="62">
        <v>1470</v>
      </c>
      <c r="L14" s="62" t="s">
        <v>1521</v>
      </c>
      <c r="M14" s="100" t="s">
        <v>452</v>
      </c>
      <c r="N14" s="5" t="s">
        <v>464</v>
      </c>
      <c r="O14" s="34" t="s">
        <v>1692</v>
      </c>
      <c r="P14" s="5" t="s">
        <v>597</v>
      </c>
      <c r="Q14" s="5" t="s">
        <v>1693</v>
      </c>
      <c r="R14" s="5" t="s">
        <v>1731</v>
      </c>
      <c r="S14" s="5" t="s">
        <v>1695</v>
      </c>
      <c r="T14" s="5" t="s">
        <v>445</v>
      </c>
    </row>
    <row r="15" spans="1:40" ht="14">
      <c r="A15" s="336">
        <v>5252</v>
      </c>
      <c r="B15" s="5">
        <v>12020301</v>
      </c>
      <c r="C15" s="5" t="str">
        <f>+VLOOKUP(F15,Resumen_Base!$B$7:$F$69,5,0)</f>
        <v>Maintenance Lodge</v>
      </c>
      <c r="D15" s="214" t="s">
        <v>383</v>
      </c>
      <c r="E15" s="212" t="str">
        <f>+VLOOKUP(F15,Resumen_Base!$B$6:$F$69,5,0)</f>
        <v>Maintenance Lodge</v>
      </c>
      <c r="F15" s="3" t="s">
        <v>31</v>
      </c>
      <c r="G15" t="s">
        <v>30</v>
      </c>
      <c r="H15" s="5" t="str">
        <f t="shared" si="0"/>
        <v>DEL5252</v>
      </c>
      <c r="I15" s="6">
        <v>55057.599999999999</v>
      </c>
      <c r="J15" s="62">
        <v>37.201081081081099</v>
      </c>
      <c r="K15" s="62">
        <v>1480</v>
      </c>
      <c r="L15" s="62" t="s">
        <v>1717</v>
      </c>
      <c r="M15" s="100" t="s">
        <v>452</v>
      </c>
      <c r="N15" s="5" t="s">
        <v>464</v>
      </c>
      <c r="O15" s="34" t="s">
        <v>1718</v>
      </c>
      <c r="P15" s="5" t="s">
        <v>1467</v>
      </c>
      <c r="Q15" s="5" t="s">
        <v>1719</v>
      </c>
      <c r="R15" s="5" t="s">
        <v>1732</v>
      </c>
      <c r="S15" s="5" t="s">
        <v>1721</v>
      </c>
      <c r="T15" s="5" t="s">
        <v>445</v>
      </c>
    </row>
    <row r="16" spans="1:40" ht="28">
      <c r="C16" s="5" t="str">
        <f>+VLOOKUP(F16,Resumen_Base!$B$7:$F$69,5,0)</f>
        <v>Fixed Asset's Payments (Investments) Mejoras/equipamiento Lodge</v>
      </c>
      <c r="D16" s="214" t="s">
        <v>383</v>
      </c>
      <c r="E16" s="212" t="str">
        <f>+VLOOKUP(F16,Resumen_Base!$B$6:$F$69,5,0)</f>
        <v>Fixed Asset's Payments (Investments) Mejoras/equipamiento Lodge</v>
      </c>
      <c r="F16" s="36" t="s">
        <v>84</v>
      </c>
      <c r="G16" s="5" t="s">
        <v>85</v>
      </c>
      <c r="H16" s="5" t="str">
        <f t="shared" si="0"/>
        <v>DEL12020601</v>
      </c>
      <c r="I16" s="6">
        <v>2760000</v>
      </c>
      <c r="J16" s="62">
        <v>1877.55102040816</v>
      </c>
      <c r="K16" s="62">
        <v>1470</v>
      </c>
      <c r="L16" s="62" t="s">
        <v>1521</v>
      </c>
      <c r="M16" s="100" t="s">
        <v>452</v>
      </c>
      <c r="N16" s="5" t="s">
        <v>464</v>
      </c>
      <c r="O16" s="34" t="s">
        <v>1692</v>
      </c>
      <c r="P16" s="5" t="s">
        <v>597</v>
      </c>
      <c r="Q16" s="5" t="s">
        <v>1693</v>
      </c>
      <c r="R16" s="5" t="s">
        <v>1694</v>
      </c>
      <c r="S16" s="5" t="s">
        <v>1695</v>
      </c>
      <c r="T16" s="5" t="s">
        <v>445</v>
      </c>
    </row>
    <row r="17" spans="1:20" ht="28">
      <c r="C17" s="5" t="str">
        <f>+VLOOKUP(F17,Resumen_Base!$B$7:$F$69,5,0)</f>
        <v>Fixed Asset's Payments (Investments) Rodados/Lanchas</v>
      </c>
      <c r="D17" s="214" t="s">
        <v>383</v>
      </c>
      <c r="E17" s="212" t="str">
        <f>+VLOOKUP(F17,Resumen_Base!$B$6:$F$69,5,0)</f>
        <v>Fixed Asset's Payments (Investments) Rodados/Lanchas</v>
      </c>
      <c r="F17" s="36" t="s">
        <v>271</v>
      </c>
      <c r="G17" s="5" t="s">
        <v>252</v>
      </c>
      <c r="H17" s="5" t="str">
        <f t="shared" si="0"/>
        <v>DEL12020701</v>
      </c>
      <c r="I17" s="6">
        <v>2960000</v>
      </c>
      <c r="J17" s="62">
        <v>2000</v>
      </c>
      <c r="K17" s="62">
        <v>1480</v>
      </c>
      <c r="L17" s="62" t="s">
        <v>1499</v>
      </c>
      <c r="M17" s="100" t="s">
        <v>452</v>
      </c>
      <c r="N17" s="5" t="s">
        <v>464</v>
      </c>
      <c r="O17" s="34" t="s">
        <v>1515</v>
      </c>
      <c r="P17" s="5" t="s">
        <v>1467</v>
      </c>
      <c r="Q17" s="5" t="s">
        <v>1516</v>
      </c>
      <c r="R17" s="5" t="s">
        <v>1733</v>
      </c>
      <c r="S17" s="5" t="s">
        <v>1518</v>
      </c>
      <c r="T17" s="5" t="s">
        <v>445</v>
      </c>
    </row>
    <row r="18" spans="1:20" ht="14">
      <c r="C18" s="5" t="str">
        <f>+VLOOKUP(F18,Resumen_Base!$B$7:$F$69,5,0)</f>
        <v>Shop</v>
      </c>
      <c r="D18" s="214" t="s">
        <v>383</v>
      </c>
      <c r="E18" s="212" t="str">
        <f>+VLOOKUP(F18,Resumen_Base!$B$6:$F$69,5,0)</f>
        <v>Shop</v>
      </c>
      <c r="F18" s="36" t="s">
        <v>130</v>
      </c>
      <c r="G18" s="5" t="s">
        <v>131</v>
      </c>
      <c r="H18" s="5" t="str">
        <f t="shared" si="0"/>
        <v>DEL4104</v>
      </c>
      <c r="I18" s="6">
        <v>-88800</v>
      </c>
      <c r="J18" s="62">
        <v>-60</v>
      </c>
      <c r="K18" s="62">
        <v>1480</v>
      </c>
      <c r="L18" s="62" t="s">
        <v>1758</v>
      </c>
      <c r="M18" s="100" t="s">
        <v>1382</v>
      </c>
      <c r="N18" s="5" t="s">
        <v>464</v>
      </c>
      <c r="O18" s="34" t="s">
        <v>1759</v>
      </c>
      <c r="P18" s="5" t="s">
        <v>1754</v>
      </c>
      <c r="Q18" s="5" t="s">
        <v>1760</v>
      </c>
      <c r="R18" s="5" t="s">
        <v>1756</v>
      </c>
      <c r="S18" s="5" t="s">
        <v>1761</v>
      </c>
      <c r="T18" s="5" t="s">
        <v>445</v>
      </c>
    </row>
    <row r="19" spans="1:20" ht="14">
      <c r="C19" s="5" t="str">
        <f>+VLOOKUP(F19,Resumen_Base!$B$7:$F$69,5,0)</f>
        <v>Shop</v>
      </c>
      <c r="D19" s="214" t="s">
        <v>383</v>
      </c>
      <c r="E19" s="212" t="str">
        <f>+VLOOKUP(F19,Resumen_Base!$B$6:$F$69,5,0)</f>
        <v>Shop</v>
      </c>
      <c r="F19" s="36" t="s">
        <v>130</v>
      </c>
      <c r="G19" s="5" t="s">
        <v>131</v>
      </c>
      <c r="H19" s="5" t="str">
        <f t="shared" si="0"/>
        <v>DEL4104</v>
      </c>
      <c r="I19" s="6">
        <v>-88800</v>
      </c>
      <c r="J19" s="62">
        <v>-60</v>
      </c>
      <c r="K19" s="62">
        <v>1480</v>
      </c>
      <c r="L19" s="62" t="s">
        <v>1752</v>
      </c>
      <c r="M19" s="100" t="s">
        <v>1382</v>
      </c>
      <c r="N19" s="5" t="s">
        <v>464</v>
      </c>
      <c r="O19" s="34" t="s">
        <v>1774</v>
      </c>
      <c r="P19" s="5" t="s">
        <v>1754</v>
      </c>
      <c r="Q19" s="5" t="s">
        <v>1775</v>
      </c>
      <c r="R19" s="5" t="s">
        <v>1776</v>
      </c>
      <c r="S19" s="5" t="s">
        <v>1777</v>
      </c>
      <c r="T19" s="5" t="s">
        <v>445</v>
      </c>
    </row>
    <row r="20" spans="1:20" ht="14">
      <c r="C20" s="5" t="str">
        <f>+VLOOKUP(F20,Resumen_Base!$B$7:$F$69,5,0)</f>
        <v>Canon Lodge/Labor Permits:</v>
      </c>
      <c r="D20" s="214" t="s">
        <v>383</v>
      </c>
      <c r="E20" s="212" t="str">
        <f>+VLOOKUP(F20,Resumen_Base!$B$6:$F$69,5,0)</f>
        <v>Canon Lodge/Labor Permits:</v>
      </c>
      <c r="F20" s="36" t="s">
        <v>141</v>
      </c>
      <c r="G20" s="5" t="s">
        <v>142</v>
      </c>
      <c r="H20" s="5" t="str">
        <f t="shared" si="0"/>
        <v>DEL5208</v>
      </c>
      <c r="I20" s="6">
        <v>352000</v>
      </c>
      <c r="J20" s="62">
        <v>239.45578231292501</v>
      </c>
      <c r="K20" s="62">
        <v>1470</v>
      </c>
      <c r="L20" s="62" t="s">
        <v>1521</v>
      </c>
      <c r="M20" s="100" t="s">
        <v>452</v>
      </c>
      <c r="N20" s="5" t="s">
        <v>464</v>
      </c>
      <c r="O20" s="34" t="s">
        <v>1692</v>
      </c>
      <c r="P20" s="5" t="s">
        <v>597</v>
      </c>
      <c r="Q20" s="5" t="s">
        <v>1693</v>
      </c>
      <c r="R20" s="5" t="s">
        <v>1734</v>
      </c>
      <c r="S20" s="5" t="s">
        <v>1695</v>
      </c>
      <c r="T20" s="5" t="s">
        <v>445</v>
      </c>
    </row>
    <row r="21" spans="1:20" ht="14">
      <c r="C21" s="5" t="str">
        <f>+VLOOKUP(F21,Resumen_Base!$B$7:$F$69,5,0)</f>
        <v>Canon Lodge/Labor Permits:</v>
      </c>
      <c r="D21" s="214" t="s">
        <v>383</v>
      </c>
      <c r="E21" s="212" t="str">
        <f>+VLOOKUP(F21,Resumen_Base!$B$6:$F$69,5,0)</f>
        <v>Canon Lodge/Labor Permits:</v>
      </c>
      <c r="F21" s="36" t="s">
        <v>141</v>
      </c>
      <c r="G21" s="5" t="s">
        <v>142</v>
      </c>
      <c r="H21" s="5" t="str">
        <f t="shared" si="0"/>
        <v>DEL5208</v>
      </c>
      <c r="I21" s="6">
        <v>352000</v>
      </c>
      <c r="J21" s="62">
        <v>237.83783783783801</v>
      </c>
      <c r="K21" s="62">
        <v>1480</v>
      </c>
      <c r="L21" s="62" t="s">
        <v>1465</v>
      </c>
      <c r="M21" s="100" t="s">
        <v>452</v>
      </c>
      <c r="N21" s="5" t="s">
        <v>464</v>
      </c>
      <c r="O21" s="34" t="s">
        <v>1697</v>
      </c>
      <c r="P21" s="5" t="s">
        <v>1467</v>
      </c>
      <c r="Q21" s="5" t="s">
        <v>1698</v>
      </c>
      <c r="R21" s="5" t="s">
        <v>1735</v>
      </c>
      <c r="S21" s="5" t="s">
        <v>1700</v>
      </c>
      <c r="T21" s="5" t="s">
        <v>445</v>
      </c>
    </row>
    <row r="22" spans="1:20" ht="14">
      <c r="C22" s="5" t="str">
        <f>+VLOOKUP(F22,Resumen_Base!$B$7:$F$69,5,0)</f>
        <v>Food &amp; Wine</v>
      </c>
      <c r="D22" s="214" t="s">
        <v>383</v>
      </c>
      <c r="E22" s="212" t="str">
        <f>+VLOOKUP(F22,Resumen_Base!$B$6:$F$69,5,0)</f>
        <v>Food &amp; Wine</v>
      </c>
      <c r="F22" s="36" t="s">
        <v>43</v>
      </c>
      <c r="G22" s="5" t="s">
        <v>42</v>
      </c>
      <c r="H22" s="5" t="str">
        <f t="shared" si="0"/>
        <v>DEL5213</v>
      </c>
      <c r="I22" s="6">
        <v>66500</v>
      </c>
      <c r="J22" s="62">
        <v>45.238095238095198</v>
      </c>
      <c r="K22" s="62">
        <v>1470</v>
      </c>
      <c r="L22" s="62" t="s">
        <v>1550</v>
      </c>
      <c r="M22" s="100" t="s">
        <v>452</v>
      </c>
      <c r="N22" s="5" t="s">
        <v>464</v>
      </c>
      <c r="O22" s="34" t="s">
        <v>1551</v>
      </c>
      <c r="P22" s="5" t="s">
        <v>597</v>
      </c>
      <c r="Q22" s="5" t="s">
        <v>1552</v>
      </c>
      <c r="R22" s="5" t="s">
        <v>1674</v>
      </c>
      <c r="S22" s="5" t="s">
        <v>1554</v>
      </c>
      <c r="T22" s="5" t="s">
        <v>445</v>
      </c>
    </row>
    <row r="23" spans="1:20" ht="14">
      <c r="C23" s="5" t="str">
        <f>+VLOOKUP(F23,Resumen_Base!$B$7:$F$69,5,0)</f>
        <v>Food &amp; Wine</v>
      </c>
      <c r="D23" s="214" t="s">
        <v>383</v>
      </c>
      <c r="E23" s="212" t="str">
        <f>+VLOOKUP(F23,Resumen_Base!$B$6:$F$69,5,0)</f>
        <v>Food &amp; Wine</v>
      </c>
      <c r="F23" s="36" t="s">
        <v>43</v>
      </c>
      <c r="G23" s="5" t="s">
        <v>42</v>
      </c>
      <c r="H23" s="5" t="str">
        <f t="shared" si="0"/>
        <v>DEL5213</v>
      </c>
      <c r="I23" s="6">
        <v>1304896.46</v>
      </c>
      <c r="J23" s="62">
        <v>881.68679729729695</v>
      </c>
      <c r="K23" s="62">
        <v>1480</v>
      </c>
      <c r="L23" s="62" t="s">
        <v>1465</v>
      </c>
      <c r="M23" s="100" t="s">
        <v>452</v>
      </c>
      <c r="N23" s="5" t="s">
        <v>464</v>
      </c>
      <c r="O23" s="34" t="s">
        <v>1697</v>
      </c>
      <c r="P23" s="5" t="s">
        <v>1467</v>
      </c>
      <c r="Q23" s="5" t="s">
        <v>1698</v>
      </c>
      <c r="R23" s="5" t="s">
        <v>1742</v>
      </c>
      <c r="S23" s="5" t="s">
        <v>1700</v>
      </c>
      <c r="T23" s="5" t="s">
        <v>445</v>
      </c>
    </row>
    <row r="24" spans="1:20" ht="14">
      <c r="C24" s="5" t="str">
        <f>+VLOOKUP(F24,Resumen_Base!$B$7:$F$69,5,0)</f>
        <v>Food &amp; Wine</v>
      </c>
      <c r="D24" s="214" t="s">
        <v>383</v>
      </c>
      <c r="E24" s="212" t="str">
        <f>+VLOOKUP(F24,Resumen_Base!$B$6:$F$69,5,0)</f>
        <v>Food &amp; Wine</v>
      </c>
      <c r="F24" s="36" t="s">
        <v>43</v>
      </c>
      <c r="G24" s="5" t="s">
        <v>42</v>
      </c>
      <c r="H24" s="5" t="str">
        <f t="shared" si="0"/>
        <v>DEL5213</v>
      </c>
      <c r="I24" s="6">
        <v>881000</v>
      </c>
      <c r="J24" s="62">
        <v>595.27027027026998</v>
      </c>
      <c r="K24" s="62">
        <v>1480</v>
      </c>
      <c r="L24" s="62" t="s">
        <v>1717</v>
      </c>
      <c r="M24" s="100" t="s">
        <v>452</v>
      </c>
      <c r="N24" s="5" t="s">
        <v>464</v>
      </c>
      <c r="O24" s="34" t="s">
        <v>1718</v>
      </c>
      <c r="P24" s="5" t="s">
        <v>1467</v>
      </c>
      <c r="Q24" s="5" t="s">
        <v>1719</v>
      </c>
      <c r="R24" s="5" t="s">
        <v>1744</v>
      </c>
      <c r="S24" s="5" t="s">
        <v>1721</v>
      </c>
      <c r="T24" s="5" t="s">
        <v>445</v>
      </c>
    </row>
    <row r="25" spans="1:20" ht="14">
      <c r="C25" s="5" t="str">
        <f>+VLOOKUP(F25,Resumen_Base!$B$7:$F$69,5,0)</f>
        <v>Miscellaneous &amp; Shipping</v>
      </c>
      <c r="D25" s="214" t="s">
        <v>383</v>
      </c>
      <c r="E25" s="212" t="str">
        <f>+VLOOKUP(F25,Resumen_Base!$B$6:$F$69,5,0)</f>
        <v>Miscellaneous &amp; Shipping</v>
      </c>
      <c r="F25" s="36" t="s">
        <v>54</v>
      </c>
      <c r="G25" s="5" t="s">
        <v>55</v>
      </c>
      <c r="H25" s="5" t="str">
        <f t="shared" si="0"/>
        <v>DEL5219</v>
      </c>
      <c r="I25" s="6">
        <v>91340</v>
      </c>
      <c r="J25" s="62">
        <v>61.716216216216203</v>
      </c>
      <c r="K25" s="62">
        <v>1480</v>
      </c>
      <c r="L25" s="62" t="s">
        <v>1499</v>
      </c>
      <c r="M25" s="100" t="s">
        <v>452</v>
      </c>
      <c r="N25" s="5" t="s">
        <v>464</v>
      </c>
      <c r="O25" s="34" t="s">
        <v>1726</v>
      </c>
      <c r="P25" s="5" t="s">
        <v>1467</v>
      </c>
      <c r="Q25" s="5" t="s">
        <v>1727</v>
      </c>
      <c r="R25" s="5" t="s">
        <v>1748</v>
      </c>
      <c r="S25" s="5" t="s">
        <v>1729</v>
      </c>
      <c r="T25" s="5" t="s">
        <v>445</v>
      </c>
    </row>
    <row r="26" spans="1:20" s="318" customFormat="1" ht="14">
      <c r="A26" s="317"/>
      <c r="C26" s="318" t="str">
        <f>+VLOOKUP(F26,Resumen_Base!$B$7:$F$69,5,0)</f>
        <v>Services/House</v>
      </c>
      <c r="D26" s="317" t="s">
        <v>383</v>
      </c>
      <c r="E26" s="335" t="str">
        <f>+VLOOKUP(F26,Resumen_Base!$B$6:$F$69,5,0)</f>
        <v>Services/House</v>
      </c>
      <c r="F26" s="318" t="s">
        <v>148</v>
      </c>
      <c r="G26" s="318" t="s">
        <v>283</v>
      </c>
      <c r="H26" s="318" t="str">
        <f t="shared" si="0"/>
        <v>DEL5226</v>
      </c>
      <c r="I26" s="320">
        <v>1915120</v>
      </c>
      <c r="J26" s="321">
        <v>1294</v>
      </c>
      <c r="K26" s="321">
        <v>1480</v>
      </c>
      <c r="L26" s="321" t="s">
        <v>1471</v>
      </c>
      <c r="M26" s="322" t="s">
        <v>452</v>
      </c>
      <c r="N26" s="318" t="s">
        <v>464</v>
      </c>
      <c r="O26" s="63" t="s">
        <v>1472</v>
      </c>
      <c r="P26" s="318" t="s">
        <v>1467</v>
      </c>
      <c r="Q26" s="318" t="s">
        <v>1473</v>
      </c>
      <c r="R26" s="318" t="s">
        <v>1484</v>
      </c>
      <c r="S26" s="318" t="s">
        <v>1475</v>
      </c>
      <c r="T26" s="318" t="s">
        <v>445</v>
      </c>
    </row>
    <row r="27" spans="1:20" s="318" customFormat="1" ht="14">
      <c r="A27" s="317"/>
      <c r="C27" s="318" t="str">
        <f>+VLOOKUP(F27,Resumen_Base!$B$7:$F$69,5,0)</f>
        <v>Services/House</v>
      </c>
      <c r="D27" s="317" t="s">
        <v>383</v>
      </c>
      <c r="E27" s="335" t="str">
        <f>+VLOOKUP(F27,Resumen_Base!$B$6:$F$69,5,0)</f>
        <v>Services/House</v>
      </c>
      <c r="F27" s="318" t="s">
        <v>148</v>
      </c>
      <c r="G27" s="318" t="s">
        <v>283</v>
      </c>
      <c r="H27" s="318" t="str">
        <f t="shared" si="0"/>
        <v>DEL5226</v>
      </c>
      <c r="I27" s="320">
        <v>1915120</v>
      </c>
      <c r="J27" s="321">
        <v>1294</v>
      </c>
      <c r="K27" s="321">
        <v>1480</v>
      </c>
      <c r="L27" s="321" t="s">
        <v>1471</v>
      </c>
      <c r="M27" s="322" t="s">
        <v>452</v>
      </c>
      <c r="N27" s="318" t="s">
        <v>464</v>
      </c>
      <c r="O27" s="63" t="s">
        <v>1476</v>
      </c>
      <c r="P27" s="318" t="s">
        <v>1467</v>
      </c>
      <c r="Q27" s="318" t="s">
        <v>1477</v>
      </c>
      <c r="R27" s="318" t="s">
        <v>1484</v>
      </c>
      <c r="S27" s="318" t="s">
        <v>1478</v>
      </c>
      <c r="T27" s="318" t="s">
        <v>445</v>
      </c>
    </row>
    <row r="28" spans="1:20" s="318" customFormat="1" ht="14">
      <c r="A28" s="317"/>
      <c r="C28" s="318" t="str">
        <f>+VLOOKUP(F28,Resumen_Base!$B$7:$F$69,5,0)</f>
        <v>Services/House</v>
      </c>
      <c r="D28" s="317" t="s">
        <v>383</v>
      </c>
      <c r="E28" s="335" t="str">
        <f>+VLOOKUP(F28,Resumen_Base!$B$6:$F$69,5,0)</f>
        <v>Services/House</v>
      </c>
      <c r="F28" s="318" t="s">
        <v>148</v>
      </c>
      <c r="G28" s="318" t="s">
        <v>283</v>
      </c>
      <c r="H28" s="318" t="str">
        <f t="shared" si="0"/>
        <v>DEL5226</v>
      </c>
      <c r="I28" s="320">
        <v>-1915120</v>
      </c>
      <c r="J28" s="321">
        <v>-1294</v>
      </c>
      <c r="K28" s="321">
        <v>1480</v>
      </c>
      <c r="L28" s="321" t="s">
        <v>1471</v>
      </c>
      <c r="M28" s="322" t="s">
        <v>452</v>
      </c>
      <c r="N28" s="318" t="s">
        <v>464</v>
      </c>
      <c r="O28" s="63" t="s">
        <v>1479</v>
      </c>
      <c r="P28" s="318" t="s">
        <v>1467</v>
      </c>
      <c r="Q28" s="318" t="s">
        <v>1480</v>
      </c>
      <c r="R28" s="318" t="s">
        <v>1484</v>
      </c>
      <c r="S28" s="318" t="s">
        <v>1481</v>
      </c>
      <c r="T28" s="318" t="s">
        <v>445</v>
      </c>
    </row>
    <row r="29" spans="1:20" ht="14">
      <c r="C29" s="5" t="str">
        <f>+VLOOKUP(F29,Resumen_Base!$B$7:$F$69,5,0)</f>
        <v>Services/House</v>
      </c>
      <c r="D29" s="214" t="s">
        <v>383</v>
      </c>
      <c r="E29" s="212" t="str">
        <f>+VLOOKUP(F29,Resumen_Base!$B$6:$F$69,5,0)</f>
        <v>Services/House</v>
      </c>
      <c r="F29" s="36" t="s">
        <v>148</v>
      </c>
      <c r="G29" s="5" t="s">
        <v>283</v>
      </c>
      <c r="H29" s="5" t="str">
        <f t="shared" si="0"/>
        <v>DEL5226</v>
      </c>
      <c r="I29" s="6">
        <v>280000</v>
      </c>
      <c r="J29" s="62">
        <v>189.18918918918899</v>
      </c>
      <c r="K29" s="62">
        <v>1480</v>
      </c>
      <c r="L29" s="62" t="s">
        <v>1545</v>
      </c>
      <c r="M29" s="100" t="s">
        <v>452</v>
      </c>
      <c r="N29" s="5" t="s">
        <v>464</v>
      </c>
      <c r="O29" s="34" t="s">
        <v>1546</v>
      </c>
      <c r="P29" s="5" t="s">
        <v>1467</v>
      </c>
      <c r="Q29" s="5" t="s">
        <v>1547</v>
      </c>
      <c r="R29" s="5" t="s">
        <v>1565</v>
      </c>
      <c r="S29" s="5" t="s">
        <v>1549</v>
      </c>
      <c r="T29" s="5" t="s">
        <v>445</v>
      </c>
    </row>
    <row r="30" spans="1:20" ht="14">
      <c r="A30" s="336">
        <v>5252</v>
      </c>
      <c r="B30" s="5">
        <v>5226</v>
      </c>
      <c r="C30" s="5" t="str">
        <f>+VLOOKUP(F30,Resumen_Base!$B$7:$F$69,5,0)</f>
        <v>Maintenance Lodge</v>
      </c>
      <c r="D30" s="214" t="s">
        <v>383</v>
      </c>
      <c r="E30" s="212" t="str">
        <f>+VLOOKUP(F30,Resumen_Base!$B$6:$F$69,5,0)</f>
        <v>Maintenance Lodge</v>
      </c>
      <c r="F30" s="3" t="s">
        <v>31</v>
      </c>
      <c r="G30" t="s">
        <v>30</v>
      </c>
      <c r="H30" s="5" t="str">
        <f t="shared" si="0"/>
        <v>DEL5252</v>
      </c>
      <c r="I30" s="6">
        <v>80000</v>
      </c>
      <c r="J30" s="62">
        <v>54.054054054054099</v>
      </c>
      <c r="K30" s="62">
        <v>1480</v>
      </c>
      <c r="L30" s="62" t="s">
        <v>1545</v>
      </c>
      <c r="M30" s="100" t="s">
        <v>452</v>
      </c>
      <c r="N30" s="5" t="s">
        <v>464</v>
      </c>
      <c r="O30" s="34" t="s">
        <v>1546</v>
      </c>
      <c r="P30" s="5" t="s">
        <v>1467</v>
      </c>
      <c r="Q30" s="5" t="s">
        <v>1547</v>
      </c>
      <c r="R30" s="5" t="s">
        <v>1568</v>
      </c>
      <c r="S30" s="5" t="s">
        <v>1549</v>
      </c>
      <c r="T30" s="5" t="s">
        <v>445</v>
      </c>
    </row>
    <row r="31" spans="1:20" ht="14">
      <c r="A31" s="336">
        <v>5252</v>
      </c>
      <c r="B31" s="5">
        <v>5226</v>
      </c>
      <c r="C31" s="5" t="str">
        <f>+VLOOKUP(F31,Resumen_Base!$B$7:$F$69,5,0)</f>
        <v>Maintenance Lodge</v>
      </c>
      <c r="D31" s="214" t="s">
        <v>383</v>
      </c>
      <c r="E31" s="212" t="str">
        <f>+VLOOKUP(F31,Resumen_Base!$B$6:$F$69,5,0)</f>
        <v>Maintenance Lodge</v>
      </c>
      <c r="F31" s="3" t="s">
        <v>31</v>
      </c>
      <c r="G31" t="s">
        <v>30</v>
      </c>
      <c r="H31" s="5" t="str">
        <f t="shared" si="0"/>
        <v>DEL5252</v>
      </c>
      <c r="I31" s="6">
        <v>20000</v>
      </c>
      <c r="J31" s="62">
        <v>13.5135135135135</v>
      </c>
      <c r="K31" s="62">
        <v>1480</v>
      </c>
      <c r="L31" s="62" t="s">
        <v>1545</v>
      </c>
      <c r="M31" s="100" t="s">
        <v>452</v>
      </c>
      <c r="N31" s="5" t="s">
        <v>464</v>
      </c>
      <c r="O31" s="34" t="s">
        <v>1546</v>
      </c>
      <c r="P31" s="5" t="s">
        <v>1467</v>
      </c>
      <c r="Q31" s="5" t="s">
        <v>1547</v>
      </c>
      <c r="R31" s="5" t="s">
        <v>1569</v>
      </c>
      <c r="S31" s="5" t="s">
        <v>1549</v>
      </c>
      <c r="T31" s="5" t="s">
        <v>445</v>
      </c>
    </row>
    <row r="32" spans="1:20" ht="14">
      <c r="C32" s="5" t="str">
        <f>+VLOOKUP(F32,Resumen_Base!$B$7:$F$69,5,0)</f>
        <v>Services/House</v>
      </c>
      <c r="D32" s="214" t="s">
        <v>383</v>
      </c>
      <c r="E32" s="212" t="str">
        <f>+VLOOKUP(F32,Resumen_Base!$B$6:$F$69,5,0)</f>
        <v>Services/House</v>
      </c>
      <c r="F32" s="36" t="s">
        <v>148</v>
      </c>
      <c r="G32" s="5" t="s">
        <v>283</v>
      </c>
      <c r="H32" s="5" t="str">
        <f t="shared" si="0"/>
        <v>DEL5226</v>
      </c>
      <c r="I32" s="6">
        <v>444000</v>
      </c>
      <c r="J32" s="62">
        <v>300</v>
      </c>
      <c r="K32" s="62">
        <v>1480</v>
      </c>
      <c r="L32" s="62" t="s">
        <v>1545</v>
      </c>
      <c r="M32" s="100" t="s">
        <v>452</v>
      </c>
      <c r="N32" s="5" t="s">
        <v>464</v>
      </c>
      <c r="O32" s="34" t="s">
        <v>1619</v>
      </c>
      <c r="P32" s="5" t="s">
        <v>1467</v>
      </c>
      <c r="Q32" s="5" t="s">
        <v>1620</v>
      </c>
      <c r="R32" s="5" t="s">
        <v>1621</v>
      </c>
      <c r="S32" s="5" t="s">
        <v>1622</v>
      </c>
      <c r="T32" s="5" t="s">
        <v>445</v>
      </c>
    </row>
    <row r="33" spans="1:20" ht="14">
      <c r="A33" s="336">
        <v>5291</v>
      </c>
      <c r="B33" s="5">
        <v>5226</v>
      </c>
      <c r="C33" s="5" t="str">
        <f>+VLOOKUP(F33,Resumen_Base!$B$7:$F$69,5,0)</f>
        <v>Food &amp; Wine</v>
      </c>
      <c r="D33" s="214" t="s">
        <v>383</v>
      </c>
      <c r="E33" s="212" t="str">
        <f>+VLOOKUP(F33,Resumen_Base!$B$6:$F$69,5,0)</f>
        <v>Food &amp; Wine</v>
      </c>
      <c r="F33" s="3" t="s">
        <v>110</v>
      </c>
      <c r="G33" t="s">
        <v>111</v>
      </c>
      <c r="H33" s="5" t="str">
        <f t="shared" si="0"/>
        <v>DEL5291</v>
      </c>
      <c r="I33" s="6">
        <v>20000</v>
      </c>
      <c r="J33" s="62">
        <v>13.605442176870699</v>
      </c>
      <c r="K33" s="62">
        <v>1470</v>
      </c>
      <c r="L33" s="62" t="s">
        <v>1550</v>
      </c>
      <c r="M33" s="100" t="s">
        <v>452</v>
      </c>
      <c r="N33" s="5" t="s">
        <v>464</v>
      </c>
      <c r="O33" s="34" t="s">
        <v>1551</v>
      </c>
      <c r="P33" s="5" t="s">
        <v>597</v>
      </c>
      <c r="Q33" s="5" t="s">
        <v>1552</v>
      </c>
      <c r="R33" s="5" t="s">
        <v>1635</v>
      </c>
      <c r="S33" s="5" t="s">
        <v>1554</v>
      </c>
      <c r="T33" s="5" t="s">
        <v>445</v>
      </c>
    </row>
    <row r="34" spans="1:20" ht="14">
      <c r="C34" s="5" t="str">
        <f>+VLOOKUP(F34,Resumen_Base!$B$7:$F$69,5,0)</f>
        <v>Services/House</v>
      </c>
      <c r="D34" s="214" t="s">
        <v>383</v>
      </c>
      <c r="E34" s="212" t="str">
        <f>+VLOOKUP(F34,Resumen_Base!$B$6:$F$69,5,0)</f>
        <v>Services/House</v>
      </c>
      <c r="F34" s="36" t="s">
        <v>148</v>
      </c>
      <c r="G34" s="5" t="s">
        <v>283</v>
      </c>
      <c r="H34" s="5" t="str">
        <f t="shared" si="0"/>
        <v>DEL5226</v>
      </c>
      <c r="I34" s="6">
        <v>296000</v>
      </c>
      <c r="J34" s="62">
        <v>200</v>
      </c>
      <c r="K34" s="62">
        <v>1480</v>
      </c>
      <c r="L34" s="62" t="s">
        <v>1465</v>
      </c>
      <c r="M34" s="100" t="s">
        <v>452</v>
      </c>
      <c r="N34" s="5" t="s">
        <v>464</v>
      </c>
      <c r="O34" s="34" t="s">
        <v>1636</v>
      </c>
      <c r="P34" s="5" t="s">
        <v>1467</v>
      </c>
      <c r="Q34" s="5" t="s">
        <v>1637</v>
      </c>
      <c r="R34" s="5" t="s">
        <v>1638</v>
      </c>
      <c r="S34" s="5" t="s">
        <v>1639</v>
      </c>
      <c r="T34" s="5" t="s">
        <v>445</v>
      </c>
    </row>
    <row r="35" spans="1:20" ht="14">
      <c r="A35" s="336">
        <v>5291</v>
      </c>
      <c r="B35" s="5">
        <v>5226</v>
      </c>
      <c r="C35" s="5" t="str">
        <f>+VLOOKUP(F35,Resumen_Base!$B$7:$F$69,5,0)</f>
        <v>Food &amp; Wine</v>
      </c>
      <c r="D35" s="214" t="s">
        <v>383</v>
      </c>
      <c r="E35" s="212" t="str">
        <f>+VLOOKUP(F35,Resumen_Base!$B$6:$F$69,5,0)</f>
        <v>Food &amp; Wine</v>
      </c>
      <c r="F35" s="3" t="s">
        <v>110</v>
      </c>
      <c r="G35" t="s">
        <v>111</v>
      </c>
      <c r="H35" s="5" t="str">
        <f t="shared" si="0"/>
        <v>DEL5291</v>
      </c>
      <c r="I35" s="6">
        <v>20000</v>
      </c>
      <c r="J35" s="62">
        <v>13.605442176870699</v>
      </c>
      <c r="K35" s="62">
        <v>1470</v>
      </c>
      <c r="L35" s="62" t="s">
        <v>1550</v>
      </c>
      <c r="M35" s="100" t="s">
        <v>452</v>
      </c>
      <c r="N35" s="5" t="s">
        <v>464</v>
      </c>
      <c r="O35" s="34" t="s">
        <v>1551</v>
      </c>
      <c r="P35" s="5" t="s">
        <v>597</v>
      </c>
      <c r="Q35" s="5" t="s">
        <v>1552</v>
      </c>
      <c r="R35" s="5" t="s">
        <v>1644</v>
      </c>
      <c r="S35" s="5" t="s">
        <v>1554</v>
      </c>
      <c r="T35" s="5" t="s">
        <v>445</v>
      </c>
    </row>
    <row r="36" spans="1:20" ht="14">
      <c r="C36" s="5" t="str">
        <f>+VLOOKUP(F36,Resumen_Base!$B$7:$F$69,5,0)</f>
        <v>Services/House</v>
      </c>
      <c r="D36" s="214" t="s">
        <v>383</v>
      </c>
      <c r="E36" s="212" t="str">
        <f>+VLOOKUP(F36,Resumen_Base!$B$6:$F$69,5,0)</f>
        <v>Services/House</v>
      </c>
      <c r="F36" s="36" t="s">
        <v>148</v>
      </c>
      <c r="G36" s="5" t="s">
        <v>283</v>
      </c>
      <c r="H36" s="5" t="str">
        <f t="shared" si="0"/>
        <v>DEL5226</v>
      </c>
      <c r="I36" s="6">
        <v>44850</v>
      </c>
      <c r="J36" s="62">
        <v>30.304054054054099</v>
      </c>
      <c r="K36" s="62">
        <v>1480</v>
      </c>
      <c r="L36" s="62" t="s">
        <v>1545</v>
      </c>
      <c r="M36" s="100" t="s">
        <v>452</v>
      </c>
      <c r="N36" s="5" t="s">
        <v>464</v>
      </c>
      <c r="O36" s="34" t="s">
        <v>1546</v>
      </c>
      <c r="P36" s="5" t="s">
        <v>1467</v>
      </c>
      <c r="Q36" s="5" t="s">
        <v>1547</v>
      </c>
      <c r="R36" s="5" t="s">
        <v>1649</v>
      </c>
      <c r="S36" s="5" t="s">
        <v>1549</v>
      </c>
      <c r="T36" s="5" t="s">
        <v>445</v>
      </c>
    </row>
    <row r="37" spans="1:20" ht="14">
      <c r="C37" s="5" t="str">
        <f>+VLOOKUP(F37,Resumen_Base!$B$7:$F$69,5,0)</f>
        <v>Services/House</v>
      </c>
      <c r="D37" s="214" t="s">
        <v>383</v>
      </c>
      <c r="E37" s="212" t="str">
        <f>+VLOOKUP(F37,Resumen_Base!$B$6:$F$69,5,0)</f>
        <v>Services/House</v>
      </c>
      <c r="F37" s="36" t="s">
        <v>148</v>
      </c>
      <c r="G37" s="5" t="s">
        <v>283</v>
      </c>
      <c r="H37" s="5" t="str">
        <f t="shared" si="0"/>
        <v>DEL5226</v>
      </c>
      <c r="I37" s="6">
        <v>29500</v>
      </c>
      <c r="J37" s="62">
        <v>19.9324324324324</v>
      </c>
      <c r="K37" s="62">
        <v>1480</v>
      </c>
      <c r="L37" s="62" t="s">
        <v>1465</v>
      </c>
      <c r="M37" s="100" t="s">
        <v>452</v>
      </c>
      <c r="N37" s="5" t="s">
        <v>464</v>
      </c>
      <c r="O37" s="34" t="s">
        <v>1561</v>
      </c>
      <c r="P37" s="5" t="s">
        <v>1467</v>
      </c>
      <c r="Q37" s="5" t="s">
        <v>1562</v>
      </c>
      <c r="R37" s="5" t="s">
        <v>1650</v>
      </c>
      <c r="S37" s="5" t="s">
        <v>1564</v>
      </c>
      <c r="T37" s="5" t="s">
        <v>445</v>
      </c>
    </row>
    <row r="38" spans="1:20" ht="14">
      <c r="C38" s="5" t="str">
        <f>+VLOOKUP(F38,Resumen_Base!$B$7:$F$69,5,0)</f>
        <v>Services/House</v>
      </c>
      <c r="D38" s="214" t="s">
        <v>383</v>
      </c>
      <c r="E38" s="212" t="str">
        <f>+VLOOKUP(F38,Resumen_Base!$B$6:$F$69,5,0)</f>
        <v>Services/House</v>
      </c>
      <c r="F38" s="36" t="s">
        <v>148</v>
      </c>
      <c r="G38" s="5" t="s">
        <v>283</v>
      </c>
      <c r="H38" s="5" t="str">
        <f t="shared" si="0"/>
        <v>DEL5226</v>
      </c>
      <c r="I38" s="6">
        <v>317667</v>
      </c>
      <c r="J38" s="62">
        <v>216.1</v>
      </c>
      <c r="K38" s="62">
        <v>1470</v>
      </c>
      <c r="L38" s="62" t="s">
        <v>1521</v>
      </c>
      <c r="M38" s="100" t="s">
        <v>452</v>
      </c>
      <c r="N38" s="5" t="s">
        <v>464</v>
      </c>
      <c r="O38" s="34" t="s">
        <v>1692</v>
      </c>
      <c r="P38" s="5" t="s">
        <v>597</v>
      </c>
      <c r="Q38" s="5" t="s">
        <v>1693</v>
      </c>
      <c r="R38" s="5" t="s">
        <v>1696</v>
      </c>
      <c r="S38" s="5" t="s">
        <v>1695</v>
      </c>
      <c r="T38" s="5" t="s">
        <v>445</v>
      </c>
    </row>
    <row r="39" spans="1:20" ht="14">
      <c r="C39" s="5" t="str">
        <f>+VLOOKUP(F39,Resumen_Base!$B$7:$F$69,5,0)</f>
        <v>Services/House</v>
      </c>
      <c r="D39" s="214" t="s">
        <v>383</v>
      </c>
      <c r="E39" s="212" t="str">
        <f>+VLOOKUP(F39,Resumen_Base!$B$6:$F$69,5,0)</f>
        <v>Services/House</v>
      </c>
      <c r="F39" s="36" t="s">
        <v>148</v>
      </c>
      <c r="G39" s="5" t="s">
        <v>283</v>
      </c>
      <c r="H39" s="5" t="str">
        <f t="shared" si="0"/>
        <v>DEL5226</v>
      </c>
      <c r="I39" s="6">
        <v>309481</v>
      </c>
      <c r="J39" s="62">
        <v>209.10878378378399</v>
      </c>
      <c r="K39" s="62">
        <v>1480</v>
      </c>
      <c r="L39" s="62" t="s">
        <v>1465</v>
      </c>
      <c r="M39" s="100" t="s">
        <v>452</v>
      </c>
      <c r="N39" s="5" t="s">
        <v>464</v>
      </c>
      <c r="O39" s="34" t="s">
        <v>1697</v>
      </c>
      <c r="P39" s="5" t="s">
        <v>1467</v>
      </c>
      <c r="Q39" s="5" t="s">
        <v>1698</v>
      </c>
      <c r="R39" s="5" t="s">
        <v>1699</v>
      </c>
      <c r="S39" s="5" t="s">
        <v>1700</v>
      </c>
      <c r="T39" s="5" t="s">
        <v>445</v>
      </c>
    </row>
    <row r="40" spans="1:20" ht="14">
      <c r="C40" s="5" t="str">
        <f>+VLOOKUP(F40,Resumen_Base!$B$7:$F$69,5,0)</f>
        <v>Guides</v>
      </c>
      <c r="D40" s="214" t="s">
        <v>383</v>
      </c>
      <c r="E40" s="212" t="str">
        <f>+VLOOKUP(F40,Resumen_Base!$B$6:$F$69,5,0)</f>
        <v>Guides</v>
      </c>
      <c r="F40" s="36" t="s">
        <v>149</v>
      </c>
      <c r="G40" s="5" t="s">
        <v>284</v>
      </c>
      <c r="H40" s="5" t="str">
        <f t="shared" si="0"/>
        <v>DEL5227</v>
      </c>
      <c r="I40" s="6">
        <v>1184000</v>
      </c>
      <c r="J40" s="62">
        <v>800</v>
      </c>
      <c r="K40" s="62">
        <v>1480</v>
      </c>
      <c r="L40" s="62" t="s">
        <v>1545</v>
      </c>
      <c r="M40" s="100" t="s">
        <v>452</v>
      </c>
      <c r="N40" s="5" t="s">
        <v>464</v>
      </c>
      <c r="O40" s="34" t="s">
        <v>1619</v>
      </c>
      <c r="P40" s="5" t="s">
        <v>1467</v>
      </c>
      <c r="Q40" s="5" t="s">
        <v>1620</v>
      </c>
      <c r="R40" s="5" t="s">
        <v>1624</v>
      </c>
      <c r="S40" s="5" t="s">
        <v>1622</v>
      </c>
      <c r="T40" s="5" t="s">
        <v>445</v>
      </c>
    </row>
    <row r="41" spans="1:20" ht="14">
      <c r="C41" s="5" t="str">
        <f>+VLOOKUP(F41,Resumen_Base!$B$7:$F$69,5,0)</f>
        <v>Guides</v>
      </c>
      <c r="D41" s="214" t="s">
        <v>383</v>
      </c>
      <c r="E41" s="212" t="str">
        <f>+VLOOKUP(F41,Resumen_Base!$B$6:$F$69,5,0)</f>
        <v>Guides</v>
      </c>
      <c r="F41" s="36" t="s">
        <v>149</v>
      </c>
      <c r="G41" s="5" t="s">
        <v>284</v>
      </c>
      <c r="H41" s="5" t="str">
        <f t="shared" si="0"/>
        <v>DEL5227</v>
      </c>
      <c r="I41" s="6">
        <v>1332000</v>
      </c>
      <c r="J41" s="62">
        <v>900</v>
      </c>
      <c r="K41" s="62">
        <v>1480</v>
      </c>
      <c r="L41" s="62" t="s">
        <v>1545</v>
      </c>
      <c r="M41" s="100" t="s">
        <v>452</v>
      </c>
      <c r="N41" s="5" t="s">
        <v>464</v>
      </c>
      <c r="O41" s="34" t="s">
        <v>1619</v>
      </c>
      <c r="P41" s="5" t="s">
        <v>1467</v>
      </c>
      <c r="Q41" s="5" t="s">
        <v>1620</v>
      </c>
      <c r="R41" s="5" t="s">
        <v>1633</v>
      </c>
      <c r="S41" s="5" t="s">
        <v>1622</v>
      </c>
      <c r="T41" s="5" t="s">
        <v>445</v>
      </c>
    </row>
    <row r="42" spans="1:20" ht="14">
      <c r="C42" s="5" t="str">
        <f>+VLOOKUP(F42,Resumen_Base!$B$7:$F$69,5,0)</f>
        <v>Guides</v>
      </c>
      <c r="D42" s="214" t="s">
        <v>383</v>
      </c>
      <c r="E42" s="212" t="str">
        <f>+VLOOKUP(F42,Resumen_Base!$B$6:$F$69,5,0)</f>
        <v>Guides</v>
      </c>
      <c r="F42" s="36" t="s">
        <v>149</v>
      </c>
      <c r="G42" s="5" t="s">
        <v>284</v>
      </c>
      <c r="H42" s="5" t="str">
        <f t="shared" si="0"/>
        <v>DEL5227</v>
      </c>
      <c r="I42" s="6">
        <v>3848000</v>
      </c>
      <c r="J42" s="62">
        <v>2600</v>
      </c>
      <c r="K42" s="62">
        <v>1480</v>
      </c>
      <c r="L42" s="62" t="s">
        <v>1545</v>
      </c>
      <c r="M42" s="100" t="s">
        <v>452</v>
      </c>
      <c r="N42" s="5" t="s">
        <v>464</v>
      </c>
      <c r="O42" s="34" t="s">
        <v>1619</v>
      </c>
      <c r="P42" s="5" t="s">
        <v>1467</v>
      </c>
      <c r="Q42" s="5" t="s">
        <v>1620</v>
      </c>
      <c r="R42" s="5" t="s">
        <v>1634</v>
      </c>
      <c r="S42" s="5" t="s">
        <v>1622</v>
      </c>
      <c r="T42" s="5" t="s">
        <v>445</v>
      </c>
    </row>
    <row r="43" spans="1:20" ht="14">
      <c r="C43" s="5" t="str">
        <f>+VLOOKUP(F43,Resumen_Base!$B$7:$F$69,5,0)</f>
        <v>Guides</v>
      </c>
      <c r="D43" s="214" t="s">
        <v>383</v>
      </c>
      <c r="E43" s="212" t="str">
        <f>+VLOOKUP(F43,Resumen_Base!$B$6:$F$69,5,0)</f>
        <v>Guides</v>
      </c>
      <c r="F43" s="36" t="s">
        <v>149</v>
      </c>
      <c r="G43" s="5" t="s">
        <v>284</v>
      </c>
      <c r="H43" s="5" t="str">
        <f t="shared" si="0"/>
        <v>DEL5227</v>
      </c>
      <c r="I43" s="6">
        <v>2960000</v>
      </c>
      <c r="J43" s="62">
        <v>2000</v>
      </c>
      <c r="K43" s="62">
        <v>1480</v>
      </c>
      <c r="L43" s="62" t="s">
        <v>1471</v>
      </c>
      <c r="M43" s="100" t="s">
        <v>452</v>
      </c>
      <c r="N43" s="5" t="s">
        <v>464</v>
      </c>
      <c r="O43" s="34" t="s">
        <v>1472</v>
      </c>
      <c r="P43" s="5" t="s">
        <v>1467</v>
      </c>
      <c r="Q43" s="5" t="s">
        <v>1473</v>
      </c>
      <c r="R43" s="5" t="s">
        <v>1690</v>
      </c>
      <c r="S43" s="5" t="s">
        <v>1475</v>
      </c>
      <c r="T43" s="5" t="s">
        <v>445</v>
      </c>
    </row>
    <row r="44" spans="1:20" ht="14">
      <c r="C44" s="5" t="str">
        <f>+VLOOKUP(F44,Resumen_Base!$B$7:$F$69,5,0)</f>
        <v>Guides</v>
      </c>
      <c r="D44" s="214" t="s">
        <v>383</v>
      </c>
      <c r="E44" s="212" t="str">
        <f>+VLOOKUP(F44,Resumen_Base!$B$6:$F$69,5,0)</f>
        <v>Guides</v>
      </c>
      <c r="F44" s="36" t="s">
        <v>149</v>
      </c>
      <c r="G44" s="5" t="s">
        <v>284</v>
      </c>
      <c r="H44" s="5" t="str">
        <f t="shared" si="0"/>
        <v>DEL5227</v>
      </c>
      <c r="I44" s="6">
        <v>2960000</v>
      </c>
      <c r="J44" s="62">
        <v>2000</v>
      </c>
      <c r="K44" s="62">
        <v>1480</v>
      </c>
      <c r="L44" s="62" t="s">
        <v>1471</v>
      </c>
      <c r="M44" s="100" t="s">
        <v>452</v>
      </c>
      <c r="N44" s="5" t="s">
        <v>464</v>
      </c>
      <c r="O44" s="34" t="s">
        <v>1476</v>
      </c>
      <c r="P44" s="5" t="s">
        <v>1467</v>
      </c>
      <c r="Q44" s="5" t="s">
        <v>1477</v>
      </c>
      <c r="R44" s="5" t="s">
        <v>1690</v>
      </c>
      <c r="S44" s="5" t="s">
        <v>1478</v>
      </c>
      <c r="T44" s="5" t="s">
        <v>445</v>
      </c>
    </row>
    <row r="45" spans="1:20" ht="14">
      <c r="C45" s="5" t="str">
        <f>+VLOOKUP(F45,Resumen_Base!$B$7:$F$69,5,0)</f>
        <v>Guides</v>
      </c>
      <c r="D45" s="214" t="s">
        <v>383</v>
      </c>
      <c r="E45" s="212" t="str">
        <f>+VLOOKUP(F45,Resumen_Base!$B$6:$F$69,5,0)</f>
        <v>Guides</v>
      </c>
      <c r="F45" s="36" t="s">
        <v>149</v>
      </c>
      <c r="G45" s="5" t="s">
        <v>284</v>
      </c>
      <c r="H45" s="5" t="str">
        <f t="shared" si="0"/>
        <v>DEL5227</v>
      </c>
      <c r="I45" s="6">
        <v>-2960000</v>
      </c>
      <c r="J45" s="62">
        <v>-2000</v>
      </c>
      <c r="K45" s="62">
        <v>1480</v>
      </c>
      <c r="L45" s="62" t="s">
        <v>1471</v>
      </c>
      <c r="M45" s="100" t="s">
        <v>452</v>
      </c>
      <c r="N45" s="5" t="s">
        <v>464</v>
      </c>
      <c r="O45" s="34" t="s">
        <v>1479</v>
      </c>
      <c r="P45" s="5" t="s">
        <v>1467</v>
      </c>
      <c r="Q45" s="5" t="s">
        <v>1480</v>
      </c>
      <c r="R45" s="5" t="s">
        <v>1690</v>
      </c>
      <c r="S45" s="5" t="s">
        <v>1481</v>
      </c>
      <c r="T45" s="5" t="s">
        <v>445</v>
      </c>
    </row>
    <row r="46" spans="1:20" ht="14">
      <c r="C46" s="5" t="str">
        <f>+VLOOKUP(F46,Resumen_Base!$B$7:$F$69,5,0)</f>
        <v>Manager</v>
      </c>
      <c r="D46" s="214" t="s">
        <v>383</v>
      </c>
      <c r="E46" s="212" t="str">
        <f>+VLOOKUP(F46,Resumen_Base!$B$6:$F$69,5,0)</f>
        <v>Manager</v>
      </c>
      <c r="F46" s="36" t="s">
        <v>150</v>
      </c>
      <c r="G46" s="5" t="s">
        <v>285</v>
      </c>
      <c r="H46" s="5" t="str">
        <f t="shared" si="0"/>
        <v>DEL5228</v>
      </c>
      <c r="I46" s="6">
        <v>677840</v>
      </c>
      <c r="J46" s="62">
        <v>458</v>
      </c>
      <c r="K46" s="62">
        <v>1480</v>
      </c>
      <c r="L46" s="62" t="s">
        <v>1471</v>
      </c>
      <c r="M46" s="100" t="s">
        <v>452</v>
      </c>
      <c r="N46" s="5" t="s">
        <v>464</v>
      </c>
      <c r="O46" s="34" t="s">
        <v>1472</v>
      </c>
      <c r="P46" s="5" t="s">
        <v>1467</v>
      </c>
      <c r="Q46" s="5" t="s">
        <v>1473</v>
      </c>
      <c r="R46" s="5" t="s">
        <v>1483</v>
      </c>
      <c r="S46" s="5" t="s">
        <v>1475</v>
      </c>
      <c r="T46" s="5" t="s">
        <v>445</v>
      </c>
    </row>
    <row r="47" spans="1:20" ht="14">
      <c r="C47" s="5" t="str">
        <f>+VLOOKUP(F47,Resumen_Base!$B$7:$F$69,5,0)</f>
        <v>Manager</v>
      </c>
      <c r="D47" s="214" t="s">
        <v>383</v>
      </c>
      <c r="E47" s="212" t="str">
        <f>+VLOOKUP(F47,Resumen_Base!$B$6:$F$69,5,0)</f>
        <v>Manager</v>
      </c>
      <c r="F47" s="36" t="s">
        <v>150</v>
      </c>
      <c r="G47" s="5" t="s">
        <v>285</v>
      </c>
      <c r="H47" s="5" t="str">
        <f t="shared" si="0"/>
        <v>DEL5228</v>
      </c>
      <c r="I47" s="6">
        <v>677840</v>
      </c>
      <c r="J47" s="62">
        <v>458</v>
      </c>
      <c r="K47" s="62">
        <v>1480</v>
      </c>
      <c r="L47" s="62" t="s">
        <v>1471</v>
      </c>
      <c r="M47" s="100" t="s">
        <v>452</v>
      </c>
      <c r="N47" s="5" t="s">
        <v>464</v>
      </c>
      <c r="O47" s="34" t="s">
        <v>1476</v>
      </c>
      <c r="P47" s="5" t="s">
        <v>1467</v>
      </c>
      <c r="Q47" s="5" t="s">
        <v>1477</v>
      </c>
      <c r="R47" s="5" t="s">
        <v>1483</v>
      </c>
      <c r="S47" s="5" t="s">
        <v>1478</v>
      </c>
      <c r="T47" s="5" t="s">
        <v>445</v>
      </c>
    </row>
    <row r="48" spans="1:20" ht="14">
      <c r="C48" s="5" t="str">
        <f>+VLOOKUP(F48,Resumen_Base!$B$7:$F$69,5,0)</f>
        <v>Manager</v>
      </c>
      <c r="D48" s="214" t="s">
        <v>383</v>
      </c>
      <c r="E48" s="212" t="str">
        <f>+VLOOKUP(F48,Resumen_Base!$B$6:$F$69,5,0)</f>
        <v>Manager</v>
      </c>
      <c r="F48" s="36" t="s">
        <v>150</v>
      </c>
      <c r="G48" s="5" t="s">
        <v>285</v>
      </c>
      <c r="H48" s="5" t="str">
        <f t="shared" si="0"/>
        <v>DEL5228</v>
      </c>
      <c r="I48" s="6">
        <v>-677840</v>
      </c>
      <c r="J48" s="62">
        <v>-458</v>
      </c>
      <c r="K48" s="62">
        <v>1480</v>
      </c>
      <c r="L48" s="62" t="s">
        <v>1471</v>
      </c>
      <c r="M48" s="100" t="s">
        <v>452</v>
      </c>
      <c r="N48" s="5" t="s">
        <v>464</v>
      </c>
      <c r="O48" s="34" t="s">
        <v>1479</v>
      </c>
      <c r="P48" s="5" t="s">
        <v>1467</v>
      </c>
      <c r="Q48" s="5" t="s">
        <v>1480</v>
      </c>
      <c r="R48" s="5" t="s">
        <v>1483</v>
      </c>
      <c r="S48" s="5" t="s">
        <v>1481</v>
      </c>
      <c r="T48" s="5" t="s">
        <v>445</v>
      </c>
    </row>
    <row r="49" spans="3:20" ht="14">
      <c r="C49" s="5" t="str">
        <f>+VLOOKUP(F49,Resumen_Base!$B$7:$F$69,5,0)</f>
        <v>Manager</v>
      </c>
      <c r="D49" s="214" t="s">
        <v>383</v>
      </c>
      <c r="E49" s="212" t="str">
        <f>+VLOOKUP(F49,Resumen_Base!$B$6:$F$69,5,0)</f>
        <v>Manager</v>
      </c>
      <c r="F49" s="36" t="s">
        <v>150</v>
      </c>
      <c r="G49" s="5" t="s">
        <v>285</v>
      </c>
      <c r="H49" s="5" t="str">
        <f t="shared" si="0"/>
        <v>DEL5228</v>
      </c>
      <c r="I49" s="6">
        <v>294000</v>
      </c>
      <c r="J49" s="62">
        <v>200</v>
      </c>
      <c r="K49" s="62">
        <v>1470</v>
      </c>
      <c r="L49" s="62" t="s">
        <v>1550</v>
      </c>
      <c r="M49" s="100" t="s">
        <v>452</v>
      </c>
      <c r="N49" s="5" t="s">
        <v>464</v>
      </c>
      <c r="O49" s="34" t="s">
        <v>1640</v>
      </c>
      <c r="P49" s="5" t="s">
        <v>597</v>
      </c>
      <c r="Q49" s="5" t="s">
        <v>1641</v>
      </c>
      <c r="R49" s="5" t="s">
        <v>1656</v>
      </c>
      <c r="S49" s="5" t="s">
        <v>1643</v>
      </c>
      <c r="T49" s="5" t="s">
        <v>445</v>
      </c>
    </row>
    <row r="50" spans="3:20" ht="14">
      <c r="C50" s="5" t="str">
        <f>+VLOOKUP(F50,Resumen_Base!$B$7:$F$69,5,0)</f>
        <v>Manager</v>
      </c>
      <c r="D50" s="214" t="s">
        <v>383</v>
      </c>
      <c r="E50" s="212" t="str">
        <f>+VLOOKUP(F50,Resumen_Base!$B$6:$F$69,5,0)</f>
        <v>Manager</v>
      </c>
      <c r="F50" s="36" t="s">
        <v>150</v>
      </c>
      <c r="G50" s="5" t="s">
        <v>285</v>
      </c>
      <c r="H50" s="5" t="str">
        <f t="shared" si="0"/>
        <v>DEL5228</v>
      </c>
      <c r="I50" s="6">
        <v>55000</v>
      </c>
      <c r="J50" s="62">
        <v>37.414965986394598</v>
      </c>
      <c r="K50" s="62">
        <v>1470</v>
      </c>
      <c r="L50" s="62" t="s">
        <v>1550</v>
      </c>
      <c r="M50" s="100" t="s">
        <v>452</v>
      </c>
      <c r="N50" s="5" t="s">
        <v>464</v>
      </c>
      <c r="O50" s="34" t="s">
        <v>1551</v>
      </c>
      <c r="P50" s="5" t="s">
        <v>597</v>
      </c>
      <c r="Q50" s="5" t="s">
        <v>1552</v>
      </c>
      <c r="R50" s="5" t="s">
        <v>1657</v>
      </c>
      <c r="S50" s="5" t="s">
        <v>1554</v>
      </c>
      <c r="T50" s="5" t="s">
        <v>445</v>
      </c>
    </row>
    <row r="51" spans="3:20" ht="14">
      <c r="C51" s="5" t="str">
        <f>+VLOOKUP(F51,Resumen_Base!$B$7:$F$69,5,0)</f>
        <v>Social Security Contributions</v>
      </c>
      <c r="D51" s="214" t="s">
        <v>383</v>
      </c>
      <c r="E51" s="212" t="str">
        <f>+VLOOKUP(F51,Resumen_Base!$B$6:$F$69,5,0)</f>
        <v>Social Security Contributions</v>
      </c>
      <c r="F51" s="36" t="s">
        <v>153</v>
      </c>
      <c r="G51" s="5" t="s">
        <v>154</v>
      </c>
      <c r="H51" s="5" t="str">
        <f t="shared" si="0"/>
        <v>DEL5235</v>
      </c>
      <c r="I51" s="6">
        <v>778480</v>
      </c>
      <c r="J51" s="62">
        <v>526</v>
      </c>
      <c r="K51" s="62">
        <v>1480</v>
      </c>
      <c r="L51" s="62" t="s">
        <v>1471</v>
      </c>
      <c r="M51" s="100" t="s">
        <v>452</v>
      </c>
      <c r="N51" s="5" t="s">
        <v>464</v>
      </c>
      <c r="O51" s="34" t="s">
        <v>1472</v>
      </c>
      <c r="P51" s="5" t="s">
        <v>1467</v>
      </c>
      <c r="Q51" s="5" t="s">
        <v>1473</v>
      </c>
      <c r="R51" s="5" t="s">
        <v>1482</v>
      </c>
      <c r="S51" s="5" t="s">
        <v>1475</v>
      </c>
      <c r="T51" s="5" t="s">
        <v>445</v>
      </c>
    </row>
    <row r="52" spans="3:20" ht="14">
      <c r="C52" s="5" t="str">
        <f>+VLOOKUP(F52,Resumen_Base!$B$7:$F$69,5,0)</f>
        <v>Social Security Contributions</v>
      </c>
      <c r="D52" s="214" t="s">
        <v>383</v>
      </c>
      <c r="E52" s="212" t="str">
        <f>+VLOOKUP(F52,Resumen_Base!$B$6:$F$69,5,0)</f>
        <v>Social Security Contributions</v>
      </c>
      <c r="F52" s="36" t="s">
        <v>153</v>
      </c>
      <c r="G52" s="5" t="s">
        <v>154</v>
      </c>
      <c r="H52" s="5" t="str">
        <f t="shared" si="0"/>
        <v>DEL5235</v>
      </c>
      <c r="I52" s="6">
        <v>778480</v>
      </c>
      <c r="J52" s="62">
        <v>526</v>
      </c>
      <c r="K52" s="62">
        <v>1480</v>
      </c>
      <c r="L52" s="62" t="s">
        <v>1471</v>
      </c>
      <c r="M52" s="100" t="s">
        <v>452</v>
      </c>
      <c r="N52" s="5" t="s">
        <v>464</v>
      </c>
      <c r="O52" s="34" t="s">
        <v>1476</v>
      </c>
      <c r="P52" s="5" t="s">
        <v>1467</v>
      </c>
      <c r="Q52" s="5" t="s">
        <v>1477</v>
      </c>
      <c r="R52" s="5" t="s">
        <v>1482</v>
      </c>
      <c r="S52" s="5" t="s">
        <v>1478</v>
      </c>
      <c r="T52" s="5" t="s">
        <v>445</v>
      </c>
    </row>
    <row r="53" spans="3:20" ht="14">
      <c r="C53" s="5" t="str">
        <f>+VLOOKUP(F53,Resumen_Base!$B$7:$F$69,5,0)</f>
        <v>Social Security Contributions</v>
      </c>
      <c r="D53" s="214" t="s">
        <v>383</v>
      </c>
      <c r="E53" s="212" t="str">
        <f>+VLOOKUP(F53,Resumen_Base!$B$6:$F$69,5,0)</f>
        <v>Social Security Contributions</v>
      </c>
      <c r="F53" s="36" t="s">
        <v>153</v>
      </c>
      <c r="G53" s="5" t="s">
        <v>154</v>
      </c>
      <c r="H53" s="5" t="str">
        <f t="shared" si="0"/>
        <v>DEL5235</v>
      </c>
      <c r="I53" s="6">
        <v>-778480</v>
      </c>
      <c r="J53" s="62">
        <v>-526</v>
      </c>
      <c r="K53" s="62">
        <v>1480</v>
      </c>
      <c r="L53" s="62" t="s">
        <v>1471</v>
      </c>
      <c r="M53" s="100" t="s">
        <v>452</v>
      </c>
      <c r="N53" s="5" t="s">
        <v>464</v>
      </c>
      <c r="O53" s="34" t="s">
        <v>1479</v>
      </c>
      <c r="P53" s="5" t="s">
        <v>1467</v>
      </c>
      <c r="Q53" s="5" t="s">
        <v>1480</v>
      </c>
      <c r="R53" s="5" t="s">
        <v>1482</v>
      </c>
      <c r="S53" s="5" t="s">
        <v>1481</v>
      </c>
      <c r="T53" s="5" t="s">
        <v>445</v>
      </c>
    </row>
    <row r="54" spans="3:20" ht="14">
      <c r="C54" s="5" t="str">
        <f>+VLOOKUP(F54,Resumen_Base!$B$7:$F$69,5,0)</f>
        <v>Social Security Contributions</v>
      </c>
      <c r="D54" s="214" t="s">
        <v>383</v>
      </c>
      <c r="E54" s="212" t="str">
        <f>+VLOOKUP(F54,Resumen_Base!$B$6:$F$69,5,0)</f>
        <v>Social Security Contributions</v>
      </c>
      <c r="F54" s="36" t="s">
        <v>157</v>
      </c>
      <c r="G54" s="5" t="s">
        <v>158</v>
      </c>
      <c r="H54" s="5" t="str">
        <f t="shared" si="0"/>
        <v>DEL5237</v>
      </c>
      <c r="I54" s="6">
        <v>275280</v>
      </c>
      <c r="J54" s="62">
        <v>186</v>
      </c>
      <c r="K54" s="62">
        <v>1480</v>
      </c>
      <c r="L54" s="62" t="s">
        <v>1471</v>
      </c>
      <c r="M54" s="100" t="s">
        <v>452</v>
      </c>
      <c r="N54" s="5" t="s">
        <v>464</v>
      </c>
      <c r="O54" s="34" t="s">
        <v>1472</v>
      </c>
      <c r="P54" s="5" t="s">
        <v>1467</v>
      </c>
      <c r="Q54" s="5" t="s">
        <v>1473</v>
      </c>
      <c r="R54" s="5" t="s">
        <v>1474</v>
      </c>
      <c r="S54" s="5" t="s">
        <v>1475</v>
      </c>
      <c r="T54" s="5" t="s">
        <v>445</v>
      </c>
    </row>
    <row r="55" spans="3:20" ht="14">
      <c r="C55" s="5" t="str">
        <f>+VLOOKUP(F55,Resumen_Base!$B$7:$F$69,5,0)</f>
        <v>Social Security Contributions</v>
      </c>
      <c r="D55" s="214" t="s">
        <v>383</v>
      </c>
      <c r="E55" s="212" t="str">
        <f>+VLOOKUP(F55,Resumen_Base!$B$6:$F$69,5,0)</f>
        <v>Social Security Contributions</v>
      </c>
      <c r="F55" s="36" t="s">
        <v>157</v>
      </c>
      <c r="G55" s="5" t="s">
        <v>158</v>
      </c>
      <c r="H55" s="5" t="str">
        <f t="shared" si="0"/>
        <v>DEL5237</v>
      </c>
      <c r="I55" s="6">
        <v>275280</v>
      </c>
      <c r="J55" s="62">
        <v>186</v>
      </c>
      <c r="K55" s="62">
        <v>1480</v>
      </c>
      <c r="L55" s="62" t="s">
        <v>1471</v>
      </c>
      <c r="M55" s="100" t="s">
        <v>452</v>
      </c>
      <c r="N55" s="5" t="s">
        <v>464</v>
      </c>
      <c r="O55" s="34" t="s">
        <v>1476</v>
      </c>
      <c r="P55" s="5" t="s">
        <v>1467</v>
      </c>
      <c r="Q55" s="5" t="s">
        <v>1477</v>
      </c>
      <c r="R55" s="5" t="s">
        <v>1474</v>
      </c>
      <c r="S55" s="5" t="s">
        <v>1478</v>
      </c>
      <c r="T55" s="5" t="s">
        <v>445</v>
      </c>
    </row>
    <row r="56" spans="3:20" ht="14">
      <c r="C56" s="5" t="str">
        <f>+VLOOKUP(F56,Resumen_Base!$B$7:$F$69,5,0)</f>
        <v>Social Security Contributions</v>
      </c>
      <c r="D56" s="214" t="s">
        <v>383</v>
      </c>
      <c r="E56" s="212" t="str">
        <f>+VLOOKUP(F56,Resumen_Base!$B$6:$F$69,5,0)</f>
        <v>Social Security Contributions</v>
      </c>
      <c r="F56" s="36" t="s">
        <v>157</v>
      </c>
      <c r="G56" s="5" t="s">
        <v>158</v>
      </c>
      <c r="H56" s="5" t="str">
        <f t="shared" si="0"/>
        <v>DEL5237</v>
      </c>
      <c r="I56" s="6">
        <v>-275280</v>
      </c>
      <c r="J56" s="62">
        <v>-186</v>
      </c>
      <c r="K56" s="62">
        <v>1480</v>
      </c>
      <c r="L56" s="62" t="s">
        <v>1471</v>
      </c>
      <c r="M56" s="100" t="s">
        <v>452</v>
      </c>
      <c r="N56" s="5" t="s">
        <v>464</v>
      </c>
      <c r="O56" s="34" t="s">
        <v>1479</v>
      </c>
      <c r="P56" s="5" t="s">
        <v>1467</v>
      </c>
      <c r="Q56" s="5" t="s">
        <v>1480</v>
      </c>
      <c r="R56" s="5" t="s">
        <v>1474</v>
      </c>
      <c r="S56" s="5" t="s">
        <v>1481</v>
      </c>
      <c r="T56" s="5" t="s">
        <v>445</v>
      </c>
    </row>
    <row r="57" spans="3:20" ht="14">
      <c r="C57" s="5" t="str">
        <f>+VLOOKUP(F57,Resumen_Base!$B$7:$F$69,5,0)</f>
        <v>Electricity</v>
      </c>
      <c r="D57" s="214" t="s">
        <v>383</v>
      </c>
      <c r="E57" s="212" t="str">
        <f>+VLOOKUP(F57,Resumen_Base!$B$6:$F$69,5,0)</f>
        <v>Electricity</v>
      </c>
      <c r="F57" s="36" t="s">
        <v>39</v>
      </c>
      <c r="G57" s="5" t="s">
        <v>38</v>
      </c>
      <c r="H57" s="5" t="str">
        <f t="shared" si="0"/>
        <v>DEL5247</v>
      </c>
      <c r="I57" s="6">
        <v>71000</v>
      </c>
      <c r="J57" s="62">
        <v>47.972972972972997</v>
      </c>
      <c r="K57" s="62">
        <v>1480</v>
      </c>
      <c r="L57" s="62" t="s">
        <v>1465</v>
      </c>
      <c r="M57" s="100" t="s">
        <v>452</v>
      </c>
      <c r="N57" s="5" t="s">
        <v>464</v>
      </c>
      <c r="O57" s="34" t="s">
        <v>1561</v>
      </c>
      <c r="P57" s="5" t="s">
        <v>1467</v>
      </c>
      <c r="Q57" s="5" t="s">
        <v>1562</v>
      </c>
      <c r="R57" s="5" t="s">
        <v>1629</v>
      </c>
      <c r="S57" s="5" t="s">
        <v>1564</v>
      </c>
      <c r="T57" s="5" t="s">
        <v>445</v>
      </c>
    </row>
    <row r="58" spans="3:20" ht="14">
      <c r="C58" s="5" t="str">
        <f>+VLOOKUP(F58,Resumen_Base!$B$7:$F$69,5,0)</f>
        <v>Electricity</v>
      </c>
      <c r="D58" s="214" t="s">
        <v>383</v>
      </c>
      <c r="E58" s="212" t="str">
        <f>+VLOOKUP(F58,Resumen_Base!$B$6:$F$69,5,0)</f>
        <v>Electricity</v>
      </c>
      <c r="F58" s="36" t="s">
        <v>39</v>
      </c>
      <c r="G58" s="5" t="s">
        <v>38</v>
      </c>
      <c r="H58" s="5" t="str">
        <f t="shared" si="0"/>
        <v>DEL5247</v>
      </c>
      <c r="I58" s="6">
        <v>21500</v>
      </c>
      <c r="J58" s="62">
        <v>14.527027027027</v>
      </c>
      <c r="K58" s="62">
        <v>1480</v>
      </c>
      <c r="L58" s="62" t="s">
        <v>1545</v>
      </c>
      <c r="M58" s="100" t="s">
        <v>452</v>
      </c>
      <c r="N58" s="5" t="s">
        <v>464</v>
      </c>
      <c r="O58" s="34" t="s">
        <v>1546</v>
      </c>
      <c r="P58" s="5" t="s">
        <v>1467</v>
      </c>
      <c r="Q58" s="5" t="s">
        <v>1547</v>
      </c>
      <c r="R58" s="5" t="s">
        <v>1293</v>
      </c>
      <c r="S58" s="5" t="s">
        <v>1549</v>
      </c>
      <c r="T58" s="5" t="s">
        <v>445</v>
      </c>
    </row>
    <row r="59" spans="3:20" ht="14">
      <c r="C59" s="5" t="str">
        <f>+VLOOKUP(F59,Resumen_Base!$B$7:$F$69,5,0)</f>
        <v>Electricity</v>
      </c>
      <c r="D59" s="214" t="s">
        <v>383</v>
      </c>
      <c r="E59" s="212" t="str">
        <f>+VLOOKUP(F59,Resumen_Base!$B$6:$F$69,5,0)</f>
        <v>Electricity</v>
      </c>
      <c r="F59" s="36" t="s">
        <v>39</v>
      </c>
      <c r="G59" s="5" t="s">
        <v>38</v>
      </c>
      <c r="H59" s="5" t="str">
        <f t="shared" si="0"/>
        <v>DEL5247</v>
      </c>
      <c r="I59" s="6">
        <v>57000</v>
      </c>
      <c r="J59" s="62">
        <v>38.513513513513502</v>
      </c>
      <c r="K59" s="62">
        <v>1480</v>
      </c>
      <c r="L59" s="62" t="s">
        <v>1545</v>
      </c>
      <c r="M59" s="100" t="s">
        <v>452</v>
      </c>
      <c r="N59" s="5" t="s">
        <v>464</v>
      </c>
      <c r="O59" s="34" t="s">
        <v>1546</v>
      </c>
      <c r="P59" s="5" t="s">
        <v>1467</v>
      </c>
      <c r="Q59" s="5" t="s">
        <v>1547</v>
      </c>
      <c r="R59" s="5" t="s">
        <v>1293</v>
      </c>
      <c r="S59" s="5" t="s">
        <v>1549</v>
      </c>
      <c r="T59" s="5" t="s">
        <v>445</v>
      </c>
    </row>
    <row r="60" spans="3:20" ht="14">
      <c r="C60" s="5" t="str">
        <f>+VLOOKUP(F60,Resumen_Base!$B$7:$F$69,5,0)</f>
        <v>Electricity</v>
      </c>
      <c r="D60" s="214" t="s">
        <v>383</v>
      </c>
      <c r="E60" s="212" t="str">
        <f>+VLOOKUP(F60,Resumen_Base!$B$6:$F$69,5,0)</f>
        <v>Electricity</v>
      </c>
      <c r="F60" s="36" t="s">
        <v>39</v>
      </c>
      <c r="G60" s="5" t="s">
        <v>38</v>
      </c>
      <c r="H60" s="5" t="str">
        <f t="shared" si="0"/>
        <v>DEL5247</v>
      </c>
      <c r="I60" s="6">
        <v>114700</v>
      </c>
      <c r="J60" s="62">
        <v>77.5</v>
      </c>
      <c r="K60" s="62">
        <v>1480</v>
      </c>
      <c r="L60" s="62" t="s">
        <v>1545</v>
      </c>
      <c r="M60" s="100" t="s">
        <v>452</v>
      </c>
      <c r="N60" s="5" t="s">
        <v>464</v>
      </c>
      <c r="O60" s="34" t="s">
        <v>1546</v>
      </c>
      <c r="P60" s="5" t="s">
        <v>1467</v>
      </c>
      <c r="Q60" s="5" t="s">
        <v>1547</v>
      </c>
      <c r="R60" s="5" t="s">
        <v>1293</v>
      </c>
      <c r="S60" s="5" t="s">
        <v>1549</v>
      </c>
      <c r="T60" s="5" t="s">
        <v>445</v>
      </c>
    </row>
    <row r="61" spans="3:20" ht="14">
      <c r="C61" s="5" t="str">
        <f>+VLOOKUP(F61,Resumen_Base!$B$7:$F$69,5,0)</f>
        <v>Electricity</v>
      </c>
      <c r="D61" s="214" t="s">
        <v>383</v>
      </c>
      <c r="E61" s="212" t="str">
        <f>+VLOOKUP(F61,Resumen_Base!$B$6:$F$69,5,0)</f>
        <v>Electricity</v>
      </c>
      <c r="F61" s="36" t="s">
        <v>39</v>
      </c>
      <c r="G61" s="5" t="s">
        <v>38</v>
      </c>
      <c r="H61" s="5" t="str">
        <f t="shared" si="0"/>
        <v>DEL5247</v>
      </c>
      <c r="I61" s="6">
        <v>130000</v>
      </c>
      <c r="J61" s="62">
        <v>87.837837837837796</v>
      </c>
      <c r="K61" s="62">
        <v>1480</v>
      </c>
      <c r="L61" s="62" t="s">
        <v>1545</v>
      </c>
      <c r="M61" s="100" t="s">
        <v>452</v>
      </c>
      <c r="N61" s="5" t="s">
        <v>464</v>
      </c>
      <c r="O61" s="34" t="s">
        <v>1546</v>
      </c>
      <c r="P61" s="5" t="s">
        <v>1467</v>
      </c>
      <c r="Q61" s="5" t="s">
        <v>1547</v>
      </c>
      <c r="R61" s="5" t="s">
        <v>1293</v>
      </c>
      <c r="S61" s="5" t="s">
        <v>1549</v>
      </c>
      <c r="T61" s="5" t="s">
        <v>445</v>
      </c>
    </row>
    <row r="62" spans="3:20" ht="14">
      <c r="C62" s="5" t="str">
        <f>+VLOOKUP(F62,Resumen_Base!$B$7:$F$69,5,0)</f>
        <v>Electricity - Gas for Boats &amp; Vehicles</v>
      </c>
      <c r="D62" s="214" t="s">
        <v>383</v>
      </c>
      <c r="E62" s="212" t="str">
        <f>+VLOOKUP(F62,Resumen_Base!$B$6:$F$69,5,0)</f>
        <v>Electricity - Gas for Boats &amp; Vehicles</v>
      </c>
      <c r="F62" s="36" t="s">
        <v>60</v>
      </c>
      <c r="G62" s="5" t="s">
        <v>61</v>
      </c>
      <c r="H62" s="5" t="str">
        <f t="shared" si="0"/>
        <v>DEL5248</v>
      </c>
      <c r="I62" s="6">
        <v>140000</v>
      </c>
      <c r="J62" s="62">
        <v>94.594594594594597</v>
      </c>
      <c r="K62" s="62">
        <v>1480</v>
      </c>
      <c r="L62" s="62" t="s">
        <v>1545</v>
      </c>
      <c r="M62" s="100" t="s">
        <v>452</v>
      </c>
      <c r="N62" s="5" t="s">
        <v>464</v>
      </c>
      <c r="O62" s="34" t="s">
        <v>1546</v>
      </c>
      <c r="P62" s="5" t="s">
        <v>1467</v>
      </c>
      <c r="Q62" s="5" t="s">
        <v>1547</v>
      </c>
      <c r="R62" s="5" t="s">
        <v>1548</v>
      </c>
      <c r="S62" s="5" t="s">
        <v>1549</v>
      </c>
      <c r="T62" s="5" t="s">
        <v>445</v>
      </c>
    </row>
    <row r="63" spans="3:20" ht="14">
      <c r="C63" s="5" t="str">
        <f>+VLOOKUP(F63,Resumen_Base!$B$7:$F$69,5,0)</f>
        <v>Electricity - Gas for Boats &amp; Vehicles</v>
      </c>
      <c r="D63" s="214" t="s">
        <v>383</v>
      </c>
      <c r="E63" s="212" t="str">
        <f>+VLOOKUP(F63,Resumen_Base!$B$6:$F$69,5,0)</f>
        <v>Electricity - Gas for Boats &amp; Vehicles</v>
      </c>
      <c r="F63" s="36" t="s">
        <v>60</v>
      </c>
      <c r="G63" s="5" t="s">
        <v>61</v>
      </c>
      <c r="H63" s="5" t="str">
        <f t="shared" si="0"/>
        <v>DEL5248</v>
      </c>
      <c r="I63" s="6">
        <v>20900</v>
      </c>
      <c r="J63" s="62">
        <v>14.1216216216216</v>
      </c>
      <c r="K63" s="62">
        <v>1480</v>
      </c>
      <c r="L63" s="62" t="s">
        <v>1465</v>
      </c>
      <c r="M63" s="100" t="s">
        <v>452</v>
      </c>
      <c r="N63" s="5" t="s">
        <v>464</v>
      </c>
      <c r="O63" s="34" t="s">
        <v>1561</v>
      </c>
      <c r="P63" s="5" t="s">
        <v>1467</v>
      </c>
      <c r="Q63" s="5" t="s">
        <v>1562</v>
      </c>
      <c r="R63" s="5" t="s">
        <v>1563</v>
      </c>
      <c r="S63" s="5" t="s">
        <v>1564</v>
      </c>
      <c r="T63" s="5" t="s">
        <v>445</v>
      </c>
    </row>
    <row r="64" spans="3:20" ht="14">
      <c r="C64" s="5" t="str">
        <f>+VLOOKUP(F64,Resumen_Base!$B$7:$F$69,5,0)</f>
        <v>Electricity - Gas for Boats &amp; Vehicles</v>
      </c>
      <c r="D64" s="214" t="s">
        <v>383</v>
      </c>
      <c r="E64" s="212" t="str">
        <f>+VLOOKUP(F64,Resumen_Base!$B$6:$F$69,5,0)</f>
        <v>Electricity - Gas for Boats &amp; Vehicles</v>
      </c>
      <c r="F64" s="36" t="s">
        <v>60</v>
      </c>
      <c r="G64" s="5" t="s">
        <v>61</v>
      </c>
      <c r="H64" s="5" t="str">
        <f t="shared" si="0"/>
        <v>DEL5248</v>
      </c>
      <c r="I64" s="6">
        <v>40000</v>
      </c>
      <c r="J64" s="62">
        <v>27.027027027027</v>
      </c>
      <c r="K64" s="62">
        <v>1480</v>
      </c>
      <c r="L64" s="62" t="s">
        <v>1545</v>
      </c>
      <c r="M64" s="100" t="s">
        <v>452</v>
      </c>
      <c r="N64" s="5" t="s">
        <v>464</v>
      </c>
      <c r="O64" s="34" t="s">
        <v>1546</v>
      </c>
      <c r="P64" s="5" t="s">
        <v>1467</v>
      </c>
      <c r="Q64" s="5" t="s">
        <v>1547</v>
      </c>
      <c r="R64" s="5" t="s">
        <v>1630</v>
      </c>
      <c r="S64" s="5" t="s">
        <v>1549</v>
      </c>
      <c r="T64" s="5" t="s">
        <v>445</v>
      </c>
    </row>
    <row r="65" spans="3:20" ht="14">
      <c r="C65" s="5" t="str">
        <f>+VLOOKUP(F65,Resumen_Base!$B$7:$F$69,5,0)</f>
        <v>Electricity - Gas for Boats &amp; Vehicles</v>
      </c>
      <c r="D65" s="214" t="s">
        <v>383</v>
      </c>
      <c r="E65" s="212" t="str">
        <f>+VLOOKUP(F65,Resumen_Base!$B$6:$F$69,5,0)</f>
        <v>Electricity - Gas for Boats &amp; Vehicles</v>
      </c>
      <c r="F65" s="36" t="s">
        <v>60</v>
      </c>
      <c r="G65" s="5" t="s">
        <v>61</v>
      </c>
      <c r="H65" s="5" t="str">
        <f t="shared" si="0"/>
        <v>DEL5248</v>
      </c>
      <c r="I65" s="6">
        <v>241345</v>
      </c>
      <c r="J65" s="62">
        <v>164.18027210884401</v>
      </c>
      <c r="K65" s="62">
        <v>1470</v>
      </c>
      <c r="L65" s="62" t="s">
        <v>1550</v>
      </c>
      <c r="M65" s="100" t="s">
        <v>452</v>
      </c>
      <c r="N65" s="5" t="s">
        <v>464</v>
      </c>
      <c r="O65" s="34" t="s">
        <v>1551</v>
      </c>
      <c r="P65" s="5" t="s">
        <v>597</v>
      </c>
      <c r="Q65" s="5" t="s">
        <v>1552</v>
      </c>
      <c r="R65" s="5" t="s">
        <v>651</v>
      </c>
      <c r="S65" s="5" t="s">
        <v>1554</v>
      </c>
      <c r="T65" s="5" t="s">
        <v>445</v>
      </c>
    </row>
    <row r="66" spans="3:20" ht="14">
      <c r="C66" s="5" t="str">
        <f>+VLOOKUP(F66,Resumen_Base!$B$7:$F$69,5,0)</f>
        <v>Electricity - Gas for Boats &amp; Vehicles</v>
      </c>
      <c r="D66" s="214" t="s">
        <v>383</v>
      </c>
      <c r="E66" s="212" t="str">
        <f>+VLOOKUP(F66,Resumen_Base!$B$6:$F$69,5,0)</f>
        <v>Electricity - Gas for Boats &amp; Vehicles</v>
      </c>
      <c r="F66" s="36" t="s">
        <v>60</v>
      </c>
      <c r="G66" s="5" t="s">
        <v>61</v>
      </c>
      <c r="H66" s="5" t="str">
        <f t="shared" si="0"/>
        <v>DEL5248</v>
      </c>
      <c r="I66" s="6">
        <v>295900</v>
      </c>
      <c r="J66" s="62">
        <v>199.93243243243199</v>
      </c>
      <c r="K66" s="62">
        <v>1480</v>
      </c>
      <c r="L66" s="62" t="s">
        <v>1545</v>
      </c>
      <c r="M66" s="100" t="s">
        <v>452</v>
      </c>
      <c r="N66" s="5" t="s">
        <v>464</v>
      </c>
      <c r="O66" s="34" t="s">
        <v>1546</v>
      </c>
      <c r="P66" s="5" t="s">
        <v>1467</v>
      </c>
      <c r="Q66" s="5" t="s">
        <v>1547</v>
      </c>
      <c r="R66" s="5" t="s">
        <v>651</v>
      </c>
      <c r="S66" s="5" t="s">
        <v>1549</v>
      </c>
      <c r="T66" s="5" t="s">
        <v>445</v>
      </c>
    </row>
    <row r="67" spans="3:20" ht="14">
      <c r="C67" s="5" t="str">
        <f>+VLOOKUP(F67,Resumen_Base!$B$7:$F$69,5,0)</f>
        <v>Electricity - Gas for Boats &amp; Vehicles</v>
      </c>
      <c r="D67" s="214" t="s">
        <v>383</v>
      </c>
      <c r="E67" s="212" t="str">
        <f>+VLOOKUP(F67,Resumen_Base!$B$6:$F$69,5,0)</f>
        <v>Electricity - Gas for Boats &amp; Vehicles</v>
      </c>
      <c r="F67" s="36" t="s">
        <v>60</v>
      </c>
      <c r="G67" s="5" t="s">
        <v>61</v>
      </c>
      <c r="H67" s="5" t="str">
        <f t="shared" si="0"/>
        <v>DEL5248</v>
      </c>
      <c r="I67" s="6">
        <v>176943</v>
      </c>
      <c r="J67" s="62">
        <v>119.556081081081</v>
      </c>
      <c r="K67" s="62">
        <v>1480</v>
      </c>
      <c r="L67" s="62" t="s">
        <v>1545</v>
      </c>
      <c r="M67" s="100" t="s">
        <v>452</v>
      </c>
      <c r="N67" s="5" t="s">
        <v>464</v>
      </c>
      <c r="O67" s="34" t="s">
        <v>1546</v>
      </c>
      <c r="P67" s="5" t="s">
        <v>1467</v>
      </c>
      <c r="Q67" s="5" t="s">
        <v>1547</v>
      </c>
      <c r="R67" s="5" t="s">
        <v>651</v>
      </c>
      <c r="S67" s="5" t="s">
        <v>1549</v>
      </c>
      <c r="T67" s="5" t="s">
        <v>445</v>
      </c>
    </row>
    <row r="68" spans="3:20" ht="14">
      <c r="C68" s="5" t="str">
        <f>+VLOOKUP(F68,Resumen_Base!$B$7:$F$69,5,0)</f>
        <v>Electricity - Gas for Boats &amp; Vehicles</v>
      </c>
      <c r="D68" s="214" t="s">
        <v>383</v>
      </c>
      <c r="E68" s="212" t="str">
        <f>+VLOOKUP(F68,Resumen_Base!$B$6:$F$69,5,0)</f>
        <v>Electricity - Gas for Boats &amp; Vehicles</v>
      </c>
      <c r="F68" s="36" t="s">
        <v>60</v>
      </c>
      <c r="G68" s="5" t="s">
        <v>61</v>
      </c>
      <c r="H68" s="5" t="str">
        <f t="shared" si="0"/>
        <v>DEL5248</v>
      </c>
      <c r="I68" s="6">
        <v>160000</v>
      </c>
      <c r="J68" s="62">
        <v>108.108108108108</v>
      </c>
      <c r="K68" s="62">
        <v>1480</v>
      </c>
      <c r="L68" s="62" t="s">
        <v>1545</v>
      </c>
      <c r="M68" s="100" t="s">
        <v>452</v>
      </c>
      <c r="N68" s="5" t="s">
        <v>464</v>
      </c>
      <c r="O68" s="34" t="s">
        <v>1546</v>
      </c>
      <c r="P68" s="5" t="s">
        <v>1467</v>
      </c>
      <c r="Q68" s="5" t="s">
        <v>1547</v>
      </c>
      <c r="R68" s="5" t="s">
        <v>651</v>
      </c>
      <c r="S68" s="5" t="s">
        <v>1549</v>
      </c>
      <c r="T68" s="5" t="s">
        <v>445</v>
      </c>
    </row>
    <row r="69" spans="3:20" ht="14">
      <c r="C69" s="5" t="str">
        <f>+VLOOKUP(F69,Resumen_Base!$B$7:$F$69,5,0)</f>
        <v>Electricity - Gas for Boats &amp; Vehicles</v>
      </c>
      <c r="D69" s="214" t="s">
        <v>383</v>
      </c>
      <c r="E69" s="212" t="str">
        <f>+VLOOKUP(F69,Resumen_Base!$B$6:$F$69,5,0)</f>
        <v>Electricity - Gas for Boats &amp; Vehicles</v>
      </c>
      <c r="F69" s="36" t="s">
        <v>60</v>
      </c>
      <c r="G69" s="5" t="s">
        <v>61</v>
      </c>
      <c r="H69" s="5" t="str">
        <f t="shared" si="0"/>
        <v>DEL5248</v>
      </c>
      <c r="I69" s="6">
        <v>152320</v>
      </c>
      <c r="J69" s="62">
        <v>102.918918918919</v>
      </c>
      <c r="K69" s="62">
        <v>1480</v>
      </c>
      <c r="L69" s="62" t="s">
        <v>1545</v>
      </c>
      <c r="M69" s="100" t="s">
        <v>452</v>
      </c>
      <c r="N69" s="5" t="s">
        <v>464</v>
      </c>
      <c r="O69" s="34" t="s">
        <v>1546</v>
      </c>
      <c r="P69" s="5" t="s">
        <v>1467</v>
      </c>
      <c r="Q69" s="5" t="s">
        <v>1547</v>
      </c>
      <c r="R69" s="5" t="s">
        <v>651</v>
      </c>
      <c r="S69" s="5" t="s">
        <v>1549</v>
      </c>
      <c r="T69" s="5" t="s">
        <v>445</v>
      </c>
    </row>
    <row r="70" spans="3:20" ht="14">
      <c r="C70" s="5" t="str">
        <f>+VLOOKUP(F70,Resumen_Base!$B$7:$F$69,5,0)</f>
        <v>Electricity - Gas for Boats &amp; Vehicles</v>
      </c>
      <c r="D70" s="214" t="s">
        <v>383</v>
      </c>
      <c r="E70" s="212" t="str">
        <f>+VLOOKUP(F70,Resumen_Base!$B$6:$F$69,5,0)</f>
        <v>Electricity - Gas for Boats &amp; Vehicles</v>
      </c>
      <c r="F70" s="36" t="s">
        <v>60</v>
      </c>
      <c r="G70" s="5" t="s">
        <v>61</v>
      </c>
      <c r="H70" s="5" t="str">
        <f t="shared" si="0"/>
        <v>DEL5248</v>
      </c>
      <c r="I70" s="6">
        <v>174000</v>
      </c>
      <c r="J70" s="62">
        <v>117.56756756756801</v>
      </c>
      <c r="K70" s="62">
        <v>1480</v>
      </c>
      <c r="L70" s="62" t="s">
        <v>1545</v>
      </c>
      <c r="M70" s="100" t="s">
        <v>452</v>
      </c>
      <c r="N70" s="5" t="s">
        <v>464</v>
      </c>
      <c r="O70" s="34" t="s">
        <v>1546</v>
      </c>
      <c r="P70" s="5" t="s">
        <v>1467</v>
      </c>
      <c r="Q70" s="5" t="s">
        <v>1547</v>
      </c>
      <c r="R70" s="5" t="s">
        <v>757</v>
      </c>
      <c r="S70" s="5" t="s">
        <v>1549</v>
      </c>
      <c r="T70" s="5" t="s">
        <v>445</v>
      </c>
    </row>
    <row r="71" spans="3:20" ht="14">
      <c r="C71" s="5" t="str">
        <f>+VLOOKUP(F71,Resumen_Base!$B$7:$F$69,5,0)</f>
        <v>Electricity - Gas for Boats &amp; Vehicles</v>
      </c>
      <c r="D71" s="214" t="s">
        <v>383</v>
      </c>
      <c r="E71" s="212" t="str">
        <f>+VLOOKUP(F71,Resumen_Base!$B$6:$F$69,5,0)</f>
        <v>Electricity - Gas for Boats &amp; Vehicles</v>
      </c>
      <c r="F71" s="36" t="s">
        <v>60</v>
      </c>
      <c r="G71" s="5" t="s">
        <v>61</v>
      </c>
      <c r="H71" s="5" t="str">
        <f t="shared" si="0"/>
        <v>DEL5248</v>
      </c>
      <c r="I71" s="6">
        <v>276082</v>
      </c>
      <c r="J71" s="62">
        <v>186.54189189189199</v>
      </c>
      <c r="K71" s="62">
        <v>1480</v>
      </c>
      <c r="L71" s="62" t="s">
        <v>1465</v>
      </c>
      <c r="M71" s="100" t="s">
        <v>452</v>
      </c>
      <c r="N71" s="5" t="s">
        <v>464</v>
      </c>
      <c r="O71" s="34" t="s">
        <v>1561</v>
      </c>
      <c r="P71" s="5" t="s">
        <v>1467</v>
      </c>
      <c r="Q71" s="5" t="s">
        <v>1562</v>
      </c>
      <c r="R71" s="5" t="s">
        <v>1631</v>
      </c>
      <c r="S71" s="5" t="s">
        <v>1564</v>
      </c>
      <c r="T71" s="5" t="s">
        <v>445</v>
      </c>
    </row>
    <row r="72" spans="3:20" ht="14">
      <c r="C72" s="5" t="str">
        <f>+VLOOKUP(F72,Resumen_Base!$B$7:$F$69,5,0)</f>
        <v>Electricity - Gas for Boats &amp; Vehicles</v>
      </c>
      <c r="D72" s="214" t="s">
        <v>383</v>
      </c>
      <c r="E72" s="212" t="str">
        <f>+VLOOKUP(F72,Resumen_Base!$B$6:$F$69,5,0)</f>
        <v>Electricity - Gas for Boats &amp; Vehicles</v>
      </c>
      <c r="F72" s="36" t="s">
        <v>60</v>
      </c>
      <c r="G72" s="5" t="s">
        <v>61</v>
      </c>
      <c r="H72" s="5" t="str">
        <f t="shared" si="0"/>
        <v>DEL5248</v>
      </c>
      <c r="I72" s="6">
        <v>327685</v>
      </c>
      <c r="J72" s="62">
        <v>221.408783783784</v>
      </c>
      <c r="K72" s="62">
        <v>1480</v>
      </c>
      <c r="L72" s="62" t="s">
        <v>1465</v>
      </c>
      <c r="M72" s="100" t="s">
        <v>452</v>
      </c>
      <c r="N72" s="5" t="s">
        <v>464</v>
      </c>
      <c r="O72" s="34" t="s">
        <v>1561</v>
      </c>
      <c r="P72" s="5" t="s">
        <v>1467</v>
      </c>
      <c r="Q72" s="5" t="s">
        <v>1562</v>
      </c>
      <c r="R72" s="5" t="s">
        <v>1631</v>
      </c>
      <c r="S72" s="5" t="s">
        <v>1564</v>
      </c>
      <c r="T72" s="5" t="s">
        <v>445</v>
      </c>
    </row>
    <row r="73" spans="3:20" ht="14">
      <c r="C73" s="5" t="str">
        <f>+VLOOKUP(F73,Resumen_Base!$B$7:$F$69,5,0)</f>
        <v>Electricity - Gas for Boats &amp; Vehicles</v>
      </c>
      <c r="D73" s="214" t="s">
        <v>383</v>
      </c>
      <c r="E73" s="212" t="str">
        <f>+VLOOKUP(F73,Resumen_Base!$B$6:$F$69,5,0)</f>
        <v>Electricity - Gas for Boats &amp; Vehicles</v>
      </c>
      <c r="F73" s="36" t="s">
        <v>60</v>
      </c>
      <c r="G73" s="5" t="s">
        <v>61</v>
      </c>
      <c r="H73" s="5" t="str">
        <f t="shared" si="0"/>
        <v>DEL5248</v>
      </c>
      <c r="I73" s="6">
        <v>266560</v>
      </c>
      <c r="J73" s="62">
        <v>180.10810810810801</v>
      </c>
      <c r="K73" s="62">
        <v>1480</v>
      </c>
      <c r="L73" s="62" t="s">
        <v>1545</v>
      </c>
      <c r="M73" s="100" t="s">
        <v>452</v>
      </c>
      <c r="N73" s="5" t="s">
        <v>464</v>
      </c>
      <c r="O73" s="34" t="s">
        <v>1546</v>
      </c>
      <c r="P73" s="5" t="s">
        <v>1467</v>
      </c>
      <c r="Q73" s="5" t="s">
        <v>1547</v>
      </c>
      <c r="R73" s="5" t="s">
        <v>1651</v>
      </c>
      <c r="S73" s="5" t="s">
        <v>1549</v>
      </c>
      <c r="T73" s="5" t="s">
        <v>445</v>
      </c>
    </row>
    <row r="74" spans="3:20" ht="14">
      <c r="C74" s="5" t="str">
        <f>+VLOOKUP(F74,Resumen_Base!$B$7:$F$69,5,0)</f>
        <v>Propane</v>
      </c>
      <c r="D74" s="214" t="s">
        <v>383</v>
      </c>
      <c r="E74" s="212" t="str">
        <f>+VLOOKUP(F74,Resumen_Base!$B$6:$F$69,5,0)</f>
        <v>Propane</v>
      </c>
      <c r="F74" s="36" t="s">
        <v>37</v>
      </c>
      <c r="G74" s="5" t="s">
        <v>36</v>
      </c>
      <c r="H74" s="5" t="str">
        <f t="shared" si="0"/>
        <v>DEL5249</v>
      </c>
      <c r="I74" s="6">
        <v>104000</v>
      </c>
      <c r="J74" s="62">
        <v>70.748299319727906</v>
      </c>
      <c r="K74" s="62">
        <v>1470</v>
      </c>
      <c r="L74" s="62" t="s">
        <v>1550</v>
      </c>
      <c r="M74" s="100" t="s">
        <v>452</v>
      </c>
      <c r="N74" s="5" t="s">
        <v>464</v>
      </c>
      <c r="O74" s="34" t="s">
        <v>1551</v>
      </c>
      <c r="P74" s="5" t="s">
        <v>597</v>
      </c>
      <c r="Q74" s="5" t="s">
        <v>1552</v>
      </c>
      <c r="R74" s="5" t="s">
        <v>1669</v>
      </c>
      <c r="S74" s="5" t="s">
        <v>1554</v>
      </c>
      <c r="T74" s="5" t="s">
        <v>445</v>
      </c>
    </row>
    <row r="75" spans="3:20" ht="14">
      <c r="C75" s="5" t="str">
        <f>+VLOOKUP(F75,Resumen_Base!$B$7:$F$69,5,0)</f>
        <v>Propane</v>
      </c>
      <c r="D75" s="214" t="s">
        <v>383</v>
      </c>
      <c r="E75" s="212" t="str">
        <f>+VLOOKUP(F75,Resumen_Base!$B$6:$F$69,5,0)</f>
        <v>Propane</v>
      </c>
      <c r="F75" s="36" t="s">
        <v>37</v>
      </c>
      <c r="G75" s="5" t="s">
        <v>36</v>
      </c>
      <c r="H75" s="5" t="str">
        <f t="shared" ref="H75:H138" si="1">+D75&amp;F75</f>
        <v>DEL5249</v>
      </c>
      <c r="I75" s="6">
        <v>104000</v>
      </c>
      <c r="J75" s="62">
        <v>70.270270270270302</v>
      </c>
      <c r="K75" s="62">
        <v>1480</v>
      </c>
      <c r="L75" s="62" t="s">
        <v>1465</v>
      </c>
      <c r="M75" s="100" t="s">
        <v>452</v>
      </c>
      <c r="N75" s="5" t="s">
        <v>464</v>
      </c>
      <c r="O75" s="34" t="s">
        <v>1561</v>
      </c>
      <c r="P75" s="5" t="s">
        <v>1467</v>
      </c>
      <c r="Q75" s="5" t="s">
        <v>1562</v>
      </c>
      <c r="R75" s="5" t="s">
        <v>1670</v>
      </c>
      <c r="S75" s="5" t="s">
        <v>1564</v>
      </c>
      <c r="T75" s="5" t="s">
        <v>445</v>
      </c>
    </row>
    <row r="76" spans="3:20" ht="14">
      <c r="C76" s="5" t="str">
        <f>+VLOOKUP(F76,Resumen_Base!$B$7:$F$69,5,0)</f>
        <v>Propane</v>
      </c>
      <c r="D76" s="214" t="s">
        <v>383</v>
      </c>
      <c r="E76" s="212" t="str">
        <f>+VLOOKUP(F76,Resumen_Base!$B$6:$F$69,5,0)</f>
        <v>Propane</v>
      </c>
      <c r="F76" s="36" t="s">
        <v>37</v>
      </c>
      <c r="G76" s="5" t="s">
        <v>36</v>
      </c>
      <c r="H76" s="5" t="str">
        <f t="shared" si="1"/>
        <v>DEL5249</v>
      </c>
      <c r="I76" s="6">
        <v>69300</v>
      </c>
      <c r="J76" s="62">
        <v>46.824324324324301</v>
      </c>
      <c r="K76" s="62">
        <v>1480</v>
      </c>
      <c r="L76" s="62" t="s">
        <v>1545</v>
      </c>
      <c r="M76" s="100" t="s">
        <v>452</v>
      </c>
      <c r="N76" s="5" t="s">
        <v>464</v>
      </c>
      <c r="O76" s="34" t="s">
        <v>1546</v>
      </c>
      <c r="P76" s="5" t="s">
        <v>1467</v>
      </c>
      <c r="Q76" s="5" t="s">
        <v>1547</v>
      </c>
      <c r="R76" s="5" t="s">
        <v>1671</v>
      </c>
      <c r="S76" s="5" t="s">
        <v>1549</v>
      </c>
      <c r="T76" s="5" t="s">
        <v>445</v>
      </c>
    </row>
    <row r="77" spans="3:20" ht="14">
      <c r="C77" s="5" t="str">
        <f>+VLOOKUP(F77,Resumen_Base!$B$7:$F$69,5,0)</f>
        <v>Food &amp; Wine</v>
      </c>
      <c r="D77" s="214" t="s">
        <v>383</v>
      </c>
      <c r="E77" s="212" t="str">
        <f>+VLOOKUP(F77,Resumen_Base!$B$6:$F$69,5,0)</f>
        <v>Food &amp; Wine</v>
      </c>
      <c r="F77" s="36" t="s">
        <v>35</v>
      </c>
      <c r="G77" s="5" t="s">
        <v>34</v>
      </c>
      <c r="H77" s="5" t="str">
        <f t="shared" si="1"/>
        <v>DEL5250</v>
      </c>
      <c r="I77" s="6">
        <v>8000</v>
      </c>
      <c r="J77" s="62">
        <v>5.4054054054054097</v>
      </c>
      <c r="K77" s="62">
        <v>1480</v>
      </c>
      <c r="L77" s="62" t="s">
        <v>1545</v>
      </c>
      <c r="M77" s="100" t="s">
        <v>452</v>
      </c>
      <c r="N77" s="5" t="s">
        <v>464</v>
      </c>
      <c r="O77" s="34" t="s">
        <v>1546</v>
      </c>
      <c r="P77" s="5" t="s">
        <v>1467</v>
      </c>
      <c r="Q77" s="5" t="s">
        <v>1547</v>
      </c>
      <c r="R77" s="5" t="s">
        <v>1555</v>
      </c>
      <c r="S77" s="5" t="s">
        <v>1549</v>
      </c>
      <c r="T77" s="5" t="s">
        <v>445</v>
      </c>
    </row>
    <row r="78" spans="3:20" ht="14">
      <c r="C78" s="5" t="str">
        <f>+VLOOKUP(F78,Resumen_Base!$B$7:$F$69,5,0)</f>
        <v>Food &amp; Wine</v>
      </c>
      <c r="D78" s="214" t="s">
        <v>383</v>
      </c>
      <c r="E78" s="212" t="str">
        <f>+VLOOKUP(F78,Resumen_Base!$B$6:$F$69,5,0)</f>
        <v>Food &amp; Wine</v>
      </c>
      <c r="F78" s="36" t="s">
        <v>35</v>
      </c>
      <c r="G78" s="5" t="s">
        <v>34</v>
      </c>
      <c r="H78" s="5" t="str">
        <f t="shared" si="1"/>
        <v>DEL5250</v>
      </c>
      <c r="I78" s="6">
        <v>8000</v>
      </c>
      <c r="J78" s="62">
        <v>5.4054054054054097</v>
      </c>
      <c r="K78" s="62">
        <v>1480</v>
      </c>
      <c r="L78" s="62" t="s">
        <v>1545</v>
      </c>
      <c r="M78" s="100" t="s">
        <v>452</v>
      </c>
      <c r="N78" s="5" t="s">
        <v>464</v>
      </c>
      <c r="O78" s="34" t="s">
        <v>1546</v>
      </c>
      <c r="P78" s="5" t="s">
        <v>1467</v>
      </c>
      <c r="Q78" s="5" t="s">
        <v>1547</v>
      </c>
      <c r="R78" s="5" t="s">
        <v>1555</v>
      </c>
      <c r="S78" s="5" t="s">
        <v>1549</v>
      </c>
      <c r="T78" s="5" t="s">
        <v>445</v>
      </c>
    </row>
    <row r="79" spans="3:20" ht="14">
      <c r="C79" s="5" t="str">
        <f>+VLOOKUP(F79,Resumen_Base!$B$7:$F$69,5,0)</f>
        <v>Food &amp; Wine</v>
      </c>
      <c r="D79" s="214" t="s">
        <v>383</v>
      </c>
      <c r="E79" s="212" t="str">
        <f>+VLOOKUP(F79,Resumen_Base!$B$6:$F$69,5,0)</f>
        <v>Food &amp; Wine</v>
      </c>
      <c r="F79" s="36" t="s">
        <v>35</v>
      </c>
      <c r="G79" s="5" t="s">
        <v>34</v>
      </c>
      <c r="H79" s="5" t="str">
        <f t="shared" si="1"/>
        <v>DEL5250</v>
      </c>
      <c r="I79" s="6">
        <v>67100</v>
      </c>
      <c r="J79" s="62">
        <v>45.337837837837803</v>
      </c>
      <c r="K79" s="62">
        <v>1480</v>
      </c>
      <c r="L79" s="62" t="s">
        <v>1545</v>
      </c>
      <c r="M79" s="100" t="s">
        <v>452</v>
      </c>
      <c r="N79" s="5" t="s">
        <v>464</v>
      </c>
      <c r="O79" s="34" t="s">
        <v>1546</v>
      </c>
      <c r="P79" s="5" t="s">
        <v>1467</v>
      </c>
      <c r="Q79" s="5" t="s">
        <v>1547</v>
      </c>
      <c r="R79" s="5" t="s">
        <v>1571</v>
      </c>
      <c r="S79" s="5" t="s">
        <v>1549</v>
      </c>
      <c r="T79" s="5" t="s">
        <v>445</v>
      </c>
    </row>
    <row r="80" spans="3:20" ht="14">
      <c r="C80" s="5" t="str">
        <f>+VLOOKUP(F80,Resumen_Base!$B$7:$F$69,5,0)</f>
        <v>Food &amp; Wine</v>
      </c>
      <c r="D80" s="214" t="s">
        <v>383</v>
      </c>
      <c r="E80" s="212" t="str">
        <f>+VLOOKUP(F80,Resumen_Base!$B$6:$F$69,5,0)</f>
        <v>Food &amp; Wine</v>
      </c>
      <c r="F80" s="36" t="s">
        <v>35</v>
      </c>
      <c r="G80" s="5" t="s">
        <v>34</v>
      </c>
      <c r="H80" s="5" t="str">
        <f t="shared" si="1"/>
        <v>DEL5250</v>
      </c>
      <c r="I80" s="6">
        <v>301790</v>
      </c>
      <c r="J80" s="62">
        <v>203.91216216216199</v>
      </c>
      <c r="K80" s="62">
        <v>1480</v>
      </c>
      <c r="L80" s="62" t="s">
        <v>1545</v>
      </c>
      <c r="M80" s="100" t="s">
        <v>452</v>
      </c>
      <c r="N80" s="5" t="s">
        <v>464</v>
      </c>
      <c r="O80" s="34" t="s">
        <v>1546</v>
      </c>
      <c r="P80" s="5" t="s">
        <v>1467</v>
      </c>
      <c r="Q80" s="5" t="s">
        <v>1547</v>
      </c>
      <c r="R80" s="5" t="s">
        <v>1571</v>
      </c>
      <c r="S80" s="5" t="s">
        <v>1549</v>
      </c>
      <c r="T80" s="5" t="s">
        <v>445</v>
      </c>
    </row>
    <row r="81" spans="3:20" ht="14">
      <c r="C81" s="5" t="str">
        <f>+VLOOKUP(F81,Resumen_Base!$B$7:$F$69,5,0)</f>
        <v>Food &amp; Wine</v>
      </c>
      <c r="D81" s="214" t="s">
        <v>383</v>
      </c>
      <c r="E81" s="212" t="str">
        <f>+VLOOKUP(F81,Resumen_Base!$B$6:$F$69,5,0)</f>
        <v>Food &amp; Wine</v>
      </c>
      <c r="F81" s="36" t="s">
        <v>35</v>
      </c>
      <c r="G81" s="5" t="s">
        <v>34</v>
      </c>
      <c r="H81" s="5" t="str">
        <f t="shared" si="1"/>
        <v>DEL5250</v>
      </c>
      <c r="I81" s="6">
        <v>174390</v>
      </c>
      <c r="J81" s="62">
        <v>117.831081081081</v>
      </c>
      <c r="K81" s="62">
        <v>1480</v>
      </c>
      <c r="L81" s="62" t="s">
        <v>1545</v>
      </c>
      <c r="M81" s="100" t="s">
        <v>452</v>
      </c>
      <c r="N81" s="5" t="s">
        <v>464</v>
      </c>
      <c r="O81" s="34" t="s">
        <v>1546</v>
      </c>
      <c r="P81" s="5" t="s">
        <v>1467</v>
      </c>
      <c r="Q81" s="5" t="s">
        <v>1547</v>
      </c>
      <c r="R81" s="5" t="s">
        <v>1571</v>
      </c>
      <c r="S81" s="5" t="s">
        <v>1549</v>
      </c>
      <c r="T81" s="5" t="s">
        <v>445</v>
      </c>
    </row>
    <row r="82" spans="3:20" ht="14">
      <c r="C82" s="5" t="str">
        <f>+VLOOKUP(F82,Resumen_Base!$B$7:$F$69,5,0)</f>
        <v>Food &amp; Wine</v>
      </c>
      <c r="D82" s="214" t="s">
        <v>383</v>
      </c>
      <c r="E82" s="212" t="str">
        <f>+VLOOKUP(F82,Resumen_Base!$B$6:$F$69,5,0)</f>
        <v>Food &amp; Wine</v>
      </c>
      <c r="F82" s="36" t="s">
        <v>35</v>
      </c>
      <c r="G82" s="5" t="s">
        <v>34</v>
      </c>
      <c r="H82" s="5" t="str">
        <f t="shared" si="1"/>
        <v>DEL5250</v>
      </c>
      <c r="I82" s="6">
        <v>18700</v>
      </c>
      <c r="J82" s="62">
        <v>12.721088435374099</v>
      </c>
      <c r="K82" s="62">
        <v>1470</v>
      </c>
      <c r="L82" s="62" t="s">
        <v>1550</v>
      </c>
      <c r="M82" s="100" t="s">
        <v>452</v>
      </c>
      <c r="N82" s="5" t="s">
        <v>464</v>
      </c>
      <c r="O82" s="34" t="s">
        <v>1551</v>
      </c>
      <c r="P82" s="5" t="s">
        <v>597</v>
      </c>
      <c r="Q82" s="5" t="s">
        <v>1552</v>
      </c>
      <c r="R82" s="5" t="s">
        <v>1063</v>
      </c>
      <c r="S82" s="5" t="s">
        <v>1554</v>
      </c>
      <c r="T82" s="5" t="s">
        <v>445</v>
      </c>
    </row>
    <row r="83" spans="3:20" ht="14">
      <c r="C83" s="5" t="str">
        <f>+VLOOKUP(F83,Resumen_Base!$B$7:$F$69,5,0)</f>
        <v>Food &amp; Wine</v>
      </c>
      <c r="D83" s="214" t="s">
        <v>383</v>
      </c>
      <c r="E83" s="212" t="str">
        <f>+VLOOKUP(F83,Resumen_Base!$B$6:$F$69,5,0)</f>
        <v>Food &amp; Wine</v>
      </c>
      <c r="F83" s="36" t="s">
        <v>35</v>
      </c>
      <c r="G83" s="5" t="s">
        <v>34</v>
      </c>
      <c r="H83" s="5" t="str">
        <f t="shared" si="1"/>
        <v>DEL5250</v>
      </c>
      <c r="I83" s="6">
        <v>618694</v>
      </c>
      <c r="J83" s="62">
        <v>420.880272108844</v>
      </c>
      <c r="K83" s="62">
        <v>1470</v>
      </c>
      <c r="L83" s="62" t="s">
        <v>1550</v>
      </c>
      <c r="M83" s="100" t="s">
        <v>452</v>
      </c>
      <c r="N83" s="5" t="s">
        <v>464</v>
      </c>
      <c r="O83" s="34" t="s">
        <v>1551</v>
      </c>
      <c r="P83" s="5" t="s">
        <v>597</v>
      </c>
      <c r="Q83" s="5" t="s">
        <v>1552</v>
      </c>
      <c r="R83" s="5" t="s">
        <v>663</v>
      </c>
      <c r="S83" s="5" t="s">
        <v>1554</v>
      </c>
      <c r="T83" s="5" t="s">
        <v>445</v>
      </c>
    </row>
    <row r="84" spans="3:20" ht="14">
      <c r="C84" s="5" t="str">
        <f>+VLOOKUP(F84,Resumen_Base!$B$7:$F$69,5,0)</f>
        <v>Food &amp; Wine</v>
      </c>
      <c r="D84" s="214" t="s">
        <v>383</v>
      </c>
      <c r="E84" s="212" t="str">
        <f>+VLOOKUP(F84,Resumen_Base!$B$6:$F$69,5,0)</f>
        <v>Food &amp; Wine</v>
      </c>
      <c r="F84" s="36" t="s">
        <v>35</v>
      </c>
      <c r="G84" s="5" t="s">
        <v>34</v>
      </c>
      <c r="H84" s="5" t="str">
        <f t="shared" si="1"/>
        <v>DEL5250</v>
      </c>
      <c r="I84" s="6">
        <v>41673</v>
      </c>
      <c r="J84" s="62">
        <v>28.348979591836699</v>
      </c>
      <c r="K84" s="62">
        <v>1470</v>
      </c>
      <c r="L84" s="62" t="s">
        <v>1550</v>
      </c>
      <c r="M84" s="100" t="s">
        <v>452</v>
      </c>
      <c r="N84" s="5" t="s">
        <v>464</v>
      </c>
      <c r="O84" s="34" t="s">
        <v>1551</v>
      </c>
      <c r="P84" s="5" t="s">
        <v>597</v>
      </c>
      <c r="Q84" s="5" t="s">
        <v>1552</v>
      </c>
      <c r="R84" s="5" t="s">
        <v>663</v>
      </c>
      <c r="S84" s="5" t="s">
        <v>1554</v>
      </c>
      <c r="T84" s="5" t="s">
        <v>445</v>
      </c>
    </row>
    <row r="85" spans="3:20" ht="14">
      <c r="C85" s="5" t="str">
        <f>+VLOOKUP(F85,Resumen_Base!$B$7:$F$69,5,0)</f>
        <v>Food &amp; Wine</v>
      </c>
      <c r="D85" s="214" t="s">
        <v>383</v>
      </c>
      <c r="E85" s="212" t="str">
        <f>+VLOOKUP(F85,Resumen_Base!$B$6:$F$69,5,0)</f>
        <v>Food &amp; Wine</v>
      </c>
      <c r="F85" s="36" t="s">
        <v>35</v>
      </c>
      <c r="G85" s="5" t="s">
        <v>34</v>
      </c>
      <c r="H85" s="5" t="str">
        <f t="shared" si="1"/>
        <v>DEL5250</v>
      </c>
      <c r="I85" s="6">
        <v>78000</v>
      </c>
      <c r="J85" s="62">
        <v>53.061224489795897</v>
      </c>
      <c r="K85" s="62">
        <v>1470</v>
      </c>
      <c r="L85" s="62" t="s">
        <v>1550</v>
      </c>
      <c r="M85" s="100" t="s">
        <v>452</v>
      </c>
      <c r="N85" s="5" t="s">
        <v>464</v>
      </c>
      <c r="O85" s="34" t="s">
        <v>1551</v>
      </c>
      <c r="P85" s="5" t="s">
        <v>597</v>
      </c>
      <c r="Q85" s="5" t="s">
        <v>1552</v>
      </c>
      <c r="R85" s="5" t="s">
        <v>663</v>
      </c>
      <c r="S85" s="5" t="s">
        <v>1554</v>
      </c>
      <c r="T85" s="5" t="s">
        <v>445</v>
      </c>
    </row>
    <row r="86" spans="3:20" ht="14">
      <c r="C86" s="5" t="str">
        <f>+VLOOKUP(F86,Resumen_Base!$B$7:$F$69,5,0)</f>
        <v>Food &amp; Wine</v>
      </c>
      <c r="D86" s="214" t="s">
        <v>383</v>
      </c>
      <c r="E86" s="212" t="str">
        <f>+VLOOKUP(F86,Resumen_Base!$B$6:$F$69,5,0)</f>
        <v>Food &amp; Wine</v>
      </c>
      <c r="F86" s="36" t="s">
        <v>35</v>
      </c>
      <c r="G86" s="5" t="s">
        <v>34</v>
      </c>
      <c r="H86" s="5" t="str">
        <f t="shared" si="1"/>
        <v>DEL5250</v>
      </c>
      <c r="I86" s="6">
        <v>34861</v>
      </c>
      <c r="J86" s="62">
        <v>23.714965986394599</v>
      </c>
      <c r="K86" s="62">
        <v>1470</v>
      </c>
      <c r="L86" s="62" t="s">
        <v>1550</v>
      </c>
      <c r="M86" s="100" t="s">
        <v>452</v>
      </c>
      <c r="N86" s="5" t="s">
        <v>464</v>
      </c>
      <c r="O86" s="34" t="s">
        <v>1551</v>
      </c>
      <c r="P86" s="5" t="s">
        <v>597</v>
      </c>
      <c r="Q86" s="5" t="s">
        <v>1552</v>
      </c>
      <c r="R86" s="5" t="s">
        <v>1585</v>
      </c>
      <c r="S86" s="5" t="s">
        <v>1554</v>
      </c>
      <c r="T86" s="5" t="s">
        <v>445</v>
      </c>
    </row>
    <row r="87" spans="3:20" ht="14">
      <c r="C87" s="5" t="str">
        <f>+VLOOKUP(F87,Resumen_Base!$B$7:$F$69,5,0)</f>
        <v>Food &amp; Wine</v>
      </c>
      <c r="D87" s="214" t="s">
        <v>383</v>
      </c>
      <c r="E87" s="212" t="str">
        <f>+VLOOKUP(F87,Resumen_Base!$B$6:$F$69,5,0)</f>
        <v>Food &amp; Wine</v>
      </c>
      <c r="F87" s="36" t="s">
        <v>35</v>
      </c>
      <c r="G87" s="5" t="s">
        <v>34</v>
      </c>
      <c r="H87" s="5" t="str">
        <f t="shared" si="1"/>
        <v>DEL5250</v>
      </c>
      <c r="I87" s="6">
        <v>30898</v>
      </c>
      <c r="J87" s="62">
        <v>21.019047619047601</v>
      </c>
      <c r="K87" s="62">
        <v>1470</v>
      </c>
      <c r="L87" s="62" t="s">
        <v>1550</v>
      </c>
      <c r="M87" s="100" t="s">
        <v>452</v>
      </c>
      <c r="N87" s="5" t="s">
        <v>464</v>
      </c>
      <c r="O87" s="34" t="s">
        <v>1551</v>
      </c>
      <c r="P87" s="5" t="s">
        <v>597</v>
      </c>
      <c r="Q87" s="5" t="s">
        <v>1552</v>
      </c>
      <c r="R87" s="5" t="s">
        <v>1587</v>
      </c>
      <c r="S87" s="5" t="s">
        <v>1554</v>
      </c>
      <c r="T87" s="5" t="s">
        <v>445</v>
      </c>
    </row>
    <row r="88" spans="3:20" ht="14">
      <c r="C88" s="5" t="str">
        <f>+VLOOKUP(F88,Resumen_Base!$B$7:$F$69,5,0)</f>
        <v>Food &amp; Wine</v>
      </c>
      <c r="D88" s="214" t="s">
        <v>383</v>
      </c>
      <c r="E88" s="212" t="str">
        <f>+VLOOKUP(F88,Resumen_Base!$B$6:$F$69,5,0)</f>
        <v>Food &amp; Wine</v>
      </c>
      <c r="F88" s="36" t="s">
        <v>35</v>
      </c>
      <c r="G88" s="5" t="s">
        <v>34</v>
      </c>
      <c r="H88" s="5" t="str">
        <f t="shared" si="1"/>
        <v>DEL5250</v>
      </c>
      <c r="I88" s="6">
        <v>34000</v>
      </c>
      <c r="J88" s="62">
        <v>23.1292517006803</v>
      </c>
      <c r="K88" s="62">
        <v>1470</v>
      </c>
      <c r="L88" s="62" t="s">
        <v>1550</v>
      </c>
      <c r="M88" s="100" t="s">
        <v>452</v>
      </c>
      <c r="N88" s="5" t="s">
        <v>464</v>
      </c>
      <c r="O88" s="34" t="s">
        <v>1551</v>
      </c>
      <c r="P88" s="5" t="s">
        <v>597</v>
      </c>
      <c r="Q88" s="5" t="s">
        <v>1552</v>
      </c>
      <c r="R88" s="5" t="s">
        <v>1591</v>
      </c>
      <c r="S88" s="5" t="s">
        <v>1554</v>
      </c>
      <c r="T88" s="5" t="s">
        <v>445</v>
      </c>
    </row>
    <row r="89" spans="3:20" ht="14">
      <c r="C89" s="5" t="str">
        <f>+VLOOKUP(F89,Resumen_Base!$B$7:$F$69,5,0)</f>
        <v>Food &amp; Wine</v>
      </c>
      <c r="D89" s="214" t="s">
        <v>383</v>
      </c>
      <c r="E89" s="212" t="str">
        <f>+VLOOKUP(F89,Resumen_Base!$B$6:$F$69,5,0)</f>
        <v>Food &amp; Wine</v>
      </c>
      <c r="F89" s="36" t="s">
        <v>35</v>
      </c>
      <c r="G89" s="5" t="s">
        <v>34</v>
      </c>
      <c r="H89" s="5" t="str">
        <f t="shared" si="1"/>
        <v>DEL5250</v>
      </c>
      <c r="I89" s="6">
        <v>162008</v>
      </c>
      <c r="J89" s="62">
        <v>110.209523809524</v>
      </c>
      <c r="K89" s="62">
        <v>1470</v>
      </c>
      <c r="L89" s="62" t="s">
        <v>1550</v>
      </c>
      <c r="M89" s="100" t="s">
        <v>452</v>
      </c>
      <c r="N89" s="5" t="s">
        <v>464</v>
      </c>
      <c r="O89" s="34" t="s">
        <v>1551</v>
      </c>
      <c r="P89" s="5" t="s">
        <v>597</v>
      </c>
      <c r="Q89" s="5" t="s">
        <v>1552</v>
      </c>
      <c r="R89" s="5" t="s">
        <v>1594</v>
      </c>
      <c r="S89" s="5" t="s">
        <v>1554</v>
      </c>
      <c r="T89" s="5" t="s">
        <v>445</v>
      </c>
    </row>
    <row r="90" spans="3:20" ht="14">
      <c r="C90" s="5" t="str">
        <f>+VLOOKUP(F90,Resumen_Base!$B$7:$F$69,5,0)</f>
        <v>Food &amp; Wine</v>
      </c>
      <c r="D90" s="214" t="s">
        <v>383</v>
      </c>
      <c r="E90" s="212" t="str">
        <f>+VLOOKUP(F90,Resumen_Base!$B$6:$F$69,5,0)</f>
        <v>Food &amp; Wine</v>
      </c>
      <c r="F90" s="36" t="s">
        <v>35</v>
      </c>
      <c r="G90" s="5" t="s">
        <v>34</v>
      </c>
      <c r="H90" s="5" t="str">
        <f t="shared" si="1"/>
        <v>DEL5250</v>
      </c>
      <c r="I90" s="6">
        <v>18000</v>
      </c>
      <c r="J90" s="62">
        <v>12.244897959183699</v>
      </c>
      <c r="K90" s="62">
        <v>1470</v>
      </c>
      <c r="L90" s="62" t="s">
        <v>1550</v>
      </c>
      <c r="M90" s="100" t="s">
        <v>452</v>
      </c>
      <c r="N90" s="5" t="s">
        <v>464</v>
      </c>
      <c r="O90" s="34" t="s">
        <v>1551</v>
      </c>
      <c r="P90" s="5" t="s">
        <v>597</v>
      </c>
      <c r="Q90" s="5" t="s">
        <v>1552</v>
      </c>
      <c r="R90" s="5" t="s">
        <v>1021</v>
      </c>
      <c r="S90" s="5" t="s">
        <v>1554</v>
      </c>
      <c r="T90" s="5" t="s">
        <v>445</v>
      </c>
    </row>
    <row r="91" spans="3:20" ht="14">
      <c r="C91" s="5" t="str">
        <f>+VLOOKUP(F91,Resumen_Base!$B$7:$F$69,5,0)</f>
        <v>Food &amp; Wine</v>
      </c>
      <c r="D91" s="214" t="s">
        <v>383</v>
      </c>
      <c r="E91" s="212" t="str">
        <f>+VLOOKUP(F91,Resumen_Base!$B$6:$F$69,5,0)</f>
        <v>Food &amp; Wine</v>
      </c>
      <c r="F91" s="36" t="s">
        <v>35</v>
      </c>
      <c r="G91" s="5" t="s">
        <v>34</v>
      </c>
      <c r="H91" s="5" t="str">
        <f t="shared" si="1"/>
        <v>DEL5250</v>
      </c>
      <c r="I91" s="6">
        <v>36000</v>
      </c>
      <c r="J91" s="62">
        <v>24.324324324324301</v>
      </c>
      <c r="K91" s="62">
        <v>1480</v>
      </c>
      <c r="L91" s="62" t="s">
        <v>1545</v>
      </c>
      <c r="M91" s="100" t="s">
        <v>452</v>
      </c>
      <c r="N91" s="5" t="s">
        <v>464</v>
      </c>
      <c r="O91" s="34" t="s">
        <v>1546</v>
      </c>
      <c r="P91" s="5" t="s">
        <v>1467</v>
      </c>
      <c r="Q91" s="5" t="s">
        <v>1547</v>
      </c>
      <c r="R91" s="5" t="s">
        <v>1599</v>
      </c>
      <c r="S91" s="5" t="s">
        <v>1549</v>
      </c>
      <c r="T91" s="5" t="s">
        <v>445</v>
      </c>
    </row>
    <row r="92" spans="3:20" ht="14">
      <c r="C92" s="5" t="str">
        <f>+VLOOKUP(F92,Resumen_Base!$B$7:$F$69,5,0)</f>
        <v>Food &amp; Wine</v>
      </c>
      <c r="D92" s="214" t="s">
        <v>383</v>
      </c>
      <c r="E92" s="212" t="str">
        <f>+VLOOKUP(F92,Resumen_Base!$B$6:$F$69,5,0)</f>
        <v>Food &amp; Wine</v>
      </c>
      <c r="F92" s="36" t="s">
        <v>35</v>
      </c>
      <c r="G92" s="5" t="s">
        <v>34</v>
      </c>
      <c r="H92" s="5" t="str">
        <f t="shared" si="1"/>
        <v>DEL5250</v>
      </c>
      <c r="I92" s="6">
        <v>21000</v>
      </c>
      <c r="J92" s="62">
        <v>14.285714285714301</v>
      </c>
      <c r="K92" s="62">
        <v>1470</v>
      </c>
      <c r="L92" s="62" t="s">
        <v>1550</v>
      </c>
      <c r="M92" s="100" t="s">
        <v>452</v>
      </c>
      <c r="N92" s="5" t="s">
        <v>464</v>
      </c>
      <c r="O92" s="34" t="s">
        <v>1551</v>
      </c>
      <c r="P92" s="5" t="s">
        <v>597</v>
      </c>
      <c r="Q92" s="5" t="s">
        <v>1552</v>
      </c>
      <c r="R92" s="5" t="s">
        <v>764</v>
      </c>
      <c r="S92" s="5" t="s">
        <v>1554</v>
      </c>
      <c r="T92" s="5" t="s">
        <v>445</v>
      </c>
    </row>
    <row r="93" spans="3:20" ht="14">
      <c r="C93" s="5" t="str">
        <f>+VLOOKUP(F93,Resumen_Base!$B$7:$F$69,5,0)</f>
        <v>Food &amp; Wine</v>
      </c>
      <c r="D93" s="214" t="s">
        <v>383</v>
      </c>
      <c r="E93" s="212" t="str">
        <f>+VLOOKUP(F93,Resumen_Base!$B$6:$F$69,5,0)</f>
        <v>Food &amp; Wine</v>
      </c>
      <c r="F93" s="36" t="s">
        <v>35</v>
      </c>
      <c r="G93" s="5" t="s">
        <v>34</v>
      </c>
      <c r="H93" s="5" t="str">
        <f t="shared" si="1"/>
        <v>DEL5250</v>
      </c>
      <c r="I93" s="6">
        <v>35000</v>
      </c>
      <c r="J93" s="62">
        <v>23.648648648648599</v>
      </c>
      <c r="K93" s="62">
        <v>1480</v>
      </c>
      <c r="L93" s="62" t="s">
        <v>1545</v>
      </c>
      <c r="M93" s="100" t="s">
        <v>452</v>
      </c>
      <c r="N93" s="5" t="s">
        <v>464</v>
      </c>
      <c r="O93" s="34" t="s">
        <v>1546</v>
      </c>
      <c r="P93" s="5" t="s">
        <v>1467</v>
      </c>
      <c r="Q93" s="5" t="s">
        <v>1547</v>
      </c>
      <c r="R93" s="5" t="s">
        <v>764</v>
      </c>
      <c r="S93" s="5" t="s">
        <v>1549</v>
      </c>
      <c r="T93" s="5" t="s">
        <v>445</v>
      </c>
    </row>
    <row r="94" spans="3:20" ht="14">
      <c r="C94" s="5" t="str">
        <f>+VLOOKUP(F94,Resumen_Base!$B$7:$F$69,5,0)</f>
        <v>Food &amp; Wine</v>
      </c>
      <c r="D94" s="214" t="s">
        <v>383</v>
      </c>
      <c r="E94" s="212" t="str">
        <f>+VLOOKUP(F94,Resumen_Base!$B$6:$F$69,5,0)</f>
        <v>Food &amp; Wine</v>
      </c>
      <c r="F94" s="36" t="s">
        <v>35</v>
      </c>
      <c r="G94" s="5" t="s">
        <v>34</v>
      </c>
      <c r="H94" s="5" t="str">
        <f t="shared" si="1"/>
        <v>DEL5250</v>
      </c>
      <c r="I94" s="6">
        <v>7000</v>
      </c>
      <c r="J94" s="62">
        <v>4.7297297297297298</v>
      </c>
      <c r="K94" s="62">
        <v>1480</v>
      </c>
      <c r="L94" s="62" t="s">
        <v>1545</v>
      </c>
      <c r="M94" s="100" t="s">
        <v>452</v>
      </c>
      <c r="N94" s="5" t="s">
        <v>464</v>
      </c>
      <c r="O94" s="34" t="s">
        <v>1546</v>
      </c>
      <c r="P94" s="5" t="s">
        <v>1467</v>
      </c>
      <c r="Q94" s="5" t="s">
        <v>1547</v>
      </c>
      <c r="R94" s="5" t="s">
        <v>764</v>
      </c>
      <c r="S94" s="5" t="s">
        <v>1549</v>
      </c>
      <c r="T94" s="5" t="s">
        <v>445</v>
      </c>
    </row>
    <row r="95" spans="3:20" ht="14">
      <c r="C95" s="5" t="str">
        <f>+VLOOKUP(F95,Resumen_Base!$B$7:$F$69,5,0)</f>
        <v>Food &amp; Wine</v>
      </c>
      <c r="D95" s="214" t="s">
        <v>383</v>
      </c>
      <c r="E95" s="212" t="str">
        <f>+VLOOKUP(F95,Resumen_Base!$B$6:$F$69,5,0)</f>
        <v>Food &amp; Wine</v>
      </c>
      <c r="F95" s="36" t="s">
        <v>35</v>
      </c>
      <c r="G95" s="5" t="s">
        <v>34</v>
      </c>
      <c r="H95" s="5" t="str">
        <f t="shared" si="1"/>
        <v>DEL5250</v>
      </c>
      <c r="I95" s="6">
        <v>32000</v>
      </c>
      <c r="J95" s="62">
        <v>21.6216216216216</v>
      </c>
      <c r="K95" s="62">
        <v>1480</v>
      </c>
      <c r="L95" s="62" t="s">
        <v>1545</v>
      </c>
      <c r="M95" s="100" t="s">
        <v>452</v>
      </c>
      <c r="N95" s="5" t="s">
        <v>464</v>
      </c>
      <c r="O95" s="34" t="s">
        <v>1546</v>
      </c>
      <c r="P95" s="5" t="s">
        <v>1467</v>
      </c>
      <c r="Q95" s="5" t="s">
        <v>1547</v>
      </c>
      <c r="R95" s="5" t="s">
        <v>764</v>
      </c>
      <c r="S95" s="5" t="s">
        <v>1549</v>
      </c>
      <c r="T95" s="5" t="s">
        <v>445</v>
      </c>
    </row>
    <row r="96" spans="3:20" ht="14">
      <c r="C96" s="5" t="str">
        <f>+VLOOKUP(F96,Resumen_Base!$B$7:$F$69,5,0)</f>
        <v>Food &amp; Wine</v>
      </c>
      <c r="D96" s="214" t="s">
        <v>383</v>
      </c>
      <c r="E96" s="212" t="str">
        <f>+VLOOKUP(F96,Resumen_Base!$B$6:$F$69,5,0)</f>
        <v>Food &amp; Wine</v>
      </c>
      <c r="F96" s="36" t="s">
        <v>35</v>
      </c>
      <c r="G96" s="5" t="s">
        <v>34</v>
      </c>
      <c r="H96" s="5" t="str">
        <f t="shared" si="1"/>
        <v>DEL5250</v>
      </c>
      <c r="I96" s="6">
        <v>56000</v>
      </c>
      <c r="J96" s="62">
        <v>37.837837837837803</v>
      </c>
      <c r="K96" s="62">
        <v>1480</v>
      </c>
      <c r="L96" s="62" t="s">
        <v>1545</v>
      </c>
      <c r="M96" s="100" t="s">
        <v>452</v>
      </c>
      <c r="N96" s="5" t="s">
        <v>464</v>
      </c>
      <c r="O96" s="34" t="s">
        <v>1546</v>
      </c>
      <c r="P96" s="5" t="s">
        <v>1467</v>
      </c>
      <c r="Q96" s="5" t="s">
        <v>1547</v>
      </c>
      <c r="R96" s="5" t="s">
        <v>764</v>
      </c>
      <c r="S96" s="5" t="s">
        <v>1549</v>
      </c>
      <c r="T96" s="5" t="s">
        <v>445</v>
      </c>
    </row>
    <row r="97" spans="3:20" ht="14">
      <c r="C97" s="5" t="str">
        <f>+VLOOKUP(F97,Resumen_Base!$B$7:$F$69,5,0)</f>
        <v>Food &amp; Wine</v>
      </c>
      <c r="D97" s="214" t="s">
        <v>383</v>
      </c>
      <c r="E97" s="212" t="str">
        <f>+VLOOKUP(F97,Resumen_Base!$B$6:$F$69,5,0)</f>
        <v>Food &amp; Wine</v>
      </c>
      <c r="F97" s="36" t="s">
        <v>35</v>
      </c>
      <c r="G97" s="5" t="s">
        <v>34</v>
      </c>
      <c r="H97" s="5" t="str">
        <f t="shared" si="1"/>
        <v>DEL5250</v>
      </c>
      <c r="I97" s="6">
        <v>14000</v>
      </c>
      <c r="J97" s="62">
        <v>9.4594594594594597</v>
      </c>
      <c r="K97" s="62">
        <v>1480</v>
      </c>
      <c r="L97" s="62" t="s">
        <v>1545</v>
      </c>
      <c r="M97" s="100" t="s">
        <v>452</v>
      </c>
      <c r="N97" s="5" t="s">
        <v>464</v>
      </c>
      <c r="O97" s="34" t="s">
        <v>1546</v>
      </c>
      <c r="P97" s="5" t="s">
        <v>1467</v>
      </c>
      <c r="Q97" s="5" t="s">
        <v>1547</v>
      </c>
      <c r="R97" s="5" t="s">
        <v>764</v>
      </c>
      <c r="S97" s="5" t="s">
        <v>1549</v>
      </c>
      <c r="T97" s="5" t="s">
        <v>445</v>
      </c>
    </row>
    <row r="98" spans="3:20" ht="14">
      <c r="C98" s="5" t="str">
        <f>+VLOOKUP(F98,Resumen_Base!$B$7:$F$69,5,0)</f>
        <v>Food &amp; Wine</v>
      </c>
      <c r="D98" s="214" t="s">
        <v>383</v>
      </c>
      <c r="E98" s="212" t="str">
        <f>+VLOOKUP(F98,Resumen_Base!$B$6:$F$69,5,0)</f>
        <v>Food &amp; Wine</v>
      </c>
      <c r="F98" s="36" t="s">
        <v>35</v>
      </c>
      <c r="G98" s="5" t="s">
        <v>34</v>
      </c>
      <c r="H98" s="5" t="str">
        <f t="shared" si="1"/>
        <v>DEL5250</v>
      </c>
      <c r="I98" s="6">
        <v>21200</v>
      </c>
      <c r="J98" s="62">
        <v>14.421768707483</v>
      </c>
      <c r="K98" s="62">
        <v>1470</v>
      </c>
      <c r="L98" s="62" t="s">
        <v>1550</v>
      </c>
      <c r="M98" s="100" t="s">
        <v>452</v>
      </c>
      <c r="N98" s="5" t="s">
        <v>464</v>
      </c>
      <c r="O98" s="34" t="s">
        <v>1551</v>
      </c>
      <c r="P98" s="5" t="s">
        <v>597</v>
      </c>
      <c r="Q98" s="5" t="s">
        <v>1552</v>
      </c>
      <c r="R98" s="5" t="s">
        <v>1627</v>
      </c>
      <c r="S98" s="5" t="s">
        <v>1554</v>
      </c>
      <c r="T98" s="5" t="s">
        <v>445</v>
      </c>
    </row>
    <row r="99" spans="3:20" ht="14">
      <c r="C99" s="5" t="str">
        <f>+VLOOKUP(F99,Resumen_Base!$B$7:$F$69,5,0)</f>
        <v>Food &amp; Wine</v>
      </c>
      <c r="D99" s="214" t="s">
        <v>383</v>
      </c>
      <c r="E99" s="212" t="str">
        <f>+VLOOKUP(F99,Resumen_Base!$B$6:$F$69,5,0)</f>
        <v>Food &amp; Wine</v>
      </c>
      <c r="F99" s="36" t="s">
        <v>35</v>
      </c>
      <c r="G99" s="5" t="s">
        <v>34</v>
      </c>
      <c r="H99" s="5" t="str">
        <f t="shared" si="1"/>
        <v>DEL5250</v>
      </c>
      <c r="I99" s="6">
        <v>12200</v>
      </c>
      <c r="J99" s="62">
        <v>8.2993197278911595</v>
      </c>
      <c r="K99" s="62">
        <v>1470</v>
      </c>
      <c r="L99" s="62" t="s">
        <v>1550</v>
      </c>
      <c r="M99" s="100" t="s">
        <v>452</v>
      </c>
      <c r="N99" s="5" t="s">
        <v>464</v>
      </c>
      <c r="O99" s="34" t="s">
        <v>1551</v>
      </c>
      <c r="P99" s="5" t="s">
        <v>597</v>
      </c>
      <c r="Q99" s="5" t="s">
        <v>1552</v>
      </c>
      <c r="R99" s="5" t="s">
        <v>1327</v>
      </c>
      <c r="S99" s="5" t="s">
        <v>1554</v>
      </c>
      <c r="T99" s="5" t="s">
        <v>445</v>
      </c>
    </row>
    <row r="100" spans="3:20" ht="14">
      <c r="C100" s="5" t="str">
        <f>+VLOOKUP(F100,Resumen_Base!$B$7:$F$69,5,0)</f>
        <v>Food &amp; Wine</v>
      </c>
      <c r="D100" s="214" t="s">
        <v>383</v>
      </c>
      <c r="E100" s="212" t="str">
        <f>+VLOOKUP(F100,Resumen_Base!$B$6:$F$69,5,0)</f>
        <v>Food &amp; Wine</v>
      </c>
      <c r="F100" s="36" t="s">
        <v>35</v>
      </c>
      <c r="G100" s="5" t="s">
        <v>34</v>
      </c>
      <c r="H100" s="5" t="str">
        <f t="shared" si="1"/>
        <v>DEL5250</v>
      </c>
      <c r="I100" s="6">
        <v>79395</v>
      </c>
      <c r="J100" s="62">
        <v>53.645270270270302</v>
      </c>
      <c r="K100" s="62">
        <v>1480</v>
      </c>
      <c r="L100" s="62" t="s">
        <v>1545</v>
      </c>
      <c r="M100" s="100" t="s">
        <v>452</v>
      </c>
      <c r="N100" s="5" t="s">
        <v>464</v>
      </c>
      <c r="O100" s="34" t="s">
        <v>1546</v>
      </c>
      <c r="P100" s="5" t="s">
        <v>1467</v>
      </c>
      <c r="Q100" s="5" t="s">
        <v>1547</v>
      </c>
      <c r="R100" s="5" t="s">
        <v>649</v>
      </c>
      <c r="S100" s="5" t="s">
        <v>1549</v>
      </c>
      <c r="T100" s="5" t="s">
        <v>445</v>
      </c>
    </row>
    <row r="101" spans="3:20" ht="14">
      <c r="C101" s="5" t="str">
        <f>+VLOOKUP(F101,Resumen_Base!$B$7:$F$69,5,0)</f>
        <v>Food &amp; Wine</v>
      </c>
      <c r="D101" s="214" t="s">
        <v>383</v>
      </c>
      <c r="E101" s="212" t="str">
        <f>+VLOOKUP(F101,Resumen_Base!$B$6:$F$69,5,0)</f>
        <v>Food &amp; Wine</v>
      </c>
      <c r="F101" s="36" t="s">
        <v>35</v>
      </c>
      <c r="G101" s="5" t="s">
        <v>34</v>
      </c>
      <c r="H101" s="5" t="str">
        <f t="shared" si="1"/>
        <v>DEL5250</v>
      </c>
      <c r="I101" s="6">
        <v>12000</v>
      </c>
      <c r="J101" s="62">
        <v>8.1632653061224492</v>
      </c>
      <c r="K101" s="62">
        <v>1470</v>
      </c>
      <c r="L101" s="62" t="s">
        <v>1550</v>
      </c>
      <c r="M101" s="100" t="s">
        <v>452</v>
      </c>
      <c r="N101" s="5" t="s">
        <v>464</v>
      </c>
      <c r="O101" s="34" t="s">
        <v>1551</v>
      </c>
      <c r="P101" s="5" t="s">
        <v>597</v>
      </c>
      <c r="Q101" s="5" t="s">
        <v>1552</v>
      </c>
      <c r="R101" s="5" t="s">
        <v>634</v>
      </c>
      <c r="S101" s="5" t="s">
        <v>1554</v>
      </c>
      <c r="T101" s="5" t="s">
        <v>445</v>
      </c>
    </row>
    <row r="102" spans="3:20" ht="14">
      <c r="C102" s="5" t="str">
        <f>+VLOOKUP(F102,Resumen_Base!$B$7:$F$69,5,0)</f>
        <v>Food &amp; Wine</v>
      </c>
      <c r="D102" s="214" t="s">
        <v>383</v>
      </c>
      <c r="E102" s="212" t="str">
        <f>+VLOOKUP(F102,Resumen_Base!$B$6:$F$69,5,0)</f>
        <v>Food &amp; Wine</v>
      </c>
      <c r="F102" s="36" t="s">
        <v>35</v>
      </c>
      <c r="G102" s="5" t="s">
        <v>34</v>
      </c>
      <c r="H102" s="5" t="str">
        <f t="shared" si="1"/>
        <v>DEL5250</v>
      </c>
      <c r="I102" s="6">
        <v>42100</v>
      </c>
      <c r="J102" s="62">
        <v>28.639455782312901</v>
      </c>
      <c r="K102" s="62">
        <v>1470</v>
      </c>
      <c r="L102" s="62" t="s">
        <v>1550</v>
      </c>
      <c r="M102" s="100" t="s">
        <v>452</v>
      </c>
      <c r="N102" s="5" t="s">
        <v>464</v>
      </c>
      <c r="O102" s="34" t="s">
        <v>1551</v>
      </c>
      <c r="P102" s="5" t="s">
        <v>597</v>
      </c>
      <c r="Q102" s="5" t="s">
        <v>1552</v>
      </c>
      <c r="R102" s="5" t="s">
        <v>634</v>
      </c>
      <c r="S102" s="5" t="s">
        <v>1554</v>
      </c>
      <c r="T102" s="5" t="s">
        <v>445</v>
      </c>
    </row>
    <row r="103" spans="3:20" ht="14">
      <c r="C103" s="5" t="str">
        <f>+VLOOKUP(F103,Resumen_Base!$B$7:$F$69,5,0)</f>
        <v>Food &amp; Wine</v>
      </c>
      <c r="D103" s="214" t="s">
        <v>383</v>
      </c>
      <c r="E103" s="212" t="str">
        <f>+VLOOKUP(F103,Resumen_Base!$B$6:$F$69,5,0)</f>
        <v>Food &amp; Wine</v>
      </c>
      <c r="F103" s="36" t="s">
        <v>35</v>
      </c>
      <c r="G103" s="5" t="s">
        <v>34</v>
      </c>
      <c r="H103" s="5" t="str">
        <f t="shared" si="1"/>
        <v>DEL5250</v>
      </c>
      <c r="I103" s="6">
        <v>16500</v>
      </c>
      <c r="J103" s="62">
        <v>11.2244897959184</v>
      </c>
      <c r="K103" s="62">
        <v>1470</v>
      </c>
      <c r="L103" s="62" t="s">
        <v>1550</v>
      </c>
      <c r="M103" s="100" t="s">
        <v>452</v>
      </c>
      <c r="N103" s="5" t="s">
        <v>464</v>
      </c>
      <c r="O103" s="34" t="s">
        <v>1551</v>
      </c>
      <c r="P103" s="5" t="s">
        <v>597</v>
      </c>
      <c r="Q103" s="5" t="s">
        <v>1552</v>
      </c>
      <c r="R103" s="5" t="s">
        <v>1673</v>
      </c>
      <c r="S103" s="5" t="s">
        <v>1554</v>
      </c>
      <c r="T103" s="5" t="s">
        <v>445</v>
      </c>
    </row>
    <row r="104" spans="3:20" ht="14">
      <c r="C104" s="5" t="str">
        <f>+VLOOKUP(F104,Resumen_Base!$B$7:$F$69,5,0)</f>
        <v>Food &amp; Wine</v>
      </c>
      <c r="D104" s="214" t="s">
        <v>383</v>
      </c>
      <c r="E104" s="212" t="str">
        <f>+VLOOKUP(F104,Resumen_Base!$B$6:$F$69,5,0)</f>
        <v>Food &amp; Wine</v>
      </c>
      <c r="F104" s="36" t="s">
        <v>35</v>
      </c>
      <c r="G104" s="5" t="s">
        <v>34</v>
      </c>
      <c r="H104" s="5" t="str">
        <f t="shared" si="1"/>
        <v>DEL5250</v>
      </c>
      <c r="I104" s="6">
        <v>67541</v>
      </c>
      <c r="J104" s="62">
        <v>45.635810810810803</v>
      </c>
      <c r="K104" s="62">
        <v>1480</v>
      </c>
      <c r="L104" s="62" t="s">
        <v>1545</v>
      </c>
      <c r="M104" s="100" t="s">
        <v>452</v>
      </c>
      <c r="N104" s="5" t="s">
        <v>464</v>
      </c>
      <c r="O104" s="34" t="s">
        <v>1546</v>
      </c>
      <c r="P104" s="5" t="s">
        <v>1467</v>
      </c>
      <c r="Q104" s="5" t="s">
        <v>1547</v>
      </c>
      <c r="R104" s="5" t="s">
        <v>1675</v>
      </c>
      <c r="S104" s="5" t="s">
        <v>1549</v>
      </c>
      <c r="T104" s="5" t="s">
        <v>445</v>
      </c>
    </row>
    <row r="105" spans="3:20" ht="14">
      <c r="C105" s="5" t="str">
        <f>+VLOOKUP(F105,Resumen_Base!$B$7:$F$69,5,0)</f>
        <v>Food &amp; Wine</v>
      </c>
      <c r="D105" s="214" t="s">
        <v>383</v>
      </c>
      <c r="E105" s="212" t="str">
        <f>+VLOOKUP(F105,Resumen_Base!$B$6:$F$69,5,0)</f>
        <v>Food &amp; Wine</v>
      </c>
      <c r="F105" s="36" t="s">
        <v>35</v>
      </c>
      <c r="G105" s="5" t="s">
        <v>34</v>
      </c>
      <c r="H105" s="5" t="str">
        <f t="shared" si="1"/>
        <v>DEL5250</v>
      </c>
      <c r="I105" s="6">
        <v>34780</v>
      </c>
      <c r="J105" s="62">
        <v>23.5</v>
      </c>
      <c r="K105" s="62">
        <v>1480</v>
      </c>
      <c r="L105" s="62" t="s">
        <v>1545</v>
      </c>
      <c r="M105" s="100" t="s">
        <v>452</v>
      </c>
      <c r="N105" s="5" t="s">
        <v>464</v>
      </c>
      <c r="O105" s="34" t="s">
        <v>1546</v>
      </c>
      <c r="P105" s="5" t="s">
        <v>1467</v>
      </c>
      <c r="Q105" s="5" t="s">
        <v>1547</v>
      </c>
      <c r="R105" s="5" t="s">
        <v>1676</v>
      </c>
      <c r="S105" s="5" t="s">
        <v>1549</v>
      </c>
      <c r="T105" s="5" t="s">
        <v>445</v>
      </c>
    </row>
    <row r="106" spans="3:20" ht="14">
      <c r="C106" s="5" t="str">
        <f>+VLOOKUP(F106,Resumen_Base!$B$7:$F$69,5,0)</f>
        <v>Food &amp; Wine</v>
      </c>
      <c r="D106" s="214" t="s">
        <v>383</v>
      </c>
      <c r="E106" s="212" t="str">
        <f>+VLOOKUP(F106,Resumen_Base!$B$6:$F$69,5,0)</f>
        <v>Food &amp; Wine</v>
      </c>
      <c r="F106" s="36" t="s">
        <v>35</v>
      </c>
      <c r="G106" s="5" t="s">
        <v>34</v>
      </c>
      <c r="H106" s="5" t="str">
        <f t="shared" si="1"/>
        <v>DEL5250</v>
      </c>
      <c r="I106" s="6">
        <v>181436</v>
      </c>
      <c r="J106" s="62">
        <v>122.591891891892</v>
      </c>
      <c r="K106" s="62">
        <v>1480</v>
      </c>
      <c r="L106" s="62" t="s">
        <v>1465</v>
      </c>
      <c r="M106" s="100" t="s">
        <v>452</v>
      </c>
      <c r="N106" s="5" t="s">
        <v>464</v>
      </c>
      <c r="O106" s="34" t="s">
        <v>1561</v>
      </c>
      <c r="P106" s="5" t="s">
        <v>1467</v>
      </c>
      <c r="Q106" s="5" t="s">
        <v>1562</v>
      </c>
      <c r="R106" s="5" t="s">
        <v>1676</v>
      </c>
      <c r="S106" s="5" t="s">
        <v>1564</v>
      </c>
      <c r="T106" s="5" t="s">
        <v>445</v>
      </c>
    </row>
    <row r="107" spans="3:20" ht="14">
      <c r="C107" s="5" t="str">
        <f>+VLOOKUP(F107,Resumen_Base!$B$7:$F$69,5,0)</f>
        <v>Food &amp; Wine</v>
      </c>
      <c r="D107" s="214" t="s">
        <v>383</v>
      </c>
      <c r="E107" s="212" t="str">
        <f>+VLOOKUP(F107,Resumen_Base!$B$6:$F$69,5,0)</f>
        <v>Food &amp; Wine</v>
      </c>
      <c r="F107" s="36" t="s">
        <v>35</v>
      </c>
      <c r="G107" s="5" t="s">
        <v>34</v>
      </c>
      <c r="H107" s="5" t="str">
        <f t="shared" si="1"/>
        <v>DEL5250</v>
      </c>
      <c r="I107" s="6">
        <v>10000</v>
      </c>
      <c r="J107" s="62">
        <v>6.8027210884353702</v>
      </c>
      <c r="K107" s="62">
        <v>1470</v>
      </c>
      <c r="L107" s="62" t="s">
        <v>1550</v>
      </c>
      <c r="M107" s="100" t="s">
        <v>452</v>
      </c>
      <c r="N107" s="5" t="s">
        <v>464</v>
      </c>
      <c r="O107" s="34" t="s">
        <v>1551</v>
      </c>
      <c r="P107" s="5" t="s">
        <v>597</v>
      </c>
      <c r="Q107" s="5" t="s">
        <v>1552</v>
      </c>
      <c r="R107" s="5" t="s">
        <v>763</v>
      </c>
      <c r="S107" s="5" t="s">
        <v>1554</v>
      </c>
      <c r="T107" s="5" t="s">
        <v>445</v>
      </c>
    </row>
    <row r="108" spans="3:20" ht="14">
      <c r="C108" s="5" t="str">
        <f>+VLOOKUP(F108,Resumen_Base!$B$7:$F$69,5,0)</f>
        <v>Food &amp; Wine</v>
      </c>
      <c r="D108" s="214" t="s">
        <v>383</v>
      </c>
      <c r="E108" s="212" t="str">
        <f>+VLOOKUP(F108,Resumen_Base!$B$6:$F$69,5,0)</f>
        <v>Food &amp; Wine</v>
      </c>
      <c r="F108" s="36" t="s">
        <v>35</v>
      </c>
      <c r="G108" s="5" t="s">
        <v>34</v>
      </c>
      <c r="H108" s="5" t="str">
        <f t="shared" si="1"/>
        <v>DEL5250</v>
      </c>
      <c r="I108" s="6">
        <v>344335</v>
      </c>
      <c r="J108" s="62">
        <v>234.241496598639</v>
      </c>
      <c r="K108" s="62">
        <v>1470</v>
      </c>
      <c r="L108" s="62" t="s">
        <v>1550</v>
      </c>
      <c r="M108" s="100" t="s">
        <v>452</v>
      </c>
      <c r="N108" s="5" t="s">
        <v>464</v>
      </c>
      <c r="O108" s="34" t="s">
        <v>1551</v>
      </c>
      <c r="P108" s="5" t="s">
        <v>597</v>
      </c>
      <c r="Q108" s="5" t="s">
        <v>1552</v>
      </c>
      <c r="R108" s="5" t="s">
        <v>763</v>
      </c>
      <c r="S108" s="5" t="s">
        <v>1554</v>
      </c>
      <c r="T108" s="5" t="s">
        <v>445</v>
      </c>
    </row>
    <row r="109" spans="3:20" ht="14">
      <c r="C109" s="5" t="str">
        <f>+VLOOKUP(F109,Resumen_Base!$B$7:$F$69,5,0)</f>
        <v>Food &amp; Wine</v>
      </c>
      <c r="D109" s="214" t="s">
        <v>383</v>
      </c>
      <c r="E109" s="212" t="str">
        <f>+VLOOKUP(F109,Resumen_Base!$B$6:$F$69,5,0)</f>
        <v>Food &amp; Wine</v>
      </c>
      <c r="F109" s="36" t="s">
        <v>35</v>
      </c>
      <c r="G109" s="5" t="s">
        <v>34</v>
      </c>
      <c r="H109" s="5" t="str">
        <f t="shared" si="1"/>
        <v>DEL5250</v>
      </c>
      <c r="I109" s="6">
        <v>33606</v>
      </c>
      <c r="J109" s="62">
        <v>22.861224489795902</v>
      </c>
      <c r="K109" s="62">
        <v>1470</v>
      </c>
      <c r="L109" s="62" t="s">
        <v>1550</v>
      </c>
      <c r="M109" s="100" t="s">
        <v>452</v>
      </c>
      <c r="N109" s="5" t="s">
        <v>464</v>
      </c>
      <c r="O109" s="34" t="s">
        <v>1551</v>
      </c>
      <c r="P109" s="5" t="s">
        <v>597</v>
      </c>
      <c r="Q109" s="5" t="s">
        <v>1552</v>
      </c>
      <c r="R109" s="5" t="s">
        <v>763</v>
      </c>
      <c r="S109" s="5" t="s">
        <v>1554</v>
      </c>
      <c r="T109" s="5" t="s">
        <v>445</v>
      </c>
    </row>
    <row r="110" spans="3:20" ht="14">
      <c r="C110" s="5" t="str">
        <f>+VLOOKUP(F110,Resumen_Base!$B$7:$F$69,5,0)</f>
        <v>Food &amp; Wine</v>
      </c>
      <c r="D110" s="214" t="s">
        <v>383</v>
      </c>
      <c r="E110" s="212" t="str">
        <f>+VLOOKUP(F110,Resumen_Base!$B$6:$F$69,5,0)</f>
        <v>Food &amp; Wine</v>
      </c>
      <c r="F110" s="36" t="s">
        <v>35</v>
      </c>
      <c r="G110" s="5" t="s">
        <v>34</v>
      </c>
      <c r="H110" s="5" t="str">
        <f t="shared" si="1"/>
        <v>DEL5250</v>
      </c>
      <c r="I110" s="6">
        <v>30357</v>
      </c>
      <c r="J110" s="62">
        <v>20.511486486486501</v>
      </c>
      <c r="K110" s="62">
        <v>1480</v>
      </c>
      <c r="L110" s="62" t="s">
        <v>1545</v>
      </c>
      <c r="M110" s="100" t="s">
        <v>452</v>
      </c>
      <c r="N110" s="5" t="s">
        <v>464</v>
      </c>
      <c r="O110" s="34" t="s">
        <v>1546</v>
      </c>
      <c r="P110" s="5" t="s">
        <v>1467</v>
      </c>
      <c r="Q110" s="5" t="s">
        <v>1547</v>
      </c>
      <c r="R110" s="5" t="s">
        <v>763</v>
      </c>
      <c r="S110" s="5" t="s">
        <v>1549</v>
      </c>
      <c r="T110" s="5" t="s">
        <v>445</v>
      </c>
    </row>
    <row r="111" spans="3:20" ht="14">
      <c r="C111" s="5" t="str">
        <f>+VLOOKUP(F111,Resumen_Base!$B$7:$F$69,5,0)</f>
        <v>Food &amp; Wine</v>
      </c>
      <c r="D111" s="214" t="s">
        <v>383</v>
      </c>
      <c r="E111" s="212" t="str">
        <f>+VLOOKUP(F111,Resumen_Base!$B$6:$F$69,5,0)</f>
        <v>Food &amp; Wine</v>
      </c>
      <c r="F111" s="36" t="s">
        <v>35</v>
      </c>
      <c r="G111" s="5" t="s">
        <v>34</v>
      </c>
      <c r="H111" s="5" t="str">
        <f t="shared" si="1"/>
        <v>DEL5250</v>
      </c>
      <c r="I111" s="6">
        <v>389292</v>
      </c>
      <c r="J111" s="62">
        <v>263.03513513513502</v>
      </c>
      <c r="K111" s="62">
        <v>1480</v>
      </c>
      <c r="L111" s="62" t="s">
        <v>1465</v>
      </c>
      <c r="M111" s="100" t="s">
        <v>452</v>
      </c>
      <c r="N111" s="5" t="s">
        <v>464</v>
      </c>
      <c r="O111" s="34" t="s">
        <v>1697</v>
      </c>
      <c r="P111" s="5" t="s">
        <v>1467</v>
      </c>
      <c r="Q111" s="5" t="s">
        <v>1698</v>
      </c>
      <c r="R111" s="5" t="s">
        <v>1715</v>
      </c>
      <c r="S111" s="5" t="s">
        <v>1700</v>
      </c>
      <c r="T111" s="5" t="s">
        <v>445</v>
      </c>
    </row>
    <row r="112" spans="3:20" ht="14">
      <c r="C112" s="5" t="str">
        <f>+VLOOKUP(F112,Resumen_Base!$B$7:$F$69,5,0)</f>
        <v>Food &amp; Wine</v>
      </c>
      <c r="D112" s="214" t="s">
        <v>383</v>
      </c>
      <c r="E112" s="212" t="str">
        <f>+VLOOKUP(F112,Resumen_Base!$B$6:$F$69,5,0)</f>
        <v>Food &amp; Wine</v>
      </c>
      <c r="F112" s="36" t="s">
        <v>35</v>
      </c>
      <c r="G112" s="5" t="s">
        <v>34</v>
      </c>
      <c r="H112" s="5" t="str">
        <f t="shared" si="1"/>
        <v>DEL5250</v>
      </c>
      <c r="I112" s="6">
        <v>1178921</v>
      </c>
      <c r="J112" s="62">
        <v>796.56824324324305</v>
      </c>
      <c r="K112" s="62">
        <v>1480</v>
      </c>
      <c r="L112" s="62" t="s">
        <v>1471</v>
      </c>
      <c r="M112" s="100" t="s">
        <v>452</v>
      </c>
      <c r="N112" s="5" t="s">
        <v>464</v>
      </c>
      <c r="O112" s="34" t="s">
        <v>1701</v>
      </c>
      <c r="P112" s="5" t="s">
        <v>1467</v>
      </c>
      <c r="Q112" s="5" t="s">
        <v>1702</v>
      </c>
      <c r="R112" s="5" t="s">
        <v>1716</v>
      </c>
      <c r="S112" s="5" t="s">
        <v>1704</v>
      </c>
      <c r="T112" s="5" t="s">
        <v>445</v>
      </c>
    </row>
    <row r="113" spans="1:20" ht="14">
      <c r="C113" s="5" t="str">
        <f>+VLOOKUP(F113,Resumen_Base!$B$7:$F$69,5,0)</f>
        <v>Food &amp; Wine</v>
      </c>
      <c r="D113" s="214" t="s">
        <v>383</v>
      </c>
      <c r="E113" s="212" t="str">
        <f>+VLOOKUP(F113,Resumen_Base!$B$6:$F$69,5,0)</f>
        <v>Food &amp; Wine</v>
      </c>
      <c r="F113" s="36" t="s">
        <v>35</v>
      </c>
      <c r="G113" s="5" t="s">
        <v>34</v>
      </c>
      <c r="H113" s="5" t="str">
        <f t="shared" si="1"/>
        <v>DEL5250</v>
      </c>
      <c r="I113" s="6">
        <v>1178921</v>
      </c>
      <c r="J113" s="62">
        <v>796.56824324324305</v>
      </c>
      <c r="K113" s="62">
        <v>1480</v>
      </c>
      <c r="L113" s="62" t="s">
        <v>1471</v>
      </c>
      <c r="M113" s="100" t="s">
        <v>452</v>
      </c>
      <c r="N113" s="5" t="s">
        <v>464</v>
      </c>
      <c r="O113" s="34" t="s">
        <v>1705</v>
      </c>
      <c r="P113" s="5" t="s">
        <v>1467</v>
      </c>
      <c r="Q113" s="5" t="s">
        <v>1706</v>
      </c>
      <c r="R113" s="5" t="s">
        <v>1716</v>
      </c>
      <c r="S113" s="5" t="s">
        <v>1707</v>
      </c>
      <c r="T113" s="5" t="s">
        <v>445</v>
      </c>
    </row>
    <row r="114" spans="1:20" ht="14">
      <c r="C114" s="5" t="str">
        <f>+VLOOKUP(F114,Resumen_Base!$B$7:$F$69,5,0)</f>
        <v>Food &amp; Wine</v>
      </c>
      <c r="D114" s="214" t="s">
        <v>383</v>
      </c>
      <c r="E114" s="212" t="str">
        <f>+VLOOKUP(F114,Resumen_Base!$B$6:$F$69,5,0)</f>
        <v>Food &amp; Wine</v>
      </c>
      <c r="F114" s="36" t="s">
        <v>35</v>
      </c>
      <c r="G114" s="5" t="s">
        <v>34</v>
      </c>
      <c r="H114" s="5" t="str">
        <f t="shared" si="1"/>
        <v>DEL5250</v>
      </c>
      <c r="I114" s="6">
        <v>-1178921</v>
      </c>
      <c r="J114" s="62">
        <v>-796.56824324324305</v>
      </c>
      <c r="K114" s="62">
        <v>1480</v>
      </c>
      <c r="L114" s="62" t="s">
        <v>1471</v>
      </c>
      <c r="M114" s="100" t="s">
        <v>452</v>
      </c>
      <c r="N114" s="5" t="s">
        <v>464</v>
      </c>
      <c r="O114" s="34" t="s">
        <v>1708</v>
      </c>
      <c r="P114" s="5" t="s">
        <v>1467</v>
      </c>
      <c r="Q114" s="5" t="s">
        <v>1709</v>
      </c>
      <c r="R114" s="5" t="s">
        <v>1716</v>
      </c>
      <c r="S114" s="5" t="s">
        <v>1710</v>
      </c>
      <c r="T114" s="5" t="s">
        <v>445</v>
      </c>
    </row>
    <row r="115" spans="1:20" ht="14">
      <c r="C115" s="5" t="str">
        <f>+VLOOKUP(F115,Resumen_Base!$B$7:$F$69,5,0)</f>
        <v>Food &amp; Wine</v>
      </c>
      <c r="D115" s="214" t="s">
        <v>383</v>
      </c>
      <c r="E115" s="212" t="str">
        <f>+VLOOKUP(F115,Resumen_Base!$B$6:$F$69,5,0)</f>
        <v>Food &amp; Wine</v>
      </c>
      <c r="F115" s="36" t="s">
        <v>35</v>
      </c>
      <c r="G115" s="5" t="s">
        <v>34</v>
      </c>
      <c r="H115" s="5" t="str">
        <f t="shared" si="1"/>
        <v>DEL5250</v>
      </c>
      <c r="I115" s="6">
        <v>74797</v>
      </c>
      <c r="J115" s="62">
        <v>50.5385135135135</v>
      </c>
      <c r="K115" s="62">
        <v>1480</v>
      </c>
      <c r="L115" s="62" t="s">
        <v>1717</v>
      </c>
      <c r="M115" s="100" t="s">
        <v>452</v>
      </c>
      <c r="N115" s="5" t="s">
        <v>464</v>
      </c>
      <c r="O115" s="34" t="s">
        <v>1718</v>
      </c>
      <c r="P115" s="5" t="s">
        <v>1467</v>
      </c>
      <c r="Q115" s="5" t="s">
        <v>1719</v>
      </c>
      <c r="R115" s="5" t="s">
        <v>1722</v>
      </c>
      <c r="S115" s="5" t="s">
        <v>1721</v>
      </c>
      <c r="T115" s="5" t="s">
        <v>445</v>
      </c>
    </row>
    <row r="116" spans="1:20" ht="14">
      <c r="C116" s="5" t="str">
        <f>+VLOOKUP(F116,Resumen_Base!$B$7:$F$69,5,0)</f>
        <v>Food &amp; Wine</v>
      </c>
      <c r="D116" s="214" t="s">
        <v>383</v>
      </c>
      <c r="E116" s="212" t="str">
        <f>+VLOOKUP(F116,Resumen_Base!$B$6:$F$69,5,0)</f>
        <v>Food &amp; Wine</v>
      </c>
      <c r="F116" s="36" t="s">
        <v>35</v>
      </c>
      <c r="G116" s="5" t="s">
        <v>34</v>
      </c>
      <c r="H116" s="5" t="str">
        <f t="shared" si="1"/>
        <v>DEL5250</v>
      </c>
      <c r="I116" s="6">
        <v>90538</v>
      </c>
      <c r="J116" s="62">
        <v>61.174324324324303</v>
      </c>
      <c r="K116" s="62">
        <v>1480</v>
      </c>
      <c r="L116" s="62" t="s">
        <v>1717</v>
      </c>
      <c r="M116" s="100" t="s">
        <v>452</v>
      </c>
      <c r="N116" s="5" t="s">
        <v>464</v>
      </c>
      <c r="O116" s="34" t="s">
        <v>1718</v>
      </c>
      <c r="P116" s="5" t="s">
        <v>1467</v>
      </c>
      <c r="Q116" s="5" t="s">
        <v>1719</v>
      </c>
      <c r="R116" s="5" t="s">
        <v>1723</v>
      </c>
      <c r="S116" s="5" t="s">
        <v>1721</v>
      </c>
      <c r="T116" s="5" t="s">
        <v>445</v>
      </c>
    </row>
    <row r="117" spans="1:20" ht="14">
      <c r="C117" s="5" t="str">
        <f>+VLOOKUP(F117,Resumen_Base!$B$7:$F$69,5,0)</f>
        <v>Food &amp; Wine</v>
      </c>
      <c r="D117" s="214" t="s">
        <v>383</v>
      </c>
      <c r="E117" s="212" t="str">
        <f>+VLOOKUP(F117,Resumen_Base!$B$6:$F$69,5,0)</f>
        <v>Food &amp; Wine</v>
      </c>
      <c r="F117" s="36" t="s">
        <v>35</v>
      </c>
      <c r="G117" s="5" t="s">
        <v>34</v>
      </c>
      <c r="H117" s="5" t="str">
        <f t="shared" si="1"/>
        <v>DEL5250</v>
      </c>
      <c r="I117" s="6">
        <v>64438.400000000001</v>
      </c>
      <c r="J117" s="62">
        <v>43.539459459459501</v>
      </c>
      <c r="K117" s="62">
        <v>1480</v>
      </c>
      <c r="L117" s="62" t="s">
        <v>1717</v>
      </c>
      <c r="M117" s="100" t="s">
        <v>452</v>
      </c>
      <c r="N117" s="5" t="s">
        <v>464</v>
      </c>
      <c r="O117" s="34" t="s">
        <v>1718</v>
      </c>
      <c r="P117" s="5" t="s">
        <v>1467</v>
      </c>
      <c r="Q117" s="5" t="s">
        <v>1719</v>
      </c>
      <c r="R117" s="5" t="s">
        <v>1724</v>
      </c>
      <c r="S117" s="5" t="s">
        <v>1721</v>
      </c>
      <c r="T117" s="5" t="s">
        <v>445</v>
      </c>
    </row>
    <row r="118" spans="1:20" ht="14">
      <c r="C118" s="5" t="str">
        <f>+VLOOKUP(F118,Resumen_Base!$B$7:$F$69,5,0)</f>
        <v>Food &amp; Wine</v>
      </c>
      <c r="D118" s="214" t="s">
        <v>383</v>
      </c>
      <c r="E118" s="212" t="str">
        <f>+VLOOKUP(F118,Resumen_Base!$B$6:$F$69,5,0)</f>
        <v>Food &amp; Wine</v>
      </c>
      <c r="F118" s="36" t="s">
        <v>35</v>
      </c>
      <c r="G118" s="5" t="s">
        <v>34</v>
      </c>
      <c r="H118" s="5" t="str">
        <f t="shared" si="1"/>
        <v>DEL5250</v>
      </c>
      <c r="I118" s="6">
        <v>59994</v>
      </c>
      <c r="J118" s="62">
        <v>40.812244897959197</v>
      </c>
      <c r="K118" s="62">
        <v>1470</v>
      </c>
      <c r="L118" s="62" t="s">
        <v>1521</v>
      </c>
      <c r="M118" s="100" t="s">
        <v>452</v>
      </c>
      <c r="N118" s="5" t="s">
        <v>464</v>
      </c>
      <c r="O118" s="34" t="s">
        <v>1692</v>
      </c>
      <c r="P118" s="5" t="s">
        <v>597</v>
      </c>
      <c r="Q118" s="5" t="s">
        <v>1693</v>
      </c>
      <c r="R118" s="5" t="s">
        <v>1725</v>
      </c>
      <c r="S118" s="5" t="s">
        <v>1695</v>
      </c>
      <c r="T118" s="5" t="s">
        <v>445</v>
      </c>
    </row>
    <row r="119" spans="1:20" ht="14">
      <c r="C119" s="5" t="str">
        <f>+VLOOKUP(F119,Resumen_Base!$B$7:$F$69,5,0)</f>
        <v>Food &amp; Wine</v>
      </c>
      <c r="D119" s="214" t="s">
        <v>383</v>
      </c>
      <c r="E119" s="212" t="str">
        <f>+VLOOKUP(F119,Resumen_Base!$B$6:$F$69,5,0)</f>
        <v>Food &amp; Wine</v>
      </c>
      <c r="F119" s="36" t="s">
        <v>35</v>
      </c>
      <c r="G119" s="5" t="s">
        <v>34</v>
      </c>
      <c r="H119" s="5" t="str">
        <f t="shared" si="1"/>
        <v>DEL5250</v>
      </c>
      <c r="I119" s="6">
        <v>225500</v>
      </c>
      <c r="J119" s="62">
        <v>152.36486486486501</v>
      </c>
      <c r="K119" s="62">
        <v>1480</v>
      </c>
      <c r="L119" s="62" t="s">
        <v>1471</v>
      </c>
      <c r="M119" s="100" t="s">
        <v>452</v>
      </c>
      <c r="N119" s="5" t="s">
        <v>464</v>
      </c>
      <c r="O119" s="34" t="s">
        <v>1701</v>
      </c>
      <c r="P119" s="5" t="s">
        <v>1467</v>
      </c>
      <c r="Q119" s="5" t="s">
        <v>1702</v>
      </c>
      <c r="R119" s="5" t="s">
        <v>1743</v>
      </c>
      <c r="S119" s="5" t="s">
        <v>1704</v>
      </c>
      <c r="T119" s="5" t="s">
        <v>445</v>
      </c>
    </row>
    <row r="120" spans="1:20" ht="14">
      <c r="C120" s="5" t="str">
        <f>+VLOOKUP(F120,Resumen_Base!$B$7:$F$69,5,0)</f>
        <v>Food &amp; Wine</v>
      </c>
      <c r="D120" s="214" t="s">
        <v>383</v>
      </c>
      <c r="E120" s="212" t="str">
        <f>+VLOOKUP(F120,Resumen_Base!$B$6:$F$69,5,0)</f>
        <v>Food &amp; Wine</v>
      </c>
      <c r="F120" s="36" t="s">
        <v>35</v>
      </c>
      <c r="G120" s="5" t="s">
        <v>34</v>
      </c>
      <c r="H120" s="5" t="str">
        <f t="shared" si="1"/>
        <v>DEL5250</v>
      </c>
      <c r="I120" s="6">
        <v>225500</v>
      </c>
      <c r="J120" s="62">
        <v>152.36486486486501</v>
      </c>
      <c r="K120" s="62">
        <v>1480</v>
      </c>
      <c r="L120" s="62" t="s">
        <v>1471</v>
      </c>
      <c r="M120" s="100" t="s">
        <v>452</v>
      </c>
      <c r="N120" s="5" t="s">
        <v>464</v>
      </c>
      <c r="O120" s="34" t="s">
        <v>1705</v>
      </c>
      <c r="P120" s="5" t="s">
        <v>1467</v>
      </c>
      <c r="Q120" s="5" t="s">
        <v>1706</v>
      </c>
      <c r="R120" s="5" t="s">
        <v>1743</v>
      </c>
      <c r="S120" s="5" t="s">
        <v>1707</v>
      </c>
      <c r="T120" s="5" t="s">
        <v>445</v>
      </c>
    </row>
    <row r="121" spans="1:20" ht="14">
      <c r="C121" s="5" t="str">
        <f>+VLOOKUP(F121,Resumen_Base!$B$7:$F$69,5,0)</f>
        <v>Food &amp; Wine</v>
      </c>
      <c r="D121" s="214" t="s">
        <v>383</v>
      </c>
      <c r="E121" s="212" t="str">
        <f>+VLOOKUP(F121,Resumen_Base!$B$6:$F$69,5,0)</f>
        <v>Food &amp; Wine</v>
      </c>
      <c r="F121" s="36" t="s">
        <v>35</v>
      </c>
      <c r="G121" s="5" t="s">
        <v>34</v>
      </c>
      <c r="H121" s="5" t="str">
        <f t="shared" si="1"/>
        <v>DEL5250</v>
      </c>
      <c r="I121" s="6">
        <v>-225500</v>
      </c>
      <c r="J121" s="62">
        <v>-152.36486486486501</v>
      </c>
      <c r="K121" s="62">
        <v>1480</v>
      </c>
      <c r="L121" s="62" t="s">
        <v>1471</v>
      </c>
      <c r="M121" s="100" t="s">
        <v>452</v>
      </c>
      <c r="N121" s="5" t="s">
        <v>464</v>
      </c>
      <c r="O121" s="34" t="s">
        <v>1708</v>
      </c>
      <c r="P121" s="5" t="s">
        <v>1467</v>
      </c>
      <c r="Q121" s="5" t="s">
        <v>1709</v>
      </c>
      <c r="R121" s="5" t="s">
        <v>1743</v>
      </c>
      <c r="S121" s="5" t="s">
        <v>1710</v>
      </c>
      <c r="T121" s="5" t="s">
        <v>445</v>
      </c>
    </row>
    <row r="122" spans="1:20" ht="14">
      <c r="C122" s="5" t="str">
        <f>+VLOOKUP(F122,Resumen_Base!$B$7:$F$69,5,0)</f>
        <v>Food &amp; Wine</v>
      </c>
      <c r="D122" s="214" t="s">
        <v>383</v>
      </c>
      <c r="E122" s="212" t="str">
        <f>+VLOOKUP(F122,Resumen_Base!$B$6:$F$69,5,0)</f>
        <v>Food &amp; Wine</v>
      </c>
      <c r="F122" s="36" t="s">
        <v>35</v>
      </c>
      <c r="G122" s="5" t="s">
        <v>34</v>
      </c>
      <c r="H122" s="5" t="str">
        <f t="shared" si="1"/>
        <v>DEL5250</v>
      </c>
      <c r="I122" s="6">
        <v>1000000</v>
      </c>
      <c r="J122" s="62">
        <v>680.27210884353701</v>
      </c>
      <c r="K122" s="62">
        <v>1470</v>
      </c>
      <c r="L122" s="62" t="s">
        <v>1521</v>
      </c>
      <c r="M122" s="100" t="s">
        <v>452</v>
      </c>
      <c r="N122" s="5" t="s">
        <v>464</v>
      </c>
      <c r="O122" s="34" t="s">
        <v>1692</v>
      </c>
      <c r="P122" s="5" t="s">
        <v>597</v>
      </c>
      <c r="Q122" s="5" t="s">
        <v>1693</v>
      </c>
      <c r="R122" s="5" t="s">
        <v>1746</v>
      </c>
      <c r="S122" s="5" t="s">
        <v>1695</v>
      </c>
      <c r="T122" s="5" t="s">
        <v>445</v>
      </c>
    </row>
    <row r="123" spans="1:20" s="318" customFormat="1" ht="14">
      <c r="A123" s="317"/>
      <c r="C123" s="318" t="str">
        <f>+VLOOKUP(F123,Resumen_Base!$B$7:$F$69,5,0)</f>
        <v>Food &amp; Wine</v>
      </c>
      <c r="D123" s="317" t="s">
        <v>383</v>
      </c>
      <c r="E123" s="335" t="str">
        <f>+VLOOKUP(F123,Resumen_Base!$B$6:$F$69,5,0)</f>
        <v>Food &amp; Wine</v>
      </c>
      <c r="F123" s="318" t="s">
        <v>35</v>
      </c>
      <c r="G123" s="318" t="s">
        <v>34</v>
      </c>
      <c r="H123" s="318" t="str">
        <f t="shared" si="1"/>
        <v>DEL5250</v>
      </c>
      <c r="I123" s="320">
        <v>2000000</v>
      </c>
      <c r="J123" s="321">
        <v>1351.3513513513501</v>
      </c>
      <c r="K123" s="321">
        <v>1480</v>
      </c>
      <c r="L123" s="321" t="s">
        <v>1471</v>
      </c>
      <c r="M123" s="322" t="s">
        <v>452</v>
      </c>
      <c r="N123" s="318" t="s">
        <v>464</v>
      </c>
      <c r="O123" s="63" t="s">
        <v>1701</v>
      </c>
      <c r="P123" s="318" t="s">
        <v>1467</v>
      </c>
      <c r="Q123" s="318" t="s">
        <v>1702</v>
      </c>
      <c r="R123" s="318" t="s">
        <v>1747</v>
      </c>
      <c r="S123" s="318" t="s">
        <v>1704</v>
      </c>
      <c r="T123" s="318" t="s">
        <v>445</v>
      </c>
    </row>
    <row r="124" spans="1:20" s="318" customFormat="1" ht="14">
      <c r="A124" s="317"/>
      <c r="C124" s="318" t="str">
        <f>+VLOOKUP(F124,Resumen_Base!$B$7:$F$69,5,0)</f>
        <v>Food &amp; Wine</v>
      </c>
      <c r="D124" s="317" t="s">
        <v>383</v>
      </c>
      <c r="E124" s="335" t="str">
        <f>+VLOOKUP(F124,Resumen_Base!$B$6:$F$69,5,0)</f>
        <v>Food &amp; Wine</v>
      </c>
      <c r="F124" s="318" t="s">
        <v>35</v>
      </c>
      <c r="G124" s="318" t="s">
        <v>34</v>
      </c>
      <c r="H124" s="318" t="str">
        <f t="shared" si="1"/>
        <v>DEL5250</v>
      </c>
      <c r="I124" s="320">
        <v>2000000</v>
      </c>
      <c r="J124" s="321">
        <v>1351.3513513513501</v>
      </c>
      <c r="K124" s="321">
        <v>1480</v>
      </c>
      <c r="L124" s="321" t="s">
        <v>1471</v>
      </c>
      <c r="M124" s="322" t="s">
        <v>452</v>
      </c>
      <c r="N124" s="318" t="s">
        <v>464</v>
      </c>
      <c r="O124" s="63" t="s">
        <v>1705</v>
      </c>
      <c r="P124" s="318" t="s">
        <v>1467</v>
      </c>
      <c r="Q124" s="318" t="s">
        <v>1706</v>
      </c>
      <c r="R124" s="318" t="s">
        <v>1747</v>
      </c>
      <c r="S124" s="318" t="s">
        <v>1707</v>
      </c>
      <c r="T124" s="318" t="s">
        <v>445</v>
      </c>
    </row>
    <row r="125" spans="1:20" s="318" customFormat="1" ht="14">
      <c r="A125" s="317"/>
      <c r="C125" s="318" t="str">
        <f>+VLOOKUP(F125,Resumen_Base!$B$7:$F$69,5,0)</f>
        <v>Food &amp; Wine</v>
      </c>
      <c r="D125" s="317" t="s">
        <v>383</v>
      </c>
      <c r="E125" s="335" t="str">
        <f>+VLOOKUP(F125,Resumen_Base!$B$6:$F$69,5,0)</f>
        <v>Food &amp; Wine</v>
      </c>
      <c r="F125" s="318" t="s">
        <v>35</v>
      </c>
      <c r="G125" s="318" t="s">
        <v>34</v>
      </c>
      <c r="H125" s="318" t="str">
        <f t="shared" si="1"/>
        <v>DEL5250</v>
      </c>
      <c r="I125" s="320">
        <v>-2000000</v>
      </c>
      <c r="J125" s="321">
        <v>-1351.3513513513501</v>
      </c>
      <c r="K125" s="321">
        <v>1480</v>
      </c>
      <c r="L125" s="321" t="s">
        <v>1471</v>
      </c>
      <c r="M125" s="322" t="s">
        <v>452</v>
      </c>
      <c r="N125" s="318" t="s">
        <v>464</v>
      </c>
      <c r="O125" s="63" t="s">
        <v>1708</v>
      </c>
      <c r="P125" s="318" t="s">
        <v>1467</v>
      </c>
      <c r="Q125" s="318" t="s">
        <v>1709</v>
      </c>
      <c r="R125" s="318" t="s">
        <v>1747</v>
      </c>
      <c r="S125" s="318" t="s">
        <v>1710</v>
      </c>
      <c r="T125" s="318" t="s">
        <v>445</v>
      </c>
    </row>
    <row r="126" spans="1:20" ht="14">
      <c r="C126" s="5" t="str">
        <f>+VLOOKUP(F126,Resumen_Base!$B$7:$F$69,5,0)</f>
        <v>Food &amp; Wine</v>
      </c>
      <c r="D126" s="214" t="s">
        <v>383</v>
      </c>
      <c r="E126" s="212" t="str">
        <f>+VLOOKUP(F126,Resumen_Base!$B$6:$F$69,5,0)</f>
        <v>Food &amp; Wine</v>
      </c>
      <c r="F126" s="36" t="s">
        <v>33</v>
      </c>
      <c r="G126" s="5" t="s">
        <v>32</v>
      </c>
      <c r="H126" s="5" t="str">
        <f t="shared" si="1"/>
        <v>DEL5251</v>
      </c>
      <c r="I126" s="6">
        <v>52051</v>
      </c>
      <c r="J126" s="62">
        <v>35.169594594594599</v>
      </c>
      <c r="K126" s="62">
        <v>1480</v>
      </c>
      <c r="L126" s="62" t="s">
        <v>1545</v>
      </c>
      <c r="M126" s="100" t="s">
        <v>452</v>
      </c>
      <c r="N126" s="5" t="s">
        <v>464</v>
      </c>
      <c r="O126" s="34" t="s">
        <v>1546</v>
      </c>
      <c r="P126" s="5" t="s">
        <v>1467</v>
      </c>
      <c r="Q126" s="5" t="s">
        <v>1547</v>
      </c>
      <c r="R126" s="5" t="s">
        <v>1578</v>
      </c>
      <c r="S126" s="5" t="s">
        <v>1549</v>
      </c>
      <c r="T126" s="5" t="s">
        <v>445</v>
      </c>
    </row>
    <row r="127" spans="1:20" ht="14">
      <c r="C127" s="5" t="str">
        <f>+VLOOKUP(F127,Resumen_Base!$B$7:$F$69,5,0)</f>
        <v>Food &amp; Wine</v>
      </c>
      <c r="D127" s="214" t="s">
        <v>383</v>
      </c>
      <c r="E127" s="212" t="str">
        <f>+VLOOKUP(F127,Resumen_Base!$B$6:$F$69,5,0)</f>
        <v>Food &amp; Wine</v>
      </c>
      <c r="F127" s="36" t="s">
        <v>33</v>
      </c>
      <c r="G127" s="5" t="s">
        <v>32</v>
      </c>
      <c r="H127" s="5" t="str">
        <f t="shared" si="1"/>
        <v>DEL5251</v>
      </c>
      <c r="I127" s="6">
        <v>22400</v>
      </c>
      <c r="J127" s="62">
        <v>15.1351351351351</v>
      </c>
      <c r="K127" s="62">
        <v>1480</v>
      </c>
      <c r="L127" s="62" t="s">
        <v>1465</v>
      </c>
      <c r="M127" s="100" t="s">
        <v>452</v>
      </c>
      <c r="N127" s="5" t="s">
        <v>464</v>
      </c>
      <c r="O127" s="34" t="s">
        <v>1561</v>
      </c>
      <c r="P127" s="5" t="s">
        <v>1467</v>
      </c>
      <c r="Q127" s="5" t="s">
        <v>1562</v>
      </c>
      <c r="R127" s="5" t="s">
        <v>1581</v>
      </c>
      <c r="S127" s="5" t="s">
        <v>1564</v>
      </c>
      <c r="T127" s="5" t="s">
        <v>445</v>
      </c>
    </row>
    <row r="128" spans="1:20" ht="14">
      <c r="C128" s="5" t="str">
        <f>+VLOOKUP(F128,Resumen_Base!$B$7:$F$69,5,0)</f>
        <v>Maintenance Lodge</v>
      </c>
      <c r="D128" s="214" t="s">
        <v>383</v>
      </c>
      <c r="E128" s="212" t="str">
        <f>+VLOOKUP(F128,Resumen_Base!$B$6:$F$69,5,0)</f>
        <v>Maintenance Lodge</v>
      </c>
      <c r="F128" s="36" t="s">
        <v>31</v>
      </c>
      <c r="G128" s="5" t="s">
        <v>30</v>
      </c>
      <c r="H128" s="5" t="str">
        <f t="shared" si="1"/>
        <v>DEL5252</v>
      </c>
      <c r="I128" s="6">
        <v>36400</v>
      </c>
      <c r="J128" s="62">
        <v>24.761904761904798</v>
      </c>
      <c r="K128" s="62">
        <v>1470</v>
      </c>
      <c r="L128" s="62" t="s">
        <v>1550</v>
      </c>
      <c r="M128" s="100" t="s">
        <v>452</v>
      </c>
      <c r="N128" s="5" t="s">
        <v>464</v>
      </c>
      <c r="O128" s="34" t="s">
        <v>1551</v>
      </c>
      <c r="P128" s="5" t="s">
        <v>597</v>
      </c>
      <c r="Q128" s="5" t="s">
        <v>1552</v>
      </c>
      <c r="R128" s="5" t="s">
        <v>1553</v>
      </c>
      <c r="S128" s="5" t="s">
        <v>1554</v>
      </c>
      <c r="T128" s="5" t="s">
        <v>445</v>
      </c>
    </row>
    <row r="129" spans="1:20" ht="14">
      <c r="C129" s="5" t="str">
        <f>+VLOOKUP(F129,Resumen_Base!$B$7:$F$69,5,0)</f>
        <v>Maintenance Lodge</v>
      </c>
      <c r="D129" s="214" t="s">
        <v>383</v>
      </c>
      <c r="E129" s="212" t="str">
        <f>+VLOOKUP(F129,Resumen_Base!$B$6:$F$69,5,0)</f>
        <v>Maintenance Lodge</v>
      </c>
      <c r="F129" s="36" t="s">
        <v>31</v>
      </c>
      <c r="G129" s="5" t="s">
        <v>30</v>
      </c>
      <c r="H129" s="5" t="str">
        <f t="shared" si="1"/>
        <v>DEL5252</v>
      </c>
      <c r="I129" s="6">
        <v>50000</v>
      </c>
      <c r="J129" s="62">
        <v>34.013605442176903</v>
      </c>
      <c r="K129" s="62">
        <v>1470</v>
      </c>
      <c r="L129" s="62" t="s">
        <v>1550</v>
      </c>
      <c r="M129" s="100" t="s">
        <v>452</v>
      </c>
      <c r="N129" s="5" t="s">
        <v>464</v>
      </c>
      <c r="O129" s="34" t="s">
        <v>1551</v>
      </c>
      <c r="P129" s="5" t="s">
        <v>597</v>
      </c>
      <c r="Q129" s="5" t="s">
        <v>1552</v>
      </c>
      <c r="R129" s="5" t="s">
        <v>1556</v>
      </c>
      <c r="S129" s="5" t="s">
        <v>1554</v>
      </c>
      <c r="T129" s="5" t="s">
        <v>445</v>
      </c>
    </row>
    <row r="130" spans="1:20" ht="14">
      <c r="C130" s="5" t="str">
        <f>+VLOOKUP(F130,Resumen_Base!$B$7:$F$69,5,0)</f>
        <v>Maintenance Lodge</v>
      </c>
      <c r="D130" s="214" t="s">
        <v>383</v>
      </c>
      <c r="E130" s="212" t="str">
        <f>+VLOOKUP(F130,Resumen_Base!$B$6:$F$69,5,0)</f>
        <v>Maintenance Lodge</v>
      </c>
      <c r="F130" s="36" t="s">
        <v>31</v>
      </c>
      <c r="G130" s="5" t="s">
        <v>30</v>
      </c>
      <c r="H130" s="5" t="str">
        <f t="shared" si="1"/>
        <v>DEL5252</v>
      </c>
      <c r="I130" s="6">
        <v>49000</v>
      </c>
      <c r="J130" s="62">
        <v>33.3333333333333</v>
      </c>
      <c r="K130" s="62">
        <v>1470</v>
      </c>
      <c r="L130" s="62" t="s">
        <v>1550</v>
      </c>
      <c r="M130" s="100" t="s">
        <v>452</v>
      </c>
      <c r="N130" s="5" t="s">
        <v>464</v>
      </c>
      <c r="O130" s="34" t="s">
        <v>1551</v>
      </c>
      <c r="P130" s="5" t="s">
        <v>597</v>
      </c>
      <c r="Q130" s="5" t="s">
        <v>1552</v>
      </c>
      <c r="R130" s="5" t="s">
        <v>1557</v>
      </c>
      <c r="S130" s="5" t="s">
        <v>1554</v>
      </c>
      <c r="T130" s="5" t="s">
        <v>445</v>
      </c>
    </row>
    <row r="131" spans="1:20" ht="14">
      <c r="C131" s="5" t="str">
        <f>+VLOOKUP(F131,Resumen_Base!$B$7:$F$69,5,0)</f>
        <v>Maintenance Lodge</v>
      </c>
      <c r="D131" s="214" t="s">
        <v>383</v>
      </c>
      <c r="E131" s="212" t="str">
        <f>+VLOOKUP(F131,Resumen_Base!$B$6:$F$69,5,0)</f>
        <v>Maintenance Lodge</v>
      </c>
      <c r="F131" s="36" t="s">
        <v>31</v>
      </c>
      <c r="G131" s="5" t="s">
        <v>30</v>
      </c>
      <c r="H131" s="5" t="str">
        <f t="shared" si="1"/>
        <v>DEL5252</v>
      </c>
      <c r="I131" s="6">
        <v>15000</v>
      </c>
      <c r="J131" s="62">
        <v>10.1351351351351</v>
      </c>
      <c r="K131" s="62">
        <v>1480</v>
      </c>
      <c r="L131" s="62" t="s">
        <v>1545</v>
      </c>
      <c r="M131" s="100" t="s">
        <v>452</v>
      </c>
      <c r="N131" s="5" t="s">
        <v>464</v>
      </c>
      <c r="O131" s="34" t="s">
        <v>1546</v>
      </c>
      <c r="P131" s="5" t="s">
        <v>1467</v>
      </c>
      <c r="Q131" s="5" t="s">
        <v>1547</v>
      </c>
      <c r="R131" s="5" t="s">
        <v>1560</v>
      </c>
      <c r="S131" s="5" t="s">
        <v>1549</v>
      </c>
      <c r="T131" s="5" t="s">
        <v>445</v>
      </c>
    </row>
    <row r="132" spans="1:20" ht="14">
      <c r="C132" s="5" t="str">
        <f>+VLOOKUP(F132,Resumen_Base!$B$7:$F$69,5,0)</f>
        <v>Maintenance Lodge</v>
      </c>
      <c r="D132" s="214" t="s">
        <v>383</v>
      </c>
      <c r="E132" s="212" t="str">
        <f>+VLOOKUP(F132,Resumen_Base!$B$6:$F$69,5,0)</f>
        <v>Maintenance Lodge</v>
      </c>
      <c r="F132" s="36" t="s">
        <v>31</v>
      </c>
      <c r="G132" s="5" t="s">
        <v>30</v>
      </c>
      <c r="H132" s="5" t="str">
        <f t="shared" si="1"/>
        <v>DEL5252</v>
      </c>
      <c r="I132" s="6">
        <v>80000</v>
      </c>
      <c r="J132" s="62">
        <v>54.054054054054099</v>
      </c>
      <c r="K132" s="62">
        <v>1480</v>
      </c>
      <c r="L132" s="62" t="s">
        <v>1545</v>
      </c>
      <c r="M132" s="100" t="s">
        <v>452</v>
      </c>
      <c r="N132" s="5" t="s">
        <v>464</v>
      </c>
      <c r="O132" s="34" t="s">
        <v>1546</v>
      </c>
      <c r="P132" s="5" t="s">
        <v>1467</v>
      </c>
      <c r="Q132" s="5" t="s">
        <v>1547</v>
      </c>
      <c r="R132" s="5" t="s">
        <v>1573</v>
      </c>
      <c r="S132" s="5" t="s">
        <v>1549</v>
      </c>
      <c r="T132" s="5" t="s">
        <v>445</v>
      </c>
    </row>
    <row r="133" spans="1:20" ht="14">
      <c r="C133" s="5" t="str">
        <f>+VLOOKUP(F133,Resumen_Base!$B$7:$F$69,5,0)</f>
        <v>Maintenance Lodge</v>
      </c>
      <c r="D133" s="214" t="s">
        <v>383</v>
      </c>
      <c r="E133" s="212" t="str">
        <f>+VLOOKUP(F133,Resumen_Base!$B$6:$F$69,5,0)</f>
        <v>Maintenance Lodge</v>
      </c>
      <c r="F133" s="36" t="s">
        <v>31</v>
      </c>
      <c r="G133" s="5" t="s">
        <v>30</v>
      </c>
      <c r="H133" s="5" t="str">
        <f t="shared" si="1"/>
        <v>DEL5252</v>
      </c>
      <c r="I133" s="6">
        <v>10584</v>
      </c>
      <c r="J133" s="62">
        <v>7.1513513513513498</v>
      </c>
      <c r="K133" s="62">
        <v>1480</v>
      </c>
      <c r="L133" s="62" t="s">
        <v>1545</v>
      </c>
      <c r="M133" s="100" t="s">
        <v>452</v>
      </c>
      <c r="N133" s="5" t="s">
        <v>464</v>
      </c>
      <c r="O133" s="34" t="s">
        <v>1546</v>
      </c>
      <c r="P133" s="5" t="s">
        <v>1467</v>
      </c>
      <c r="Q133" s="5" t="s">
        <v>1547</v>
      </c>
      <c r="R133" s="5" t="s">
        <v>1574</v>
      </c>
      <c r="S133" s="5" t="s">
        <v>1549</v>
      </c>
      <c r="T133" s="5" t="s">
        <v>445</v>
      </c>
    </row>
    <row r="134" spans="1:20">
      <c r="C134" s="5" t="str">
        <f>+VLOOKUP(F134,Resumen_Base!$B$7:$F$69,5,0)</f>
        <v>Maintenance Lodge</v>
      </c>
      <c r="D134" s="214" t="s">
        <v>383</v>
      </c>
      <c r="E134" s="212" t="str">
        <f>+VLOOKUP(F134,Resumen_Base!$B$6:$F$69,5,0)</f>
        <v>Maintenance Lodge</v>
      </c>
      <c r="F134" s="36" t="s">
        <v>31</v>
      </c>
      <c r="G134" s="5" t="s">
        <v>30</v>
      </c>
      <c r="H134" s="5" t="str">
        <f t="shared" si="1"/>
        <v>DEL5252</v>
      </c>
      <c r="I134" s="6">
        <v>27936</v>
      </c>
      <c r="J134" s="62">
        <v>18.875675675675701</v>
      </c>
      <c r="K134" s="62">
        <v>1480</v>
      </c>
      <c r="L134" s="62" t="s">
        <v>1545</v>
      </c>
      <c r="M134" s="100" t="s">
        <v>452</v>
      </c>
      <c r="N134" s="5" t="s">
        <v>464</v>
      </c>
      <c r="O134" s="34" t="s">
        <v>1546</v>
      </c>
      <c r="P134" s="5" t="s">
        <v>1467</v>
      </c>
      <c r="Q134" s="5" t="s">
        <v>1547</v>
      </c>
      <c r="R134" s="5" t="s">
        <v>1575</v>
      </c>
      <c r="S134" s="5" t="s">
        <v>1549</v>
      </c>
      <c r="T134" s="5" t="s">
        <v>445</v>
      </c>
    </row>
    <row r="135" spans="1:20">
      <c r="C135" s="5" t="str">
        <f>+VLOOKUP(F135,Resumen_Base!$B$7:$F$69,5,0)</f>
        <v>Maintenance Lodge</v>
      </c>
      <c r="D135" s="214" t="s">
        <v>383</v>
      </c>
      <c r="E135" s="212" t="str">
        <f>+VLOOKUP(F135,Resumen_Base!$B$6:$F$69,5,0)</f>
        <v>Maintenance Lodge</v>
      </c>
      <c r="F135" s="36" t="s">
        <v>31</v>
      </c>
      <c r="G135" s="5" t="s">
        <v>30</v>
      </c>
      <c r="H135" s="5" t="str">
        <f t="shared" si="1"/>
        <v>DEL5252</v>
      </c>
      <c r="I135" s="6">
        <v>43700</v>
      </c>
      <c r="J135" s="62">
        <v>29.527027027027</v>
      </c>
      <c r="K135" s="62">
        <v>1480</v>
      </c>
      <c r="L135" s="62" t="s">
        <v>1545</v>
      </c>
      <c r="M135" s="100" t="s">
        <v>452</v>
      </c>
      <c r="N135" s="5" t="s">
        <v>464</v>
      </c>
      <c r="O135" s="34" t="s">
        <v>1546</v>
      </c>
      <c r="P135" s="5" t="s">
        <v>1467</v>
      </c>
      <c r="Q135" s="5" t="s">
        <v>1547</v>
      </c>
      <c r="R135" s="5" t="s">
        <v>1576</v>
      </c>
      <c r="S135" s="5" t="s">
        <v>1549</v>
      </c>
      <c r="T135" s="5" t="s">
        <v>445</v>
      </c>
    </row>
    <row r="136" spans="1:20">
      <c r="A136" s="336">
        <v>5219</v>
      </c>
      <c r="B136" s="5">
        <v>5252</v>
      </c>
      <c r="C136" s="5" t="str">
        <f>+VLOOKUP(F136,Resumen_Base!$B$7:$F$69,5,0)</f>
        <v>Miscellaneous &amp; Shipping</v>
      </c>
      <c r="D136" s="214" t="s">
        <v>383</v>
      </c>
      <c r="E136" s="212" t="str">
        <f>+VLOOKUP(F136,Resumen_Base!$B$6:$F$69,5,0)</f>
        <v>Miscellaneous &amp; Shipping</v>
      </c>
      <c r="F136" s="3" t="s">
        <v>54</v>
      </c>
      <c r="G136" t="s">
        <v>55</v>
      </c>
      <c r="H136" s="5" t="str">
        <f t="shared" si="1"/>
        <v>DEL5219</v>
      </c>
      <c r="I136" s="6">
        <v>18100</v>
      </c>
      <c r="J136" s="62">
        <v>12.312925170068</v>
      </c>
      <c r="K136" s="62">
        <v>1470</v>
      </c>
      <c r="L136" s="62" t="s">
        <v>1550</v>
      </c>
      <c r="M136" s="100" t="s">
        <v>452</v>
      </c>
      <c r="N136" s="5" t="s">
        <v>464</v>
      </c>
      <c r="O136" s="34" t="s">
        <v>1551</v>
      </c>
      <c r="P136" s="5" t="s">
        <v>597</v>
      </c>
      <c r="Q136" s="5" t="s">
        <v>1552</v>
      </c>
      <c r="R136" s="5" t="s">
        <v>1577</v>
      </c>
      <c r="S136" s="5" t="s">
        <v>1554</v>
      </c>
      <c r="T136" s="5" t="s">
        <v>445</v>
      </c>
    </row>
    <row r="137" spans="1:20">
      <c r="A137" s="336">
        <v>5219</v>
      </c>
      <c r="B137" s="5">
        <v>5252</v>
      </c>
      <c r="C137" s="5" t="str">
        <f>+VLOOKUP(F137,Resumen_Base!$B$7:$F$69,5,0)</f>
        <v>Miscellaneous &amp; Shipping</v>
      </c>
      <c r="D137" s="214" t="s">
        <v>383</v>
      </c>
      <c r="E137" s="212" t="str">
        <f>+VLOOKUP(F137,Resumen_Base!$B$6:$F$69,5,0)</f>
        <v>Miscellaneous &amp; Shipping</v>
      </c>
      <c r="F137" s="3" t="s">
        <v>54</v>
      </c>
      <c r="G137" t="s">
        <v>55</v>
      </c>
      <c r="H137" s="5" t="str">
        <f t="shared" si="1"/>
        <v>DEL5219</v>
      </c>
      <c r="I137" s="6">
        <v>64440</v>
      </c>
      <c r="J137" s="62">
        <v>43.540540540540498</v>
      </c>
      <c r="K137" s="62">
        <v>1480</v>
      </c>
      <c r="L137" s="62" t="s">
        <v>1545</v>
      </c>
      <c r="M137" s="100" t="s">
        <v>452</v>
      </c>
      <c r="N137" s="5" t="s">
        <v>464</v>
      </c>
      <c r="O137" s="34" t="s">
        <v>1546</v>
      </c>
      <c r="P137" s="5" t="s">
        <v>1467</v>
      </c>
      <c r="Q137" s="5" t="s">
        <v>1547</v>
      </c>
      <c r="R137" s="5" t="s">
        <v>1577</v>
      </c>
      <c r="S137" s="5" t="s">
        <v>1549</v>
      </c>
      <c r="T137" s="5" t="s">
        <v>445</v>
      </c>
    </row>
    <row r="138" spans="1:20">
      <c r="C138" s="5" t="str">
        <f>+VLOOKUP(F138,Resumen_Base!$B$7:$F$69,5,0)</f>
        <v>Maintenance Lodge</v>
      </c>
      <c r="D138" s="214" t="s">
        <v>383</v>
      </c>
      <c r="E138" s="212" t="str">
        <f>+VLOOKUP(F138,Resumen_Base!$B$6:$F$69,5,0)</f>
        <v>Maintenance Lodge</v>
      </c>
      <c r="F138" s="36" t="s">
        <v>31</v>
      </c>
      <c r="G138" s="5" t="s">
        <v>30</v>
      </c>
      <c r="H138" s="5" t="str">
        <f t="shared" si="1"/>
        <v>DEL5252</v>
      </c>
      <c r="I138" s="6">
        <v>12420</v>
      </c>
      <c r="J138" s="62">
        <v>8.3918918918918894</v>
      </c>
      <c r="K138" s="62">
        <v>1480</v>
      </c>
      <c r="L138" s="62" t="s">
        <v>1545</v>
      </c>
      <c r="M138" s="100" t="s">
        <v>452</v>
      </c>
      <c r="N138" s="5" t="s">
        <v>464</v>
      </c>
      <c r="O138" s="34" t="s">
        <v>1546</v>
      </c>
      <c r="P138" s="5" t="s">
        <v>1467</v>
      </c>
      <c r="Q138" s="5" t="s">
        <v>1547</v>
      </c>
      <c r="R138" s="5" t="s">
        <v>1589</v>
      </c>
      <c r="S138" s="5" t="s">
        <v>1549</v>
      </c>
      <c r="T138" s="5" t="s">
        <v>445</v>
      </c>
    </row>
    <row r="139" spans="1:20">
      <c r="C139" s="5" t="str">
        <f>+VLOOKUP(F139,Resumen_Base!$B$7:$F$69,5,0)</f>
        <v>Maintenance Lodge</v>
      </c>
      <c r="D139" s="214" t="s">
        <v>383</v>
      </c>
      <c r="E139" s="212" t="str">
        <f>+VLOOKUP(F139,Resumen_Base!$B$6:$F$69,5,0)</f>
        <v>Maintenance Lodge</v>
      </c>
      <c r="F139" s="36" t="s">
        <v>31</v>
      </c>
      <c r="G139" s="5" t="s">
        <v>30</v>
      </c>
      <c r="H139" s="5" t="str">
        <f t="shared" ref="H139:H202" si="2">+D139&amp;F139</f>
        <v>DEL5252</v>
      </c>
      <c r="I139" s="6">
        <v>102200</v>
      </c>
      <c r="J139" s="62">
        <v>69.054054054054006</v>
      </c>
      <c r="K139" s="62">
        <v>1480</v>
      </c>
      <c r="L139" s="62" t="s">
        <v>1545</v>
      </c>
      <c r="M139" s="100" t="s">
        <v>452</v>
      </c>
      <c r="N139" s="5" t="s">
        <v>464</v>
      </c>
      <c r="O139" s="34" t="s">
        <v>1546</v>
      </c>
      <c r="P139" s="5" t="s">
        <v>1467</v>
      </c>
      <c r="Q139" s="5" t="s">
        <v>1547</v>
      </c>
      <c r="R139" s="5" t="s">
        <v>1593</v>
      </c>
      <c r="S139" s="5" t="s">
        <v>1549</v>
      </c>
      <c r="T139" s="5" t="s">
        <v>445</v>
      </c>
    </row>
    <row r="140" spans="1:20">
      <c r="C140" s="5" t="str">
        <f>+VLOOKUP(F140,Resumen_Base!$B$7:$F$69,5,0)</f>
        <v>Maintenance Lodge</v>
      </c>
      <c r="D140" s="214" t="s">
        <v>383</v>
      </c>
      <c r="E140" s="212" t="str">
        <f>+VLOOKUP(F140,Resumen_Base!$B$6:$F$69,5,0)</f>
        <v>Maintenance Lodge</v>
      </c>
      <c r="F140" s="36" t="s">
        <v>31</v>
      </c>
      <c r="G140" s="5" t="s">
        <v>30</v>
      </c>
      <c r="H140" s="5" t="str">
        <f t="shared" si="2"/>
        <v>DEL5252</v>
      </c>
      <c r="I140" s="6">
        <v>4000</v>
      </c>
      <c r="J140" s="62">
        <v>2.72108843537415</v>
      </c>
      <c r="K140" s="62">
        <v>1470</v>
      </c>
      <c r="L140" s="62" t="s">
        <v>1550</v>
      </c>
      <c r="M140" s="100" t="s">
        <v>452</v>
      </c>
      <c r="N140" s="5" t="s">
        <v>464</v>
      </c>
      <c r="O140" s="34" t="s">
        <v>1551</v>
      </c>
      <c r="P140" s="5" t="s">
        <v>597</v>
      </c>
      <c r="Q140" s="5" t="s">
        <v>1552</v>
      </c>
      <c r="R140" s="5" t="s">
        <v>641</v>
      </c>
      <c r="S140" s="5" t="s">
        <v>1554</v>
      </c>
      <c r="T140" s="5" t="s">
        <v>445</v>
      </c>
    </row>
    <row r="141" spans="1:20">
      <c r="C141" s="5" t="str">
        <f>+VLOOKUP(F141,Resumen_Base!$B$7:$F$69,5,0)</f>
        <v>Maintenance Lodge</v>
      </c>
      <c r="D141" s="214" t="s">
        <v>383</v>
      </c>
      <c r="E141" s="212" t="str">
        <f>+VLOOKUP(F141,Resumen_Base!$B$6:$F$69,5,0)</f>
        <v>Maintenance Lodge</v>
      </c>
      <c r="F141" s="36" t="s">
        <v>31</v>
      </c>
      <c r="G141" s="5" t="s">
        <v>30</v>
      </c>
      <c r="H141" s="5" t="str">
        <f t="shared" si="2"/>
        <v>DEL5252</v>
      </c>
      <c r="I141" s="6">
        <v>34000</v>
      </c>
      <c r="J141" s="62">
        <v>23.1292517006803</v>
      </c>
      <c r="K141" s="62">
        <v>1470</v>
      </c>
      <c r="L141" s="62" t="s">
        <v>1550</v>
      </c>
      <c r="M141" s="100" t="s">
        <v>452</v>
      </c>
      <c r="N141" s="5" t="s">
        <v>464</v>
      </c>
      <c r="O141" s="34" t="s">
        <v>1551</v>
      </c>
      <c r="P141" s="5" t="s">
        <v>597</v>
      </c>
      <c r="Q141" s="5" t="s">
        <v>1552</v>
      </c>
      <c r="R141" s="5" t="s">
        <v>1598</v>
      </c>
      <c r="S141" s="5" t="s">
        <v>1554</v>
      </c>
      <c r="T141" s="5" t="s">
        <v>445</v>
      </c>
    </row>
    <row r="142" spans="1:20">
      <c r="A142" s="336">
        <v>5219</v>
      </c>
      <c r="B142" s="5">
        <v>5252</v>
      </c>
      <c r="C142" s="5" t="str">
        <f>+VLOOKUP(F142,Resumen_Base!$B$7:$F$69,5,0)</f>
        <v>Miscellaneous &amp; Shipping</v>
      </c>
      <c r="D142" s="214" t="s">
        <v>383</v>
      </c>
      <c r="E142" s="212" t="str">
        <f>+VLOOKUP(F142,Resumen_Base!$B$6:$F$69,5,0)</f>
        <v>Miscellaneous &amp; Shipping</v>
      </c>
      <c r="F142" s="3" t="s">
        <v>54</v>
      </c>
      <c r="G142" t="s">
        <v>55</v>
      </c>
      <c r="H142" s="5" t="str">
        <f t="shared" si="2"/>
        <v>DEL5219</v>
      </c>
      <c r="I142" s="6">
        <v>25500</v>
      </c>
      <c r="J142" s="62">
        <v>17.229729729729701</v>
      </c>
      <c r="K142" s="62">
        <v>1480</v>
      </c>
      <c r="L142" s="62" t="s">
        <v>1465</v>
      </c>
      <c r="M142" s="100" t="s">
        <v>452</v>
      </c>
      <c r="N142" s="5" t="s">
        <v>464</v>
      </c>
      <c r="O142" s="34" t="s">
        <v>1561</v>
      </c>
      <c r="P142" s="5" t="s">
        <v>1467</v>
      </c>
      <c r="Q142" s="5" t="s">
        <v>1562</v>
      </c>
      <c r="R142" s="5" t="s">
        <v>1601</v>
      </c>
      <c r="S142" s="5" t="s">
        <v>1564</v>
      </c>
      <c r="T142" s="5" t="s">
        <v>445</v>
      </c>
    </row>
    <row r="143" spans="1:20">
      <c r="C143" s="5" t="str">
        <f>+VLOOKUP(F143,Resumen_Base!$B$7:$F$69,5,0)</f>
        <v>Maintenance Lodge</v>
      </c>
      <c r="D143" s="214" t="s">
        <v>383</v>
      </c>
      <c r="E143" s="212" t="str">
        <f>+VLOOKUP(F143,Resumen_Base!$B$6:$F$69,5,0)</f>
        <v>Maintenance Lodge</v>
      </c>
      <c r="F143" s="36" t="s">
        <v>31</v>
      </c>
      <c r="G143" s="5" t="s">
        <v>30</v>
      </c>
      <c r="H143" s="5" t="str">
        <f t="shared" si="2"/>
        <v>DEL5252</v>
      </c>
      <c r="I143" s="6">
        <v>8000</v>
      </c>
      <c r="J143" s="62">
        <v>5.4054054054054097</v>
      </c>
      <c r="K143" s="62">
        <v>1480</v>
      </c>
      <c r="L143" s="62" t="s">
        <v>1545</v>
      </c>
      <c r="M143" s="100" t="s">
        <v>452</v>
      </c>
      <c r="N143" s="5" t="s">
        <v>464</v>
      </c>
      <c r="O143" s="34" t="s">
        <v>1546</v>
      </c>
      <c r="P143" s="5" t="s">
        <v>1467</v>
      </c>
      <c r="Q143" s="5" t="s">
        <v>1547</v>
      </c>
      <c r="R143" s="5" t="s">
        <v>1615</v>
      </c>
      <c r="S143" s="5" t="s">
        <v>1549</v>
      </c>
      <c r="T143" s="5" t="s">
        <v>445</v>
      </c>
    </row>
    <row r="144" spans="1:20">
      <c r="C144" s="5" t="str">
        <f>+VLOOKUP(F144,Resumen_Base!$B$7:$F$69,5,0)</f>
        <v>Maintenance Lodge</v>
      </c>
      <c r="D144" s="214" t="s">
        <v>383</v>
      </c>
      <c r="E144" s="212" t="str">
        <f>+VLOOKUP(F144,Resumen_Base!$B$6:$F$69,5,0)</f>
        <v>Maintenance Lodge</v>
      </c>
      <c r="F144" s="36" t="s">
        <v>31</v>
      </c>
      <c r="G144" s="5" t="s">
        <v>30</v>
      </c>
      <c r="H144" s="5" t="str">
        <f t="shared" si="2"/>
        <v>DEL5252</v>
      </c>
      <c r="I144" s="6">
        <v>74500</v>
      </c>
      <c r="J144" s="62">
        <v>50.337837837837803</v>
      </c>
      <c r="K144" s="62">
        <v>1480</v>
      </c>
      <c r="L144" s="62" t="s">
        <v>1545</v>
      </c>
      <c r="M144" s="100" t="s">
        <v>452</v>
      </c>
      <c r="N144" s="5" t="s">
        <v>464</v>
      </c>
      <c r="O144" s="34" t="s">
        <v>1546</v>
      </c>
      <c r="P144" s="5" t="s">
        <v>1467</v>
      </c>
      <c r="Q144" s="5" t="s">
        <v>1547</v>
      </c>
      <c r="R144" s="5" t="s">
        <v>1617</v>
      </c>
      <c r="S144" s="5" t="s">
        <v>1549</v>
      </c>
      <c r="T144" s="5" t="s">
        <v>445</v>
      </c>
    </row>
    <row r="145" spans="1:20">
      <c r="C145" s="5" t="str">
        <f>+VLOOKUP(F145,Resumen_Base!$B$7:$F$69,5,0)</f>
        <v>Maintenance Lodge</v>
      </c>
      <c r="D145" s="214" t="s">
        <v>383</v>
      </c>
      <c r="E145" s="212" t="str">
        <f>+VLOOKUP(F145,Resumen_Base!$B$6:$F$69,5,0)</f>
        <v>Maintenance Lodge</v>
      </c>
      <c r="F145" s="36" t="s">
        <v>31</v>
      </c>
      <c r="G145" s="5" t="s">
        <v>30</v>
      </c>
      <c r="H145" s="5" t="str">
        <f t="shared" si="2"/>
        <v>DEL5252</v>
      </c>
      <c r="I145" s="6">
        <v>11500</v>
      </c>
      <c r="J145" s="62">
        <v>7.8231292517006796</v>
      </c>
      <c r="K145" s="62">
        <v>1470</v>
      </c>
      <c r="L145" s="62" t="s">
        <v>1550</v>
      </c>
      <c r="M145" s="100" t="s">
        <v>452</v>
      </c>
      <c r="N145" s="5" t="s">
        <v>464</v>
      </c>
      <c r="O145" s="34" t="s">
        <v>1551</v>
      </c>
      <c r="P145" s="5" t="s">
        <v>597</v>
      </c>
      <c r="Q145" s="5" t="s">
        <v>1552</v>
      </c>
      <c r="R145" s="5" t="s">
        <v>1618</v>
      </c>
      <c r="S145" s="5" t="s">
        <v>1554</v>
      </c>
      <c r="T145" s="5" t="s">
        <v>445</v>
      </c>
    </row>
    <row r="146" spans="1:20">
      <c r="C146" s="5" t="str">
        <f>+VLOOKUP(F146,Resumen_Base!$B$7:$F$69,5,0)</f>
        <v>Maintenance Lodge</v>
      </c>
      <c r="D146" s="214" t="s">
        <v>383</v>
      </c>
      <c r="E146" s="212" t="str">
        <f>+VLOOKUP(F146,Resumen_Base!$B$6:$F$69,5,0)</f>
        <v>Maintenance Lodge</v>
      </c>
      <c r="F146" s="36" t="s">
        <v>31</v>
      </c>
      <c r="G146" s="5" t="s">
        <v>30</v>
      </c>
      <c r="H146" s="5" t="str">
        <f t="shared" si="2"/>
        <v>DEL5252</v>
      </c>
      <c r="I146" s="6">
        <v>80000</v>
      </c>
      <c r="J146" s="62">
        <v>54.054054054054099</v>
      </c>
      <c r="K146" s="62">
        <v>1480</v>
      </c>
      <c r="L146" s="62" t="s">
        <v>1465</v>
      </c>
      <c r="M146" s="100" t="s">
        <v>452</v>
      </c>
      <c r="N146" s="5" t="s">
        <v>464</v>
      </c>
      <c r="O146" s="34" t="s">
        <v>1561</v>
      </c>
      <c r="P146" s="5" t="s">
        <v>1467</v>
      </c>
      <c r="Q146" s="5" t="s">
        <v>1562</v>
      </c>
      <c r="R146" s="5" t="s">
        <v>1645</v>
      </c>
      <c r="S146" s="5" t="s">
        <v>1564</v>
      </c>
      <c r="T146" s="5" t="s">
        <v>445</v>
      </c>
    </row>
    <row r="147" spans="1:20">
      <c r="C147" s="5" t="str">
        <f>+VLOOKUP(F147,Resumen_Base!$B$7:$F$69,5,0)</f>
        <v>Maintenance Lodge</v>
      </c>
      <c r="D147" s="214" t="s">
        <v>383</v>
      </c>
      <c r="E147" s="212" t="str">
        <f>+VLOOKUP(F147,Resumen_Base!$B$6:$F$69,5,0)</f>
        <v>Maintenance Lodge</v>
      </c>
      <c r="F147" s="36" t="s">
        <v>31</v>
      </c>
      <c r="G147" s="5" t="s">
        <v>30</v>
      </c>
      <c r="H147" s="5" t="str">
        <f t="shared" si="2"/>
        <v>DEL5252</v>
      </c>
      <c r="I147" s="6">
        <v>444000</v>
      </c>
      <c r="J147" s="62">
        <v>300</v>
      </c>
      <c r="K147" s="62">
        <v>1480</v>
      </c>
      <c r="L147" s="62" t="s">
        <v>1465</v>
      </c>
      <c r="M147" s="100" t="s">
        <v>452</v>
      </c>
      <c r="N147" s="5" t="s">
        <v>464</v>
      </c>
      <c r="O147" s="34" t="s">
        <v>1636</v>
      </c>
      <c r="P147" s="5" t="s">
        <v>1467</v>
      </c>
      <c r="Q147" s="5" t="s">
        <v>1637</v>
      </c>
      <c r="R147" s="5" t="s">
        <v>1653</v>
      </c>
      <c r="S147" s="5" t="s">
        <v>1639</v>
      </c>
      <c r="T147" s="5" t="s">
        <v>445</v>
      </c>
    </row>
    <row r="148" spans="1:20">
      <c r="C148" s="5" t="str">
        <f>+VLOOKUP(F148,Resumen_Base!$B$7:$F$69,5,0)</f>
        <v>Maintenance Lodge</v>
      </c>
      <c r="D148" s="214" t="s">
        <v>383</v>
      </c>
      <c r="E148" s="212" t="str">
        <f>+VLOOKUP(F148,Resumen_Base!$B$6:$F$69,5,0)</f>
        <v>Maintenance Lodge</v>
      </c>
      <c r="F148" s="36" t="s">
        <v>31</v>
      </c>
      <c r="G148" s="5" t="s">
        <v>30</v>
      </c>
      <c r="H148" s="5" t="str">
        <f t="shared" si="2"/>
        <v>DEL5252</v>
      </c>
      <c r="I148" s="6">
        <v>31000</v>
      </c>
      <c r="J148" s="62">
        <v>20.945945945945901</v>
      </c>
      <c r="K148" s="62">
        <v>1480</v>
      </c>
      <c r="L148" s="62" t="s">
        <v>1545</v>
      </c>
      <c r="M148" s="100" t="s">
        <v>452</v>
      </c>
      <c r="N148" s="5" t="s">
        <v>464</v>
      </c>
      <c r="O148" s="34" t="s">
        <v>1546</v>
      </c>
      <c r="P148" s="5" t="s">
        <v>1467</v>
      </c>
      <c r="Q148" s="5" t="s">
        <v>1547</v>
      </c>
      <c r="R148" s="5" t="s">
        <v>1660</v>
      </c>
      <c r="S148" s="5" t="s">
        <v>1549</v>
      </c>
      <c r="T148" s="5" t="s">
        <v>445</v>
      </c>
    </row>
    <row r="149" spans="1:20">
      <c r="C149" s="5" t="str">
        <f>+VLOOKUP(F149,Resumen_Base!$B$7:$F$69,5,0)</f>
        <v>Maintenance Lodge</v>
      </c>
      <c r="D149" s="214" t="s">
        <v>383</v>
      </c>
      <c r="E149" s="212" t="str">
        <f>+VLOOKUP(F149,Resumen_Base!$B$6:$F$69,5,0)</f>
        <v>Maintenance Lodge</v>
      </c>
      <c r="F149" s="36" t="s">
        <v>31</v>
      </c>
      <c r="G149" s="5" t="s">
        <v>30</v>
      </c>
      <c r="H149" s="5" t="str">
        <f t="shared" si="2"/>
        <v>DEL5252</v>
      </c>
      <c r="I149" s="6">
        <v>6000</v>
      </c>
      <c r="J149" s="62">
        <v>4.0540540540540499</v>
      </c>
      <c r="K149" s="62">
        <v>1480</v>
      </c>
      <c r="L149" s="62" t="s">
        <v>1465</v>
      </c>
      <c r="M149" s="100" t="s">
        <v>452</v>
      </c>
      <c r="N149" s="5" t="s">
        <v>464</v>
      </c>
      <c r="O149" s="34" t="s">
        <v>1561</v>
      </c>
      <c r="P149" s="5" t="s">
        <v>1467</v>
      </c>
      <c r="Q149" s="5" t="s">
        <v>1562</v>
      </c>
      <c r="R149" s="5" t="s">
        <v>1661</v>
      </c>
      <c r="S149" s="5" t="s">
        <v>1564</v>
      </c>
      <c r="T149" s="5" t="s">
        <v>445</v>
      </c>
    </row>
    <row r="150" spans="1:20">
      <c r="C150" s="5" t="str">
        <f>+VLOOKUP(F150,Resumen_Base!$B$7:$F$69,5,0)</f>
        <v>Maintenance Lodge</v>
      </c>
      <c r="D150" s="214" t="s">
        <v>383</v>
      </c>
      <c r="E150" s="212" t="str">
        <f>+VLOOKUP(F150,Resumen_Base!$B$6:$F$69,5,0)</f>
        <v>Maintenance Lodge</v>
      </c>
      <c r="F150" s="36" t="s">
        <v>31</v>
      </c>
      <c r="G150" s="5" t="s">
        <v>30</v>
      </c>
      <c r="H150" s="5" t="str">
        <f t="shared" si="2"/>
        <v>DEL5252</v>
      </c>
      <c r="I150" s="6">
        <v>7000</v>
      </c>
      <c r="J150" s="62">
        <v>4.7297297297297298</v>
      </c>
      <c r="K150" s="62">
        <v>1480</v>
      </c>
      <c r="L150" s="62" t="s">
        <v>1545</v>
      </c>
      <c r="M150" s="100" t="s">
        <v>452</v>
      </c>
      <c r="N150" s="5" t="s">
        <v>464</v>
      </c>
      <c r="O150" s="34" t="s">
        <v>1546</v>
      </c>
      <c r="P150" s="5" t="s">
        <v>1467</v>
      </c>
      <c r="Q150" s="5" t="s">
        <v>1547</v>
      </c>
      <c r="R150" s="5" t="s">
        <v>1662</v>
      </c>
      <c r="S150" s="5" t="s">
        <v>1549</v>
      </c>
      <c r="T150" s="5" t="s">
        <v>445</v>
      </c>
    </row>
    <row r="151" spans="1:20">
      <c r="C151" s="5" t="str">
        <f>+VLOOKUP(F151,Resumen_Base!$B$7:$F$69,5,0)</f>
        <v>Maintenance Lodge</v>
      </c>
      <c r="D151" s="214" t="s">
        <v>383</v>
      </c>
      <c r="E151" s="212" t="str">
        <f>+VLOOKUP(F151,Resumen_Base!$B$6:$F$69,5,0)</f>
        <v>Maintenance Lodge</v>
      </c>
      <c r="F151" s="36" t="s">
        <v>31</v>
      </c>
      <c r="G151" s="5" t="s">
        <v>30</v>
      </c>
      <c r="H151" s="5" t="str">
        <f t="shared" si="2"/>
        <v>DEL5252</v>
      </c>
      <c r="I151" s="6">
        <v>16000</v>
      </c>
      <c r="J151" s="62">
        <v>10.8108108108108</v>
      </c>
      <c r="K151" s="62">
        <v>1480</v>
      </c>
      <c r="L151" s="62" t="s">
        <v>1545</v>
      </c>
      <c r="M151" s="100" t="s">
        <v>452</v>
      </c>
      <c r="N151" s="5" t="s">
        <v>464</v>
      </c>
      <c r="O151" s="34" t="s">
        <v>1546</v>
      </c>
      <c r="P151" s="5" t="s">
        <v>1467</v>
      </c>
      <c r="Q151" s="5" t="s">
        <v>1547</v>
      </c>
      <c r="R151" s="5" t="s">
        <v>1672</v>
      </c>
      <c r="S151" s="5" t="s">
        <v>1549</v>
      </c>
      <c r="T151" s="5" t="s">
        <v>445</v>
      </c>
    </row>
    <row r="152" spans="1:20">
      <c r="C152" s="5" t="str">
        <f>+VLOOKUP(F152,Resumen_Base!$B$7:$F$69,5,0)</f>
        <v>Maintenance Lodge</v>
      </c>
      <c r="D152" s="214" t="s">
        <v>383</v>
      </c>
      <c r="E152" s="212" t="str">
        <f>+VLOOKUP(F152,Resumen_Base!$B$6:$F$69,5,0)</f>
        <v>Maintenance Lodge</v>
      </c>
      <c r="F152" s="36" t="s">
        <v>31</v>
      </c>
      <c r="G152" s="5" t="s">
        <v>30</v>
      </c>
      <c r="H152" s="5" t="str">
        <f t="shared" si="2"/>
        <v>DEL5252</v>
      </c>
      <c r="I152" s="6">
        <v>142000</v>
      </c>
      <c r="J152" s="62">
        <v>96.598639455782305</v>
      </c>
      <c r="K152" s="62">
        <v>1470</v>
      </c>
      <c r="L152" s="62" t="s">
        <v>1550</v>
      </c>
      <c r="M152" s="100" t="s">
        <v>452</v>
      </c>
      <c r="N152" s="5" t="s">
        <v>464</v>
      </c>
      <c r="O152" s="34" t="s">
        <v>1551</v>
      </c>
      <c r="P152" s="5" t="s">
        <v>597</v>
      </c>
      <c r="Q152" s="5" t="s">
        <v>1552</v>
      </c>
      <c r="R152" s="5" t="s">
        <v>634</v>
      </c>
      <c r="S152" s="5" t="s">
        <v>1554</v>
      </c>
      <c r="T152" s="5" t="s">
        <v>445</v>
      </c>
    </row>
    <row r="153" spans="1:20">
      <c r="C153" s="5" t="str">
        <f>+VLOOKUP(F153,Resumen_Base!$B$7:$F$69,5,0)</f>
        <v>Maintenance Lodge</v>
      </c>
      <c r="D153" s="214" t="s">
        <v>383</v>
      </c>
      <c r="E153" s="212" t="str">
        <f>+VLOOKUP(F153,Resumen_Base!$B$6:$F$69,5,0)</f>
        <v>Maintenance Lodge</v>
      </c>
      <c r="F153" s="36" t="s">
        <v>31</v>
      </c>
      <c r="G153" s="5" t="s">
        <v>30</v>
      </c>
      <c r="H153" s="5" t="str">
        <f t="shared" si="2"/>
        <v>DEL5252</v>
      </c>
      <c r="I153" s="6">
        <v>50000</v>
      </c>
      <c r="J153" s="62">
        <v>33.783783783783797</v>
      </c>
      <c r="K153" s="62">
        <v>1480</v>
      </c>
      <c r="L153" s="62" t="s">
        <v>1545</v>
      </c>
      <c r="M153" s="100" t="s">
        <v>452</v>
      </c>
      <c r="N153" s="5" t="s">
        <v>464</v>
      </c>
      <c r="O153" s="34" t="s">
        <v>1546</v>
      </c>
      <c r="P153" s="5" t="s">
        <v>1467</v>
      </c>
      <c r="Q153" s="5" t="s">
        <v>1547</v>
      </c>
      <c r="R153" s="5" t="s">
        <v>1677</v>
      </c>
      <c r="S153" s="5" t="s">
        <v>1549</v>
      </c>
      <c r="T153" s="5" t="s">
        <v>445</v>
      </c>
    </row>
    <row r="154" spans="1:20">
      <c r="C154" s="5" t="str">
        <f>+VLOOKUP(F154,Resumen_Base!$B$7:$F$69,5,0)</f>
        <v>Maintenance Lodge</v>
      </c>
      <c r="D154" s="214" t="s">
        <v>383</v>
      </c>
      <c r="E154" s="212" t="str">
        <f>+VLOOKUP(F154,Resumen_Base!$B$6:$F$69,5,0)</f>
        <v>Maintenance Lodge</v>
      </c>
      <c r="F154" s="36" t="s">
        <v>31</v>
      </c>
      <c r="G154" s="5" t="s">
        <v>30</v>
      </c>
      <c r="H154" s="5" t="str">
        <f t="shared" si="2"/>
        <v>DEL5252</v>
      </c>
      <c r="I154" s="6">
        <v>10700</v>
      </c>
      <c r="J154" s="62">
        <v>7.2297297297297298</v>
      </c>
      <c r="K154" s="62">
        <v>1480</v>
      </c>
      <c r="L154" s="62" t="s">
        <v>1545</v>
      </c>
      <c r="M154" s="100" t="s">
        <v>452</v>
      </c>
      <c r="N154" s="5" t="s">
        <v>464</v>
      </c>
      <c r="O154" s="34" t="s">
        <v>1546</v>
      </c>
      <c r="P154" s="5" t="s">
        <v>1467</v>
      </c>
      <c r="Q154" s="5" t="s">
        <v>1547</v>
      </c>
      <c r="R154" s="5" t="s">
        <v>1678</v>
      </c>
      <c r="S154" s="5" t="s">
        <v>1549</v>
      </c>
      <c r="T154" s="5" t="s">
        <v>445</v>
      </c>
    </row>
    <row r="155" spans="1:20">
      <c r="C155" s="5" t="str">
        <f>+VLOOKUP(F155,Resumen_Base!$B$7:$F$69,5,0)</f>
        <v>Maintenance Lodge</v>
      </c>
      <c r="D155" s="214" t="s">
        <v>383</v>
      </c>
      <c r="E155" s="212" t="str">
        <f>+VLOOKUP(F155,Resumen_Base!$B$6:$F$69,5,0)</f>
        <v>Maintenance Lodge</v>
      </c>
      <c r="F155" s="36" t="s">
        <v>31</v>
      </c>
      <c r="G155" s="5" t="s">
        <v>30</v>
      </c>
      <c r="H155" s="5" t="str">
        <f t="shared" si="2"/>
        <v>DEL5252</v>
      </c>
      <c r="I155" s="6">
        <v>125200</v>
      </c>
      <c r="J155" s="62">
        <v>84.594594594594597</v>
      </c>
      <c r="K155" s="62">
        <v>1480</v>
      </c>
      <c r="L155" s="62" t="s">
        <v>1545</v>
      </c>
      <c r="M155" s="100" t="s">
        <v>452</v>
      </c>
      <c r="N155" s="5" t="s">
        <v>464</v>
      </c>
      <c r="O155" s="34" t="s">
        <v>1546</v>
      </c>
      <c r="P155" s="5" t="s">
        <v>1467</v>
      </c>
      <c r="Q155" s="5" t="s">
        <v>1547</v>
      </c>
      <c r="R155" s="5" t="s">
        <v>1687</v>
      </c>
      <c r="S155" s="5" t="s">
        <v>1549</v>
      </c>
      <c r="T155" s="5" t="s">
        <v>445</v>
      </c>
    </row>
    <row r="156" spans="1:20">
      <c r="C156" s="5" t="str">
        <f>+VLOOKUP(F156,Resumen_Base!$B$7:$F$69,5,0)</f>
        <v>Maintenance Lodge</v>
      </c>
      <c r="D156" s="214" t="s">
        <v>383</v>
      </c>
      <c r="E156" s="212" t="str">
        <f>+VLOOKUP(F156,Resumen_Base!$B$6:$F$69,5,0)</f>
        <v>Maintenance Lodge</v>
      </c>
      <c r="F156" s="36" t="s">
        <v>31</v>
      </c>
      <c r="G156" s="5" t="s">
        <v>30</v>
      </c>
      <c r="H156" s="5" t="str">
        <f t="shared" si="2"/>
        <v>DEL5252</v>
      </c>
      <c r="I156" s="6">
        <v>11842</v>
      </c>
      <c r="J156" s="62">
        <v>8.0013513513513495</v>
      </c>
      <c r="K156" s="62">
        <v>1480</v>
      </c>
      <c r="L156" s="62" t="s">
        <v>1465</v>
      </c>
      <c r="M156" s="100" t="s">
        <v>452</v>
      </c>
      <c r="N156" s="5" t="s">
        <v>464</v>
      </c>
      <c r="O156" s="34" t="s">
        <v>1561</v>
      </c>
      <c r="P156" s="5" t="s">
        <v>1467</v>
      </c>
      <c r="Q156" s="5" t="s">
        <v>1562</v>
      </c>
      <c r="R156" s="5" t="s">
        <v>1689</v>
      </c>
      <c r="S156" s="5" t="s">
        <v>1564</v>
      </c>
      <c r="T156" s="5" t="s">
        <v>445</v>
      </c>
    </row>
    <row r="157" spans="1:20">
      <c r="C157" s="5" t="str">
        <f>+VLOOKUP(F157,Resumen_Base!$B$7:$F$69,5,0)</f>
        <v>Maintenance Lodge</v>
      </c>
      <c r="D157" s="214" t="s">
        <v>383</v>
      </c>
      <c r="E157" s="212" t="str">
        <f>+VLOOKUP(F157,Resumen_Base!$B$6:$F$69,5,0)</f>
        <v>Maintenance Lodge</v>
      </c>
      <c r="F157" s="36" t="s">
        <v>31</v>
      </c>
      <c r="G157" s="5" t="s">
        <v>30</v>
      </c>
      <c r="H157" s="5" t="str">
        <f t="shared" si="2"/>
        <v>DEL5252</v>
      </c>
      <c r="I157" s="6">
        <v>153000</v>
      </c>
      <c r="J157" s="62">
        <v>103.378378378378</v>
      </c>
      <c r="K157" s="62">
        <v>1480</v>
      </c>
      <c r="L157" s="62" t="s">
        <v>1465</v>
      </c>
      <c r="M157" s="100" t="s">
        <v>452</v>
      </c>
      <c r="N157" s="5" t="s">
        <v>464</v>
      </c>
      <c r="O157" s="34" t="s">
        <v>1697</v>
      </c>
      <c r="P157" s="5" t="s">
        <v>1467</v>
      </c>
      <c r="Q157" s="5" t="s">
        <v>1698</v>
      </c>
      <c r="R157" s="5" t="s">
        <v>1740</v>
      </c>
      <c r="S157" s="5" t="s">
        <v>1700</v>
      </c>
      <c r="T157" s="5" t="s">
        <v>445</v>
      </c>
    </row>
    <row r="158" spans="1:20">
      <c r="C158" s="5" t="str">
        <f>+VLOOKUP(F158,Resumen_Base!$B$7:$F$69,5,0)</f>
        <v>Maintenance Lodge</v>
      </c>
      <c r="D158" s="214" t="s">
        <v>383</v>
      </c>
      <c r="E158" s="212" t="str">
        <f>+VLOOKUP(F158,Resumen_Base!$B$6:$F$69,5,0)</f>
        <v>Maintenance Lodge</v>
      </c>
      <c r="F158" s="36" t="s">
        <v>31</v>
      </c>
      <c r="G158" s="5" t="s">
        <v>30</v>
      </c>
      <c r="H158" s="5" t="str">
        <f t="shared" si="2"/>
        <v>DEL5252</v>
      </c>
      <c r="I158" s="6">
        <v>297100</v>
      </c>
      <c r="J158" s="62">
        <v>202.108843537415</v>
      </c>
      <c r="K158" s="62">
        <v>1470</v>
      </c>
      <c r="L158" s="62" t="s">
        <v>1499</v>
      </c>
      <c r="M158" s="100" t="s">
        <v>452</v>
      </c>
      <c r="N158" s="5" t="s">
        <v>464</v>
      </c>
      <c r="O158" s="34" t="s">
        <v>1726</v>
      </c>
      <c r="P158" s="5" t="s">
        <v>1467</v>
      </c>
      <c r="Q158" s="5" t="s">
        <v>1727</v>
      </c>
      <c r="R158" s="5" t="s">
        <v>1741</v>
      </c>
      <c r="S158" s="5" t="s">
        <v>1729</v>
      </c>
      <c r="T158" s="5" t="s">
        <v>445</v>
      </c>
    </row>
    <row r="159" spans="1:20">
      <c r="C159" s="5" t="str">
        <f>+VLOOKUP(F159,Resumen_Base!$B$7:$F$69,5,0)</f>
        <v>Maintenance Lodge</v>
      </c>
      <c r="D159" s="214" t="s">
        <v>383</v>
      </c>
      <c r="E159" s="212" t="str">
        <f>+VLOOKUP(F159,Resumen_Base!$B$6:$F$69,5,0)</f>
        <v>Maintenance Lodge</v>
      </c>
      <c r="F159" s="36" t="s">
        <v>31</v>
      </c>
      <c r="G159" s="5" t="s">
        <v>30</v>
      </c>
      <c r="H159" s="5" t="str">
        <f t="shared" si="2"/>
        <v>DEL5252</v>
      </c>
      <c r="I159" s="6">
        <v>140693.70000000001</v>
      </c>
      <c r="J159" s="62">
        <v>95.063310810810805</v>
      </c>
      <c r="K159" s="62">
        <v>1480</v>
      </c>
      <c r="L159" s="62" t="s">
        <v>1499</v>
      </c>
      <c r="M159" s="100" t="s">
        <v>452</v>
      </c>
      <c r="N159" s="5" t="s">
        <v>464</v>
      </c>
      <c r="O159" s="34" t="s">
        <v>1726</v>
      </c>
      <c r="P159" s="5" t="s">
        <v>1467</v>
      </c>
      <c r="Q159" s="5" t="s">
        <v>1727</v>
      </c>
      <c r="R159" s="5" t="s">
        <v>1745</v>
      </c>
      <c r="S159" s="5" t="s">
        <v>1729</v>
      </c>
      <c r="T159" s="5" t="s">
        <v>445</v>
      </c>
    </row>
    <row r="160" spans="1:20" s="318" customFormat="1">
      <c r="A160" s="317"/>
      <c r="C160" s="318" t="str">
        <f>+VLOOKUP(F160,Resumen_Base!$B$7:$F$69,5,0)</f>
        <v>Maintenance Lodge</v>
      </c>
      <c r="D160" s="317" t="s">
        <v>383</v>
      </c>
      <c r="E160" s="335" t="str">
        <f>+VLOOKUP(F160,Resumen_Base!$B$6:$F$69,5,0)</f>
        <v>Maintenance Lodge</v>
      </c>
      <c r="F160" s="318" t="s">
        <v>31</v>
      </c>
      <c r="G160" s="318" t="s">
        <v>30</v>
      </c>
      <c r="H160" s="318" t="str">
        <f t="shared" si="2"/>
        <v>DEL5252</v>
      </c>
      <c r="I160" s="320">
        <v>212500</v>
      </c>
      <c r="J160" s="321">
        <v>143.58108108108101</v>
      </c>
      <c r="K160" s="321">
        <v>1480</v>
      </c>
      <c r="L160" s="321" t="s">
        <v>1471</v>
      </c>
      <c r="M160" s="322" t="s">
        <v>452</v>
      </c>
      <c r="N160" s="318" t="s">
        <v>464</v>
      </c>
      <c r="O160" s="63" t="s">
        <v>1701</v>
      </c>
      <c r="P160" s="318" t="s">
        <v>1467</v>
      </c>
      <c r="Q160" s="318" t="s">
        <v>1702</v>
      </c>
      <c r="R160" s="318" t="s">
        <v>1749</v>
      </c>
      <c r="S160" s="318" t="s">
        <v>1704</v>
      </c>
      <c r="T160" s="318" t="s">
        <v>445</v>
      </c>
    </row>
    <row r="161" spans="1:20" s="318" customFormat="1">
      <c r="A161" s="317"/>
      <c r="C161" s="318" t="str">
        <f>+VLOOKUP(F161,Resumen_Base!$B$7:$F$69,5,0)</f>
        <v>Maintenance Lodge</v>
      </c>
      <c r="D161" s="317" t="s">
        <v>383</v>
      </c>
      <c r="E161" s="335" t="str">
        <f>+VLOOKUP(F161,Resumen_Base!$B$6:$F$69,5,0)</f>
        <v>Maintenance Lodge</v>
      </c>
      <c r="F161" s="318" t="s">
        <v>31</v>
      </c>
      <c r="G161" s="318" t="s">
        <v>30</v>
      </c>
      <c r="H161" s="318" t="str">
        <f t="shared" si="2"/>
        <v>DEL5252</v>
      </c>
      <c r="I161" s="320">
        <v>212500</v>
      </c>
      <c r="J161" s="321">
        <v>143.58108108108101</v>
      </c>
      <c r="K161" s="321">
        <v>1480</v>
      </c>
      <c r="L161" s="321" t="s">
        <v>1471</v>
      </c>
      <c r="M161" s="322" t="s">
        <v>452</v>
      </c>
      <c r="N161" s="318" t="s">
        <v>464</v>
      </c>
      <c r="O161" s="63" t="s">
        <v>1705</v>
      </c>
      <c r="P161" s="318" t="s">
        <v>1467</v>
      </c>
      <c r="Q161" s="318" t="s">
        <v>1706</v>
      </c>
      <c r="R161" s="318" t="s">
        <v>1749</v>
      </c>
      <c r="S161" s="318" t="s">
        <v>1707</v>
      </c>
      <c r="T161" s="318" t="s">
        <v>445</v>
      </c>
    </row>
    <row r="162" spans="1:20" s="318" customFormat="1">
      <c r="A162" s="317"/>
      <c r="C162" s="318" t="str">
        <f>+VLOOKUP(F162,Resumen_Base!$B$7:$F$69,5,0)</f>
        <v>Maintenance Lodge</v>
      </c>
      <c r="D162" s="317" t="s">
        <v>383</v>
      </c>
      <c r="E162" s="335" t="str">
        <f>+VLOOKUP(F162,Resumen_Base!$B$6:$F$69,5,0)</f>
        <v>Maintenance Lodge</v>
      </c>
      <c r="F162" s="318" t="s">
        <v>31</v>
      </c>
      <c r="G162" s="318" t="s">
        <v>30</v>
      </c>
      <c r="H162" s="318" t="str">
        <f t="shared" si="2"/>
        <v>DEL5252</v>
      </c>
      <c r="I162" s="320">
        <v>-212500</v>
      </c>
      <c r="J162" s="321">
        <v>-143.58108108108101</v>
      </c>
      <c r="K162" s="321">
        <v>1480</v>
      </c>
      <c r="L162" s="321" t="s">
        <v>1471</v>
      </c>
      <c r="M162" s="322" t="s">
        <v>452</v>
      </c>
      <c r="N162" s="318" t="s">
        <v>464</v>
      </c>
      <c r="O162" s="63" t="s">
        <v>1708</v>
      </c>
      <c r="P162" s="318" t="s">
        <v>1467</v>
      </c>
      <c r="Q162" s="318" t="s">
        <v>1709</v>
      </c>
      <c r="R162" s="318" t="s">
        <v>1749</v>
      </c>
      <c r="S162" s="318" t="s">
        <v>1710</v>
      </c>
      <c r="T162" s="318" t="s">
        <v>445</v>
      </c>
    </row>
    <row r="163" spans="1:20">
      <c r="C163" s="5" t="str">
        <f>+VLOOKUP(F163,Resumen_Base!$B$7:$F$69,5,0)</f>
        <v>Maintenance  Boats / Vehicles</v>
      </c>
      <c r="D163" s="214" t="s">
        <v>383</v>
      </c>
      <c r="E163" s="212" t="str">
        <f>+VLOOKUP(F163,Resumen_Base!$B$6:$F$69,5,0)</f>
        <v>Maintenance  Boats / Vehicles</v>
      </c>
      <c r="F163" s="36" t="s">
        <v>62</v>
      </c>
      <c r="G163" s="5" t="s">
        <v>63</v>
      </c>
      <c r="H163" s="5" t="str">
        <f t="shared" si="2"/>
        <v>DEL5253</v>
      </c>
      <c r="I163" s="6">
        <v>300000</v>
      </c>
      <c r="J163" s="62">
        <v>202.70270270270299</v>
      </c>
      <c r="K163" s="62">
        <v>1480</v>
      </c>
      <c r="L163" s="62" t="s">
        <v>1545</v>
      </c>
      <c r="M163" s="100" t="s">
        <v>452</v>
      </c>
      <c r="N163" s="5" t="s">
        <v>464</v>
      </c>
      <c r="O163" s="34" t="s">
        <v>1546</v>
      </c>
      <c r="P163" s="5" t="s">
        <v>1467</v>
      </c>
      <c r="Q163" s="5" t="s">
        <v>1547</v>
      </c>
      <c r="R163" s="5" t="s">
        <v>1623</v>
      </c>
      <c r="S163" s="5" t="s">
        <v>1549</v>
      </c>
      <c r="T163" s="5" t="s">
        <v>445</v>
      </c>
    </row>
    <row r="164" spans="1:20">
      <c r="C164" s="5" t="str">
        <f>+VLOOKUP(F164,Resumen_Base!$B$7:$F$69,5,0)</f>
        <v>Maintenance  Equipment</v>
      </c>
      <c r="D164" s="214" t="s">
        <v>383</v>
      </c>
      <c r="E164" s="212" t="str">
        <f>+VLOOKUP(F164,Resumen_Base!$B$6:$F$69,5,0)</f>
        <v>Maintenance  Equipment</v>
      </c>
      <c r="F164" s="36" t="s">
        <v>29</v>
      </c>
      <c r="G164" s="5" t="s">
        <v>312</v>
      </c>
      <c r="H164" s="5" t="str">
        <f t="shared" si="2"/>
        <v>DEL5254</v>
      </c>
      <c r="I164" s="6">
        <v>37000</v>
      </c>
      <c r="J164" s="62">
        <v>25</v>
      </c>
      <c r="K164" s="62">
        <v>1480</v>
      </c>
      <c r="L164" s="62" t="s">
        <v>1545</v>
      </c>
      <c r="M164" s="100" t="s">
        <v>452</v>
      </c>
      <c r="N164" s="5" t="s">
        <v>464</v>
      </c>
      <c r="O164" s="34" t="s">
        <v>1546</v>
      </c>
      <c r="P164" s="5" t="s">
        <v>1467</v>
      </c>
      <c r="Q164" s="5" t="s">
        <v>1547</v>
      </c>
      <c r="R164" s="5" t="s">
        <v>769</v>
      </c>
      <c r="S164" s="5" t="s">
        <v>1549</v>
      </c>
      <c r="T164" s="5" t="s">
        <v>445</v>
      </c>
    </row>
    <row r="165" spans="1:20" s="318" customFormat="1">
      <c r="A165" s="317"/>
      <c r="C165" s="318" t="str">
        <f>+VLOOKUP(F165,Resumen_Base!$B$7:$F$69,5,0)</f>
        <v>Maintenance  Equipment</v>
      </c>
      <c r="D165" s="317" t="s">
        <v>383</v>
      </c>
      <c r="E165" s="335" t="str">
        <f>+VLOOKUP(F165,Resumen_Base!$B$6:$F$69,5,0)</f>
        <v>Maintenance  Equipment</v>
      </c>
      <c r="F165" s="318" t="s">
        <v>29</v>
      </c>
      <c r="G165" s="318" t="s">
        <v>312</v>
      </c>
      <c r="H165" s="318" t="str">
        <f t="shared" si="2"/>
        <v>DEL5254</v>
      </c>
      <c r="I165" s="320">
        <v>178000</v>
      </c>
      <c r="J165" s="321">
        <v>120.27027027027</v>
      </c>
      <c r="K165" s="321">
        <v>1480</v>
      </c>
      <c r="L165" s="321" t="s">
        <v>1471</v>
      </c>
      <c r="M165" s="322" t="s">
        <v>452</v>
      </c>
      <c r="N165" s="318" t="s">
        <v>464</v>
      </c>
      <c r="O165" s="63" t="s">
        <v>1701</v>
      </c>
      <c r="P165" s="318" t="s">
        <v>1467</v>
      </c>
      <c r="Q165" s="318" t="s">
        <v>1702</v>
      </c>
      <c r="R165" s="318" t="s">
        <v>1703</v>
      </c>
      <c r="S165" s="318" t="s">
        <v>1704</v>
      </c>
      <c r="T165" s="318" t="s">
        <v>445</v>
      </c>
    </row>
    <row r="166" spans="1:20" s="318" customFormat="1">
      <c r="A166" s="317"/>
      <c r="C166" s="318" t="str">
        <f>+VLOOKUP(F166,Resumen_Base!$B$7:$F$69,5,0)</f>
        <v>Maintenance  Equipment</v>
      </c>
      <c r="D166" s="317" t="s">
        <v>383</v>
      </c>
      <c r="E166" s="335" t="str">
        <f>+VLOOKUP(F166,Resumen_Base!$B$6:$F$69,5,0)</f>
        <v>Maintenance  Equipment</v>
      </c>
      <c r="F166" s="318" t="s">
        <v>29</v>
      </c>
      <c r="G166" s="318" t="s">
        <v>312</v>
      </c>
      <c r="H166" s="318" t="str">
        <f t="shared" si="2"/>
        <v>DEL5254</v>
      </c>
      <c r="I166" s="320">
        <v>178000</v>
      </c>
      <c r="J166" s="321">
        <v>120.27027027027</v>
      </c>
      <c r="K166" s="321">
        <v>1480</v>
      </c>
      <c r="L166" s="321" t="s">
        <v>1471</v>
      </c>
      <c r="M166" s="322" t="s">
        <v>452</v>
      </c>
      <c r="N166" s="318" t="s">
        <v>464</v>
      </c>
      <c r="O166" s="63" t="s">
        <v>1705</v>
      </c>
      <c r="P166" s="318" t="s">
        <v>1467</v>
      </c>
      <c r="Q166" s="318" t="s">
        <v>1706</v>
      </c>
      <c r="R166" s="318" t="s">
        <v>1703</v>
      </c>
      <c r="S166" s="318" t="s">
        <v>1707</v>
      </c>
      <c r="T166" s="318" t="s">
        <v>445</v>
      </c>
    </row>
    <row r="167" spans="1:20" s="318" customFormat="1">
      <c r="A167" s="317"/>
      <c r="C167" s="318" t="str">
        <f>+VLOOKUP(F167,Resumen_Base!$B$7:$F$69,5,0)</f>
        <v>Maintenance  Equipment</v>
      </c>
      <c r="D167" s="317" t="s">
        <v>383</v>
      </c>
      <c r="E167" s="335" t="str">
        <f>+VLOOKUP(F167,Resumen_Base!$B$6:$F$69,5,0)</f>
        <v>Maintenance  Equipment</v>
      </c>
      <c r="F167" s="318" t="s">
        <v>29</v>
      </c>
      <c r="G167" s="318" t="s">
        <v>312</v>
      </c>
      <c r="H167" s="318" t="str">
        <f t="shared" si="2"/>
        <v>DEL5254</v>
      </c>
      <c r="I167" s="320">
        <v>-178000</v>
      </c>
      <c r="J167" s="321">
        <v>-120.27027027027</v>
      </c>
      <c r="K167" s="321">
        <v>1480</v>
      </c>
      <c r="L167" s="321" t="s">
        <v>1471</v>
      </c>
      <c r="M167" s="322" t="s">
        <v>452</v>
      </c>
      <c r="N167" s="318" t="s">
        <v>464</v>
      </c>
      <c r="O167" s="63" t="s">
        <v>1708</v>
      </c>
      <c r="P167" s="318" t="s">
        <v>1467</v>
      </c>
      <c r="Q167" s="318" t="s">
        <v>1709</v>
      </c>
      <c r="R167" s="318" t="s">
        <v>1703</v>
      </c>
      <c r="S167" s="318" t="s">
        <v>1710</v>
      </c>
      <c r="T167" s="318" t="s">
        <v>445</v>
      </c>
    </row>
    <row r="168" spans="1:20">
      <c r="C168" s="5" t="str">
        <f>+VLOOKUP(F168,Resumen_Base!$B$7:$F$69,5,0)</f>
        <v>Maintenance  Equipment</v>
      </c>
      <c r="D168" s="214" t="s">
        <v>383</v>
      </c>
      <c r="E168" s="212" t="str">
        <f>+VLOOKUP(F168,Resumen_Base!$B$6:$F$69,5,0)</f>
        <v>Maintenance  Equipment</v>
      </c>
      <c r="F168" s="36" t="s">
        <v>29</v>
      </c>
      <c r="G168" s="5" t="s">
        <v>312</v>
      </c>
      <c r="H168" s="5" t="str">
        <f t="shared" si="2"/>
        <v>DEL5254</v>
      </c>
      <c r="I168" s="6">
        <v>82500</v>
      </c>
      <c r="J168" s="62">
        <v>56.122448979591802</v>
      </c>
      <c r="K168" s="62">
        <v>1470</v>
      </c>
      <c r="L168" s="62" t="s">
        <v>1499</v>
      </c>
      <c r="M168" s="100" t="s">
        <v>452</v>
      </c>
      <c r="N168" s="5" t="s">
        <v>464</v>
      </c>
      <c r="O168" s="34" t="s">
        <v>1726</v>
      </c>
      <c r="P168" s="5" t="s">
        <v>1467</v>
      </c>
      <c r="Q168" s="5" t="s">
        <v>1727</v>
      </c>
      <c r="R168" s="5" t="s">
        <v>1728</v>
      </c>
      <c r="S168" s="5" t="s">
        <v>1729</v>
      </c>
      <c r="T168" s="5" t="s">
        <v>445</v>
      </c>
    </row>
    <row r="169" spans="1:20">
      <c r="C169" s="5" t="str">
        <f>+VLOOKUP(F169,Resumen_Base!$B$7:$F$69,5,0)</f>
        <v>Travel for personnel (employees)</v>
      </c>
      <c r="D169" s="214" t="s">
        <v>383</v>
      </c>
      <c r="E169" s="212" t="str">
        <f>+VLOOKUP(F169,Resumen_Base!$B$6:$F$69,5,0)</f>
        <v>Travel for personnel (employees)</v>
      </c>
      <c r="F169" s="36" t="s">
        <v>64</v>
      </c>
      <c r="G169" s="5" t="s">
        <v>65</v>
      </c>
      <c r="H169" s="5" t="str">
        <f t="shared" si="2"/>
        <v>DEL5255</v>
      </c>
      <c r="I169" s="6">
        <v>17760</v>
      </c>
      <c r="J169" s="62">
        <v>12</v>
      </c>
      <c r="K169" s="62">
        <v>1480</v>
      </c>
      <c r="L169" s="62" t="s">
        <v>1465</v>
      </c>
      <c r="M169" s="100" t="s">
        <v>452</v>
      </c>
      <c r="N169" s="5" t="s">
        <v>464</v>
      </c>
      <c r="O169" s="34" t="s">
        <v>1489</v>
      </c>
      <c r="P169" s="5" t="s">
        <v>1467</v>
      </c>
      <c r="Q169" s="5" t="s">
        <v>1490</v>
      </c>
      <c r="R169" s="5" t="s">
        <v>1543</v>
      </c>
      <c r="S169" s="5" t="s">
        <v>1492</v>
      </c>
      <c r="T169" s="5" t="s">
        <v>445</v>
      </c>
    </row>
    <row r="170" spans="1:20">
      <c r="C170" s="5" t="str">
        <f>+VLOOKUP(F170,Resumen_Base!$B$7:$F$69,5,0)</f>
        <v>Travel for personnel (employees)</v>
      </c>
      <c r="D170" s="214" t="s">
        <v>383</v>
      </c>
      <c r="E170" s="212" t="str">
        <f>+VLOOKUP(F170,Resumen_Base!$B$6:$F$69,5,0)</f>
        <v>Travel for personnel (employees)</v>
      </c>
      <c r="F170" s="36" t="s">
        <v>64</v>
      </c>
      <c r="G170" s="5" t="s">
        <v>65</v>
      </c>
      <c r="H170" s="5" t="str">
        <f t="shared" si="2"/>
        <v>DEL5255</v>
      </c>
      <c r="I170" s="6">
        <v>17760</v>
      </c>
      <c r="J170" s="62">
        <v>12</v>
      </c>
      <c r="K170" s="62">
        <v>1480</v>
      </c>
      <c r="L170" s="62" t="s">
        <v>1465</v>
      </c>
      <c r="M170" s="100" t="s">
        <v>452</v>
      </c>
      <c r="N170" s="5" t="s">
        <v>464</v>
      </c>
      <c r="O170" s="34" t="s">
        <v>1489</v>
      </c>
      <c r="P170" s="5" t="s">
        <v>1467</v>
      </c>
      <c r="Q170" s="5" t="s">
        <v>1490</v>
      </c>
      <c r="R170" s="5" t="s">
        <v>1544</v>
      </c>
      <c r="S170" s="5" t="s">
        <v>1492</v>
      </c>
      <c r="T170" s="5" t="s">
        <v>445</v>
      </c>
    </row>
    <row r="171" spans="1:20">
      <c r="C171" s="5" t="str">
        <f>+VLOOKUP(F171,Resumen_Base!$B$7:$F$69,5,0)</f>
        <v>Travel for personnel (employees)</v>
      </c>
      <c r="D171" s="214" t="s">
        <v>383</v>
      </c>
      <c r="E171" s="212" t="str">
        <f>+VLOOKUP(F171,Resumen_Base!$B$6:$F$69,5,0)</f>
        <v>Travel for personnel (employees)</v>
      </c>
      <c r="F171" s="36" t="s">
        <v>64</v>
      </c>
      <c r="G171" s="5" t="s">
        <v>65</v>
      </c>
      <c r="H171" s="5" t="str">
        <f t="shared" si="2"/>
        <v>DEL5255</v>
      </c>
      <c r="I171" s="6">
        <v>53000</v>
      </c>
      <c r="J171" s="62">
        <v>36.054421768707499</v>
      </c>
      <c r="K171" s="62">
        <v>1470</v>
      </c>
      <c r="L171" s="62" t="s">
        <v>1550</v>
      </c>
      <c r="M171" s="100" t="s">
        <v>452</v>
      </c>
      <c r="N171" s="5" t="s">
        <v>464</v>
      </c>
      <c r="O171" s="34" t="s">
        <v>1551</v>
      </c>
      <c r="P171" s="5" t="s">
        <v>597</v>
      </c>
      <c r="Q171" s="5" t="s">
        <v>1552</v>
      </c>
      <c r="R171" s="5" t="s">
        <v>1558</v>
      </c>
      <c r="S171" s="5" t="s">
        <v>1554</v>
      </c>
      <c r="T171" s="5" t="s">
        <v>445</v>
      </c>
    </row>
    <row r="172" spans="1:20">
      <c r="C172" s="5" t="str">
        <f>+VLOOKUP(F172,Resumen_Base!$B$7:$F$69,5,0)</f>
        <v>Travel for personnel (employees)</v>
      </c>
      <c r="D172" s="214" t="s">
        <v>383</v>
      </c>
      <c r="E172" s="212" t="str">
        <f>+VLOOKUP(F172,Resumen_Base!$B$6:$F$69,5,0)</f>
        <v>Travel for personnel (employees)</v>
      </c>
      <c r="F172" s="36" t="s">
        <v>64</v>
      </c>
      <c r="G172" s="5" t="s">
        <v>65</v>
      </c>
      <c r="H172" s="5" t="str">
        <f t="shared" si="2"/>
        <v>DEL5255</v>
      </c>
      <c r="I172" s="6">
        <v>41200</v>
      </c>
      <c r="J172" s="62">
        <v>28.0272108843537</v>
      </c>
      <c r="K172" s="62">
        <v>1470</v>
      </c>
      <c r="L172" s="62" t="s">
        <v>1550</v>
      </c>
      <c r="M172" s="100" t="s">
        <v>452</v>
      </c>
      <c r="N172" s="5" t="s">
        <v>464</v>
      </c>
      <c r="O172" s="34" t="s">
        <v>1551</v>
      </c>
      <c r="P172" s="5" t="s">
        <v>597</v>
      </c>
      <c r="Q172" s="5" t="s">
        <v>1552</v>
      </c>
      <c r="R172" s="5" t="s">
        <v>1024</v>
      </c>
      <c r="S172" s="5" t="s">
        <v>1554</v>
      </c>
      <c r="T172" s="5" t="s">
        <v>445</v>
      </c>
    </row>
    <row r="173" spans="1:20">
      <c r="C173" s="5" t="str">
        <f>+VLOOKUP(F173,Resumen_Base!$B$7:$F$69,5,0)</f>
        <v>Travel for personnel (employees)</v>
      </c>
      <c r="D173" s="214" t="s">
        <v>383</v>
      </c>
      <c r="E173" s="212" t="str">
        <f>+VLOOKUP(F173,Resumen_Base!$B$6:$F$69,5,0)</f>
        <v>Travel for personnel (employees)</v>
      </c>
      <c r="F173" s="36" t="s">
        <v>64</v>
      </c>
      <c r="G173" s="5" t="s">
        <v>65</v>
      </c>
      <c r="H173" s="5" t="str">
        <f t="shared" si="2"/>
        <v>DEL5255</v>
      </c>
      <c r="I173" s="6">
        <v>80000</v>
      </c>
      <c r="J173" s="62">
        <v>54.421768707482997</v>
      </c>
      <c r="K173" s="62">
        <v>1470</v>
      </c>
      <c r="L173" s="62" t="s">
        <v>1550</v>
      </c>
      <c r="M173" s="100" t="s">
        <v>452</v>
      </c>
      <c r="N173" s="5" t="s">
        <v>464</v>
      </c>
      <c r="O173" s="34" t="s">
        <v>1551</v>
      </c>
      <c r="P173" s="5" t="s">
        <v>597</v>
      </c>
      <c r="Q173" s="5" t="s">
        <v>1552</v>
      </c>
      <c r="R173" s="5" t="s">
        <v>1024</v>
      </c>
      <c r="S173" s="5" t="s">
        <v>1554</v>
      </c>
      <c r="T173" s="5" t="s">
        <v>445</v>
      </c>
    </row>
    <row r="174" spans="1:20">
      <c r="C174" s="5" t="str">
        <f>+VLOOKUP(F174,Resumen_Base!$B$7:$F$69,5,0)</f>
        <v>Travel for personnel (employees)</v>
      </c>
      <c r="D174" s="214" t="s">
        <v>383</v>
      </c>
      <c r="E174" s="212" t="str">
        <f>+VLOOKUP(F174,Resumen_Base!$B$6:$F$69,5,0)</f>
        <v>Travel for personnel (employees)</v>
      </c>
      <c r="F174" s="36" t="s">
        <v>64</v>
      </c>
      <c r="G174" s="5" t="s">
        <v>65</v>
      </c>
      <c r="H174" s="5" t="str">
        <f t="shared" si="2"/>
        <v>DEL5255</v>
      </c>
      <c r="I174" s="6">
        <v>54000</v>
      </c>
      <c r="J174" s="62">
        <v>36.486486486486498</v>
      </c>
      <c r="K174" s="62">
        <v>1480</v>
      </c>
      <c r="L174" s="62" t="s">
        <v>1545</v>
      </c>
      <c r="M174" s="100" t="s">
        <v>452</v>
      </c>
      <c r="N174" s="5" t="s">
        <v>464</v>
      </c>
      <c r="O174" s="34" t="s">
        <v>1546</v>
      </c>
      <c r="P174" s="5" t="s">
        <v>1467</v>
      </c>
      <c r="Q174" s="5" t="s">
        <v>1547</v>
      </c>
      <c r="R174" s="5" t="s">
        <v>1572</v>
      </c>
      <c r="S174" s="5" t="s">
        <v>1549</v>
      </c>
      <c r="T174" s="5" t="s">
        <v>445</v>
      </c>
    </row>
    <row r="175" spans="1:20">
      <c r="C175" s="5" t="str">
        <f>+VLOOKUP(F175,Resumen_Base!$B$7:$F$69,5,0)</f>
        <v>Travel for personnel (employees)</v>
      </c>
      <c r="D175" s="214" t="s">
        <v>383</v>
      </c>
      <c r="E175" s="212" t="str">
        <f>+VLOOKUP(F175,Resumen_Base!$B$6:$F$69,5,0)</f>
        <v>Travel for personnel (employees)</v>
      </c>
      <c r="F175" s="36" t="s">
        <v>64</v>
      </c>
      <c r="G175" s="5" t="s">
        <v>65</v>
      </c>
      <c r="H175" s="5" t="str">
        <f t="shared" si="2"/>
        <v>DEL5255</v>
      </c>
      <c r="I175" s="6">
        <v>41000</v>
      </c>
      <c r="J175" s="62">
        <v>27.702702702702702</v>
      </c>
      <c r="K175" s="62">
        <v>1480</v>
      </c>
      <c r="L175" s="62" t="s">
        <v>1545</v>
      </c>
      <c r="M175" s="100" t="s">
        <v>452</v>
      </c>
      <c r="N175" s="5" t="s">
        <v>464</v>
      </c>
      <c r="O175" s="34" t="s">
        <v>1546</v>
      </c>
      <c r="P175" s="5" t="s">
        <v>1467</v>
      </c>
      <c r="Q175" s="5" t="s">
        <v>1547</v>
      </c>
      <c r="R175" s="5" t="s">
        <v>1597</v>
      </c>
      <c r="S175" s="5" t="s">
        <v>1549</v>
      </c>
      <c r="T175" s="5" t="s">
        <v>445</v>
      </c>
    </row>
    <row r="176" spans="1:20">
      <c r="C176" s="5" t="str">
        <f>+VLOOKUP(F176,Resumen_Base!$B$7:$F$69,5,0)</f>
        <v>Travel for personnel (employees)</v>
      </c>
      <c r="D176" s="214" t="s">
        <v>383</v>
      </c>
      <c r="E176" s="212" t="str">
        <f>+VLOOKUP(F176,Resumen_Base!$B$6:$F$69,5,0)</f>
        <v>Travel for personnel (employees)</v>
      </c>
      <c r="F176" s="36" t="s">
        <v>64</v>
      </c>
      <c r="G176" s="5" t="s">
        <v>65</v>
      </c>
      <c r="H176" s="5" t="str">
        <f t="shared" si="2"/>
        <v>DEL5255</v>
      </c>
      <c r="I176" s="6">
        <v>64000</v>
      </c>
      <c r="J176" s="62">
        <v>43.5374149659864</v>
      </c>
      <c r="K176" s="62">
        <v>1470</v>
      </c>
      <c r="L176" s="62" t="s">
        <v>1550</v>
      </c>
      <c r="M176" s="100" t="s">
        <v>452</v>
      </c>
      <c r="N176" s="5" t="s">
        <v>464</v>
      </c>
      <c r="O176" s="34" t="s">
        <v>1551</v>
      </c>
      <c r="P176" s="5" t="s">
        <v>597</v>
      </c>
      <c r="Q176" s="5" t="s">
        <v>1552</v>
      </c>
      <c r="R176" s="5" t="s">
        <v>1600</v>
      </c>
      <c r="S176" s="5" t="s">
        <v>1554</v>
      </c>
      <c r="T176" s="5" t="s">
        <v>445</v>
      </c>
    </row>
    <row r="177" spans="3:20">
      <c r="C177" s="5" t="str">
        <f>+VLOOKUP(F177,Resumen_Base!$B$7:$F$69,5,0)</f>
        <v>Travel for personnel (employees)</v>
      </c>
      <c r="D177" s="214" t="s">
        <v>383</v>
      </c>
      <c r="E177" s="212" t="str">
        <f>+VLOOKUP(F177,Resumen_Base!$B$6:$F$69,5,0)</f>
        <v>Travel for personnel (employees)</v>
      </c>
      <c r="F177" s="36" t="s">
        <v>64</v>
      </c>
      <c r="G177" s="5" t="s">
        <v>65</v>
      </c>
      <c r="H177" s="5" t="str">
        <f t="shared" si="2"/>
        <v>DEL5255</v>
      </c>
      <c r="I177" s="6">
        <v>40000</v>
      </c>
      <c r="J177" s="62">
        <v>27.027027027027</v>
      </c>
      <c r="K177" s="62">
        <v>1480</v>
      </c>
      <c r="L177" s="62" t="s">
        <v>1545</v>
      </c>
      <c r="M177" s="100" t="s">
        <v>452</v>
      </c>
      <c r="N177" s="5" t="s">
        <v>464</v>
      </c>
      <c r="O177" s="34" t="s">
        <v>1546</v>
      </c>
      <c r="P177" s="5" t="s">
        <v>1467</v>
      </c>
      <c r="Q177" s="5" t="s">
        <v>1547</v>
      </c>
      <c r="R177" s="5" t="s">
        <v>1614</v>
      </c>
      <c r="S177" s="5" t="s">
        <v>1549</v>
      </c>
      <c r="T177" s="5" t="s">
        <v>445</v>
      </c>
    </row>
    <row r="178" spans="3:20">
      <c r="C178" s="5" t="str">
        <f>+VLOOKUP(F178,Resumen_Base!$B$7:$F$69,5,0)</f>
        <v>Travel for personnel (employees)</v>
      </c>
      <c r="D178" s="214" t="s">
        <v>383</v>
      </c>
      <c r="E178" s="212" t="str">
        <f>+VLOOKUP(F178,Resumen_Base!$B$6:$F$69,5,0)</f>
        <v>Travel for personnel (employees)</v>
      </c>
      <c r="F178" s="36" t="s">
        <v>64</v>
      </c>
      <c r="G178" s="5" t="s">
        <v>65</v>
      </c>
      <c r="H178" s="5" t="str">
        <f t="shared" si="2"/>
        <v>DEL5255</v>
      </c>
      <c r="I178" s="6">
        <v>6000</v>
      </c>
      <c r="J178" s="62">
        <v>4.0816326530612201</v>
      </c>
      <c r="K178" s="62">
        <v>1470</v>
      </c>
      <c r="L178" s="62" t="s">
        <v>1550</v>
      </c>
      <c r="M178" s="100" t="s">
        <v>452</v>
      </c>
      <c r="N178" s="5" t="s">
        <v>464</v>
      </c>
      <c r="O178" s="34" t="s">
        <v>1551</v>
      </c>
      <c r="P178" s="5" t="s">
        <v>597</v>
      </c>
      <c r="Q178" s="5" t="s">
        <v>1552</v>
      </c>
      <c r="R178" s="5" t="s">
        <v>1616</v>
      </c>
      <c r="S178" s="5" t="s">
        <v>1554</v>
      </c>
      <c r="T178" s="5" t="s">
        <v>445</v>
      </c>
    </row>
    <row r="179" spans="3:20">
      <c r="C179" s="5" t="str">
        <f>+VLOOKUP(F179,Resumen_Base!$B$7:$F$69,5,0)</f>
        <v>Travel for personnel (employees)</v>
      </c>
      <c r="D179" s="214" t="s">
        <v>383</v>
      </c>
      <c r="E179" s="212" t="str">
        <f>+VLOOKUP(F179,Resumen_Base!$B$6:$F$69,5,0)</f>
        <v>Travel for personnel (employees)</v>
      </c>
      <c r="F179" s="36" t="s">
        <v>64</v>
      </c>
      <c r="G179" s="5" t="s">
        <v>65</v>
      </c>
      <c r="H179" s="5" t="str">
        <f t="shared" si="2"/>
        <v>DEL5255</v>
      </c>
      <c r="I179" s="6">
        <v>16415</v>
      </c>
      <c r="J179" s="62">
        <v>11.1666666666667</v>
      </c>
      <c r="K179" s="62">
        <v>1470</v>
      </c>
      <c r="L179" s="62" t="s">
        <v>1550</v>
      </c>
      <c r="M179" s="100" t="s">
        <v>452</v>
      </c>
      <c r="N179" s="5" t="s">
        <v>464</v>
      </c>
      <c r="O179" s="34" t="s">
        <v>1551</v>
      </c>
      <c r="P179" s="5" t="s">
        <v>597</v>
      </c>
      <c r="Q179" s="5" t="s">
        <v>1552</v>
      </c>
      <c r="R179" s="5" t="s">
        <v>1625</v>
      </c>
      <c r="S179" s="5" t="s">
        <v>1554</v>
      </c>
      <c r="T179" s="5" t="s">
        <v>445</v>
      </c>
    </row>
    <row r="180" spans="3:20">
      <c r="C180" s="5" t="str">
        <f>+VLOOKUP(F180,Resumen_Base!$B$7:$F$69,5,0)</f>
        <v>Travel for personnel (employees)</v>
      </c>
      <c r="D180" s="214" t="s">
        <v>383</v>
      </c>
      <c r="E180" s="212" t="str">
        <f>+VLOOKUP(F180,Resumen_Base!$B$6:$F$69,5,0)</f>
        <v>Travel for personnel (employees)</v>
      </c>
      <c r="F180" s="36" t="s">
        <v>64</v>
      </c>
      <c r="G180" s="5" t="s">
        <v>65</v>
      </c>
      <c r="H180" s="5" t="str">
        <f t="shared" si="2"/>
        <v>DEL5255</v>
      </c>
      <c r="I180" s="6">
        <v>20475</v>
      </c>
      <c r="J180" s="62">
        <v>13.9285714285714</v>
      </c>
      <c r="K180" s="62">
        <v>1470</v>
      </c>
      <c r="L180" s="62" t="s">
        <v>1550</v>
      </c>
      <c r="M180" s="100" t="s">
        <v>452</v>
      </c>
      <c r="N180" s="5" t="s">
        <v>464</v>
      </c>
      <c r="O180" s="34" t="s">
        <v>1551</v>
      </c>
      <c r="P180" s="5" t="s">
        <v>597</v>
      </c>
      <c r="Q180" s="5" t="s">
        <v>1552</v>
      </c>
      <c r="R180" s="5" t="s">
        <v>1626</v>
      </c>
      <c r="S180" s="5" t="s">
        <v>1554</v>
      </c>
      <c r="T180" s="5" t="s">
        <v>445</v>
      </c>
    </row>
    <row r="181" spans="3:20">
      <c r="C181" s="5" t="str">
        <f>+VLOOKUP(F181,Resumen_Base!$B$7:$F$69,5,0)</f>
        <v>Travel for personnel (employees)</v>
      </c>
      <c r="D181" s="214" t="s">
        <v>383</v>
      </c>
      <c r="E181" s="212" t="str">
        <f>+VLOOKUP(F181,Resumen_Base!$B$6:$F$69,5,0)</f>
        <v>Travel for personnel (employees)</v>
      </c>
      <c r="F181" s="36" t="s">
        <v>64</v>
      </c>
      <c r="G181" s="5" t="s">
        <v>65</v>
      </c>
      <c r="H181" s="5" t="str">
        <f t="shared" si="2"/>
        <v>DEL5255</v>
      </c>
      <c r="I181" s="6">
        <v>20000</v>
      </c>
      <c r="J181" s="62">
        <v>13.5135135135135</v>
      </c>
      <c r="K181" s="62">
        <v>1480</v>
      </c>
      <c r="L181" s="62" t="s">
        <v>1545</v>
      </c>
      <c r="M181" s="100" t="s">
        <v>452</v>
      </c>
      <c r="N181" s="5" t="s">
        <v>464</v>
      </c>
      <c r="O181" s="34" t="s">
        <v>1546</v>
      </c>
      <c r="P181" s="5" t="s">
        <v>1467</v>
      </c>
      <c r="Q181" s="5" t="s">
        <v>1547</v>
      </c>
      <c r="R181" s="5" t="s">
        <v>1628</v>
      </c>
      <c r="S181" s="5" t="s">
        <v>1549</v>
      </c>
      <c r="T181" s="5" t="s">
        <v>445</v>
      </c>
    </row>
    <row r="182" spans="3:20">
      <c r="C182" s="5" t="str">
        <f>+VLOOKUP(F182,Resumen_Base!$B$7:$F$69,5,0)</f>
        <v>Travel for personnel (employees)</v>
      </c>
      <c r="D182" s="214" t="s">
        <v>383</v>
      </c>
      <c r="E182" s="212" t="str">
        <f>+VLOOKUP(F182,Resumen_Base!$B$6:$F$69,5,0)</f>
        <v>Travel for personnel (employees)</v>
      </c>
      <c r="F182" s="36" t="s">
        <v>64</v>
      </c>
      <c r="G182" s="5" t="s">
        <v>65</v>
      </c>
      <c r="H182" s="5" t="str">
        <f t="shared" si="2"/>
        <v>DEL5255</v>
      </c>
      <c r="I182" s="6">
        <v>63607</v>
      </c>
      <c r="J182" s="62">
        <v>42.9777027027027</v>
      </c>
      <c r="K182" s="62">
        <v>1480</v>
      </c>
      <c r="L182" s="62" t="s">
        <v>1545</v>
      </c>
      <c r="M182" s="100" t="s">
        <v>452</v>
      </c>
      <c r="N182" s="5" t="s">
        <v>464</v>
      </c>
      <c r="O182" s="34" t="s">
        <v>1546</v>
      </c>
      <c r="P182" s="5" t="s">
        <v>1467</v>
      </c>
      <c r="Q182" s="5" t="s">
        <v>1547</v>
      </c>
      <c r="R182" s="5" t="s">
        <v>491</v>
      </c>
      <c r="S182" s="5" t="s">
        <v>1549</v>
      </c>
      <c r="T182" s="5" t="s">
        <v>445</v>
      </c>
    </row>
    <row r="183" spans="3:20">
      <c r="C183" s="5" t="str">
        <f>+VLOOKUP(F183,Resumen_Base!$B$7:$F$69,5,0)</f>
        <v>Travel for personnel (employees)</v>
      </c>
      <c r="D183" s="214" t="s">
        <v>383</v>
      </c>
      <c r="E183" s="212" t="str">
        <f>+VLOOKUP(F183,Resumen_Base!$B$6:$F$69,5,0)</f>
        <v>Travel for personnel (employees)</v>
      </c>
      <c r="F183" s="36" t="s">
        <v>64</v>
      </c>
      <c r="G183" s="5" t="s">
        <v>65</v>
      </c>
      <c r="H183" s="5" t="str">
        <f t="shared" si="2"/>
        <v>DEL5255</v>
      </c>
      <c r="I183" s="6">
        <v>25000</v>
      </c>
      <c r="J183" s="62">
        <v>16.891891891891898</v>
      </c>
      <c r="K183" s="62">
        <v>1480</v>
      </c>
      <c r="L183" s="62" t="s">
        <v>1545</v>
      </c>
      <c r="M183" s="100" t="s">
        <v>452</v>
      </c>
      <c r="N183" s="5" t="s">
        <v>464</v>
      </c>
      <c r="O183" s="34" t="s">
        <v>1546</v>
      </c>
      <c r="P183" s="5" t="s">
        <v>1467</v>
      </c>
      <c r="Q183" s="5" t="s">
        <v>1547</v>
      </c>
      <c r="R183" s="5" t="s">
        <v>491</v>
      </c>
      <c r="S183" s="5" t="s">
        <v>1549</v>
      </c>
      <c r="T183" s="5" t="s">
        <v>445</v>
      </c>
    </row>
    <row r="184" spans="3:20">
      <c r="C184" s="5" t="str">
        <f>+VLOOKUP(F184,Resumen_Base!$B$7:$F$69,5,0)</f>
        <v>Travel for personnel (employees)</v>
      </c>
      <c r="D184" s="214" t="s">
        <v>383</v>
      </c>
      <c r="E184" s="212" t="str">
        <f>+VLOOKUP(F184,Resumen_Base!$B$6:$F$69,5,0)</f>
        <v>Travel for personnel (employees)</v>
      </c>
      <c r="F184" s="36" t="s">
        <v>64</v>
      </c>
      <c r="G184" s="5" t="s">
        <v>65</v>
      </c>
      <c r="H184" s="5" t="str">
        <f t="shared" si="2"/>
        <v>DEL5255</v>
      </c>
      <c r="I184" s="6">
        <v>51000</v>
      </c>
      <c r="J184" s="62">
        <v>34.459459459459502</v>
      </c>
      <c r="K184" s="62">
        <v>1480</v>
      </c>
      <c r="L184" s="62" t="s">
        <v>1465</v>
      </c>
      <c r="M184" s="100" t="s">
        <v>452</v>
      </c>
      <c r="N184" s="5" t="s">
        <v>464</v>
      </c>
      <c r="O184" s="34" t="s">
        <v>1561</v>
      </c>
      <c r="P184" s="5" t="s">
        <v>1467</v>
      </c>
      <c r="Q184" s="5" t="s">
        <v>1562</v>
      </c>
      <c r="R184" s="5" t="s">
        <v>1658</v>
      </c>
      <c r="S184" s="5" t="s">
        <v>1564</v>
      </c>
      <c r="T184" s="5" t="s">
        <v>445</v>
      </c>
    </row>
    <row r="185" spans="3:20">
      <c r="C185" s="5" t="str">
        <f>+VLOOKUP(F185,Resumen_Base!$B$7:$F$69,5,0)</f>
        <v>Travel for personnel (employees)</v>
      </c>
      <c r="D185" s="214" t="s">
        <v>383</v>
      </c>
      <c r="E185" s="212" t="str">
        <f>+VLOOKUP(F185,Resumen_Base!$B$6:$F$69,5,0)</f>
        <v>Travel for personnel (employees)</v>
      </c>
      <c r="F185" s="36" t="s">
        <v>64</v>
      </c>
      <c r="G185" s="5" t="s">
        <v>65</v>
      </c>
      <c r="H185" s="5" t="str">
        <f t="shared" si="2"/>
        <v>DEL5255</v>
      </c>
      <c r="I185" s="6">
        <v>700</v>
      </c>
      <c r="J185" s="62">
        <v>0.47297297297297303</v>
      </c>
      <c r="K185" s="62">
        <v>1480</v>
      </c>
      <c r="L185" s="62" t="s">
        <v>1545</v>
      </c>
      <c r="M185" s="100" t="s">
        <v>452</v>
      </c>
      <c r="N185" s="5" t="s">
        <v>464</v>
      </c>
      <c r="O185" s="34" t="s">
        <v>1546</v>
      </c>
      <c r="P185" s="5" t="s">
        <v>1467</v>
      </c>
      <c r="Q185" s="5" t="s">
        <v>1547</v>
      </c>
      <c r="R185" s="5" t="s">
        <v>660</v>
      </c>
      <c r="S185" s="5" t="s">
        <v>1549</v>
      </c>
      <c r="T185" s="5" t="s">
        <v>445</v>
      </c>
    </row>
    <row r="186" spans="3:20">
      <c r="C186" s="5" t="str">
        <f>+VLOOKUP(F186,Resumen_Base!$B$7:$F$69,5,0)</f>
        <v>Travel for personnel (employees)</v>
      </c>
      <c r="D186" s="214" t="s">
        <v>383</v>
      </c>
      <c r="E186" s="212" t="str">
        <f>+VLOOKUP(F186,Resumen_Base!$B$6:$F$69,5,0)</f>
        <v>Travel for personnel (employees)</v>
      </c>
      <c r="F186" s="36" t="s">
        <v>64</v>
      </c>
      <c r="G186" s="5" t="s">
        <v>65</v>
      </c>
      <c r="H186" s="5" t="str">
        <f t="shared" si="2"/>
        <v>DEL5255</v>
      </c>
      <c r="I186" s="6">
        <v>900</v>
      </c>
      <c r="J186" s="62">
        <v>0.608108108108108</v>
      </c>
      <c r="K186" s="62">
        <v>1480</v>
      </c>
      <c r="L186" s="62" t="s">
        <v>1545</v>
      </c>
      <c r="M186" s="100" t="s">
        <v>452</v>
      </c>
      <c r="N186" s="5" t="s">
        <v>464</v>
      </c>
      <c r="O186" s="34" t="s">
        <v>1546</v>
      </c>
      <c r="P186" s="5" t="s">
        <v>1467</v>
      </c>
      <c r="Q186" s="5" t="s">
        <v>1547</v>
      </c>
      <c r="R186" s="5" t="s">
        <v>660</v>
      </c>
      <c r="S186" s="5" t="s">
        <v>1549</v>
      </c>
      <c r="T186" s="5" t="s">
        <v>445</v>
      </c>
    </row>
    <row r="187" spans="3:20">
      <c r="C187" s="5" t="str">
        <f>+VLOOKUP(F187,Resumen_Base!$B$7:$F$69,5,0)</f>
        <v>Travel for personnel (employees)</v>
      </c>
      <c r="D187" s="214" t="s">
        <v>383</v>
      </c>
      <c r="E187" s="212" t="str">
        <f>+VLOOKUP(F187,Resumen_Base!$B$6:$F$69,5,0)</f>
        <v>Travel for personnel (employees)</v>
      </c>
      <c r="F187" s="36" t="s">
        <v>64</v>
      </c>
      <c r="G187" s="5" t="s">
        <v>65</v>
      </c>
      <c r="H187" s="5" t="str">
        <f t="shared" si="2"/>
        <v>DEL5255</v>
      </c>
      <c r="I187" s="6">
        <v>900</v>
      </c>
      <c r="J187" s="62">
        <v>0.608108108108108</v>
      </c>
      <c r="K187" s="62">
        <v>1480</v>
      </c>
      <c r="L187" s="62" t="s">
        <v>1545</v>
      </c>
      <c r="M187" s="100" t="s">
        <v>452</v>
      </c>
      <c r="N187" s="5" t="s">
        <v>464</v>
      </c>
      <c r="O187" s="34" t="s">
        <v>1546</v>
      </c>
      <c r="P187" s="5" t="s">
        <v>1467</v>
      </c>
      <c r="Q187" s="5" t="s">
        <v>1547</v>
      </c>
      <c r="R187" s="5" t="s">
        <v>660</v>
      </c>
      <c r="S187" s="5" t="s">
        <v>1549</v>
      </c>
      <c r="T187" s="5" t="s">
        <v>445</v>
      </c>
    </row>
    <row r="188" spans="3:20">
      <c r="C188" s="5" t="str">
        <f>+VLOOKUP(F188,Resumen_Base!$B$7:$F$69,5,0)</f>
        <v>Travel for personnel (employees)</v>
      </c>
      <c r="D188" s="214" t="s">
        <v>383</v>
      </c>
      <c r="E188" s="212" t="str">
        <f>+VLOOKUP(F188,Resumen_Base!$B$6:$F$69,5,0)</f>
        <v>Travel for personnel (employees)</v>
      </c>
      <c r="F188" s="36" t="s">
        <v>64</v>
      </c>
      <c r="G188" s="5" t="s">
        <v>65</v>
      </c>
      <c r="H188" s="5" t="str">
        <f t="shared" si="2"/>
        <v>DEL5255</v>
      </c>
      <c r="I188" s="6">
        <v>900</v>
      </c>
      <c r="J188" s="62">
        <v>0.608108108108108</v>
      </c>
      <c r="K188" s="62">
        <v>1480</v>
      </c>
      <c r="L188" s="62" t="s">
        <v>1545</v>
      </c>
      <c r="M188" s="100" t="s">
        <v>452</v>
      </c>
      <c r="N188" s="5" t="s">
        <v>464</v>
      </c>
      <c r="O188" s="34" t="s">
        <v>1546</v>
      </c>
      <c r="P188" s="5" t="s">
        <v>1467</v>
      </c>
      <c r="Q188" s="5" t="s">
        <v>1547</v>
      </c>
      <c r="R188" s="5" t="s">
        <v>637</v>
      </c>
      <c r="S188" s="5" t="s">
        <v>1549</v>
      </c>
      <c r="T188" s="5" t="s">
        <v>445</v>
      </c>
    </row>
    <row r="189" spans="3:20">
      <c r="C189" s="5" t="str">
        <f>+VLOOKUP(F189,Resumen_Base!$B$7:$F$69,5,0)</f>
        <v>Travel for personnel (employees)</v>
      </c>
      <c r="D189" s="214" t="s">
        <v>383</v>
      </c>
      <c r="E189" s="212" t="str">
        <f>+VLOOKUP(F189,Resumen_Base!$B$6:$F$69,5,0)</f>
        <v>Travel for personnel (employees)</v>
      </c>
      <c r="F189" s="36" t="s">
        <v>64</v>
      </c>
      <c r="G189" s="5" t="s">
        <v>65</v>
      </c>
      <c r="H189" s="5" t="str">
        <f t="shared" si="2"/>
        <v>DEL5255</v>
      </c>
      <c r="I189" s="6">
        <v>700</v>
      </c>
      <c r="J189" s="62">
        <v>0.47297297297297303</v>
      </c>
      <c r="K189" s="62">
        <v>1480</v>
      </c>
      <c r="L189" s="62" t="s">
        <v>1545</v>
      </c>
      <c r="M189" s="100" t="s">
        <v>452</v>
      </c>
      <c r="N189" s="5" t="s">
        <v>464</v>
      </c>
      <c r="O189" s="34" t="s">
        <v>1546</v>
      </c>
      <c r="P189" s="5" t="s">
        <v>1467</v>
      </c>
      <c r="Q189" s="5" t="s">
        <v>1547</v>
      </c>
      <c r="R189" s="5" t="s">
        <v>637</v>
      </c>
      <c r="S189" s="5" t="s">
        <v>1549</v>
      </c>
      <c r="T189" s="5" t="s">
        <v>445</v>
      </c>
    </row>
    <row r="190" spans="3:20">
      <c r="C190" s="5" t="str">
        <f>+VLOOKUP(F190,Resumen_Base!$B$7:$F$69,5,0)</f>
        <v>Travel for personnel (employees)</v>
      </c>
      <c r="D190" s="214" t="s">
        <v>383</v>
      </c>
      <c r="E190" s="212" t="str">
        <f>+VLOOKUP(F190,Resumen_Base!$B$6:$F$69,5,0)</f>
        <v>Travel for personnel (employees)</v>
      </c>
      <c r="F190" s="36" t="s">
        <v>64</v>
      </c>
      <c r="G190" s="5" t="s">
        <v>65</v>
      </c>
      <c r="H190" s="5" t="str">
        <f t="shared" si="2"/>
        <v>DEL5255</v>
      </c>
      <c r="I190" s="6">
        <v>900</v>
      </c>
      <c r="J190" s="62">
        <v>0.608108108108108</v>
      </c>
      <c r="K190" s="62">
        <v>1480</v>
      </c>
      <c r="L190" s="62" t="s">
        <v>1545</v>
      </c>
      <c r="M190" s="100" t="s">
        <v>452</v>
      </c>
      <c r="N190" s="5" t="s">
        <v>464</v>
      </c>
      <c r="O190" s="34" t="s">
        <v>1546</v>
      </c>
      <c r="P190" s="5" t="s">
        <v>1467</v>
      </c>
      <c r="Q190" s="5" t="s">
        <v>1547</v>
      </c>
      <c r="R190" s="5" t="s">
        <v>637</v>
      </c>
      <c r="S190" s="5" t="s">
        <v>1549</v>
      </c>
      <c r="T190" s="5" t="s">
        <v>445</v>
      </c>
    </row>
    <row r="191" spans="3:20">
      <c r="C191" s="5" t="str">
        <f>+VLOOKUP(F191,Resumen_Base!$B$7:$F$69,5,0)</f>
        <v>Travel for personnel (employees)</v>
      </c>
      <c r="D191" s="214" t="s">
        <v>383</v>
      </c>
      <c r="E191" s="212" t="str">
        <f>+VLOOKUP(F191,Resumen_Base!$B$6:$F$69,5,0)</f>
        <v>Travel for personnel (employees)</v>
      </c>
      <c r="F191" s="36" t="s">
        <v>64</v>
      </c>
      <c r="G191" s="5" t="s">
        <v>65</v>
      </c>
      <c r="H191" s="5" t="str">
        <f t="shared" si="2"/>
        <v>DEL5255</v>
      </c>
      <c r="I191" s="6">
        <v>700</v>
      </c>
      <c r="J191" s="62">
        <v>0.47297297297297303</v>
      </c>
      <c r="K191" s="62">
        <v>1480</v>
      </c>
      <c r="L191" s="62" t="s">
        <v>1545</v>
      </c>
      <c r="M191" s="100" t="s">
        <v>452</v>
      </c>
      <c r="N191" s="5" t="s">
        <v>464</v>
      </c>
      <c r="O191" s="34" t="s">
        <v>1546</v>
      </c>
      <c r="P191" s="5" t="s">
        <v>1467</v>
      </c>
      <c r="Q191" s="5" t="s">
        <v>1547</v>
      </c>
      <c r="R191" s="5" t="s">
        <v>637</v>
      </c>
      <c r="S191" s="5" t="s">
        <v>1549</v>
      </c>
      <c r="T191" s="5" t="s">
        <v>445</v>
      </c>
    </row>
    <row r="192" spans="3:20">
      <c r="C192" s="5" t="str">
        <f>+VLOOKUP(F192,Resumen_Base!$B$7:$F$69,5,0)</f>
        <v>Travel for personnel (employees)</v>
      </c>
      <c r="D192" s="214" t="s">
        <v>383</v>
      </c>
      <c r="E192" s="212" t="str">
        <f>+VLOOKUP(F192,Resumen_Base!$B$6:$F$69,5,0)</f>
        <v>Travel for personnel (employees)</v>
      </c>
      <c r="F192" s="36" t="s">
        <v>64</v>
      </c>
      <c r="G192" s="5" t="s">
        <v>65</v>
      </c>
      <c r="H192" s="5" t="str">
        <f t="shared" si="2"/>
        <v>DEL5255</v>
      </c>
      <c r="I192" s="6">
        <v>96800</v>
      </c>
      <c r="J192" s="62">
        <v>65.850340136054399</v>
      </c>
      <c r="K192" s="62">
        <v>1470</v>
      </c>
      <c r="L192" s="62" t="s">
        <v>1550</v>
      </c>
      <c r="M192" s="100" t="s">
        <v>452</v>
      </c>
      <c r="N192" s="5" t="s">
        <v>464</v>
      </c>
      <c r="O192" s="34" t="s">
        <v>1551</v>
      </c>
      <c r="P192" s="5" t="s">
        <v>597</v>
      </c>
      <c r="Q192" s="5" t="s">
        <v>1552</v>
      </c>
      <c r="R192" s="5" t="s">
        <v>1663</v>
      </c>
      <c r="S192" s="5" t="s">
        <v>1554</v>
      </c>
      <c r="T192" s="5" t="s">
        <v>445</v>
      </c>
    </row>
    <row r="193" spans="3:20">
      <c r="C193" s="5" t="str">
        <f>+VLOOKUP(F193,Resumen_Base!$B$7:$F$69,5,0)</f>
        <v>Travel for personnel (employees)</v>
      </c>
      <c r="D193" s="214" t="s">
        <v>383</v>
      </c>
      <c r="E193" s="212" t="str">
        <f>+VLOOKUP(F193,Resumen_Base!$B$6:$F$69,5,0)</f>
        <v>Travel for personnel (employees)</v>
      </c>
      <c r="F193" s="36" t="s">
        <v>64</v>
      </c>
      <c r="G193" s="5" t="s">
        <v>65</v>
      </c>
      <c r="H193" s="5" t="str">
        <f t="shared" si="2"/>
        <v>DEL5255</v>
      </c>
      <c r="I193" s="6">
        <v>75000</v>
      </c>
      <c r="J193" s="62">
        <v>51.020408163265301</v>
      </c>
      <c r="K193" s="62">
        <v>1470</v>
      </c>
      <c r="L193" s="62" t="s">
        <v>1550</v>
      </c>
      <c r="M193" s="100" t="s">
        <v>452</v>
      </c>
      <c r="N193" s="5" t="s">
        <v>464</v>
      </c>
      <c r="O193" s="34" t="s">
        <v>1551</v>
      </c>
      <c r="P193" s="5" t="s">
        <v>597</v>
      </c>
      <c r="Q193" s="5" t="s">
        <v>1552</v>
      </c>
      <c r="R193" s="5" t="s">
        <v>1664</v>
      </c>
      <c r="S193" s="5" t="s">
        <v>1554</v>
      </c>
      <c r="T193" s="5" t="s">
        <v>445</v>
      </c>
    </row>
    <row r="194" spans="3:20">
      <c r="C194" s="5" t="str">
        <f>+VLOOKUP(F194,Resumen_Base!$B$7:$F$69,5,0)</f>
        <v>Travel for personnel (employees)</v>
      </c>
      <c r="D194" s="214" t="s">
        <v>383</v>
      </c>
      <c r="E194" s="212" t="str">
        <f>+VLOOKUP(F194,Resumen_Base!$B$6:$F$69,5,0)</f>
        <v>Travel for personnel (employees)</v>
      </c>
      <c r="F194" s="36" t="s">
        <v>64</v>
      </c>
      <c r="G194" s="5" t="s">
        <v>65</v>
      </c>
      <c r="H194" s="5" t="str">
        <f t="shared" si="2"/>
        <v>DEL5255</v>
      </c>
      <c r="I194" s="6">
        <v>6000</v>
      </c>
      <c r="J194" s="62">
        <v>4.0816326530612201</v>
      </c>
      <c r="K194" s="62">
        <v>1470</v>
      </c>
      <c r="L194" s="62" t="s">
        <v>1550</v>
      </c>
      <c r="M194" s="100" t="s">
        <v>452</v>
      </c>
      <c r="N194" s="5" t="s">
        <v>464</v>
      </c>
      <c r="O194" s="34" t="s">
        <v>1551</v>
      </c>
      <c r="P194" s="5" t="s">
        <v>597</v>
      </c>
      <c r="Q194" s="5" t="s">
        <v>1552</v>
      </c>
      <c r="R194" s="5" t="s">
        <v>1665</v>
      </c>
      <c r="S194" s="5" t="s">
        <v>1554</v>
      </c>
      <c r="T194" s="5" t="s">
        <v>445</v>
      </c>
    </row>
    <row r="195" spans="3:20">
      <c r="C195" s="5" t="str">
        <f>+VLOOKUP(F195,Resumen_Base!$B$7:$F$69,5,0)</f>
        <v>Travel for personnel (employees)</v>
      </c>
      <c r="D195" s="214" t="s">
        <v>383</v>
      </c>
      <c r="E195" s="212" t="str">
        <f>+VLOOKUP(F195,Resumen_Base!$B$6:$F$69,5,0)</f>
        <v>Travel for personnel (employees)</v>
      </c>
      <c r="F195" s="36" t="s">
        <v>64</v>
      </c>
      <c r="G195" s="5" t="s">
        <v>65</v>
      </c>
      <c r="H195" s="5" t="str">
        <f t="shared" si="2"/>
        <v>DEL5255</v>
      </c>
      <c r="I195" s="6">
        <v>100000</v>
      </c>
      <c r="J195" s="62">
        <v>68.027210884353707</v>
      </c>
      <c r="K195" s="62">
        <v>1470</v>
      </c>
      <c r="L195" s="62" t="s">
        <v>1550</v>
      </c>
      <c r="M195" s="100" t="s">
        <v>452</v>
      </c>
      <c r="N195" s="5" t="s">
        <v>464</v>
      </c>
      <c r="O195" s="34" t="s">
        <v>1551</v>
      </c>
      <c r="P195" s="5" t="s">
        <v>597</v>
      </c>
      <c r="Q195" s="5" t="s">
        <v>1552</v>
      </c>
      <c r="R195" s="5" t="s">
        <v>1666</v>
      </c>
      <c r="S195" s="5" t="s">
        <v>1554</v>
      </c>
      <c r="T195" s="5" t="s">
        <v>445</v>
      </c>
    </row>
    <row r="196" spans="3:20">
      <c r="C196" s="5" t="str">
        <f>+VLOOKUP(F196,Resumen_Base!$B$7:$F$69,5,0)</f>
        <v>Travel for personnel (employees)</v>
      </c>
      <c r="D196" s="214" t="s">
        <v>383</v>
      </c>
      <c r="E196" s="212" t="str">
        <f>+VLOOKUP(F196,Resumen_Base!$B$6:$F$69,5,0)</f>
        <v>Travel for personnel (employees)</v>
      </c>
      <c r="F196" s="36" t="s">
        <v>64</v>
      </c>
      <c r="G196" s="5" t="s">
        <v>65</v>
      </c>
      <c r="H196" s="5" t="str">
        <f t="shared" si="2"/>
        <v>DEL5255</v>
      </c>
      <c r="I196" s="6">
        <v>7263</v>
      </c>
      <c r="J196" s="62">
        <v>4.9408163265306104</v>
      </c>
      <c r="K196" s="62">
        <v>1470</v>
      </c>
      <c r="L196" s="62" t="s">
        <v>1550</v>
      </c>
      <c r="M196" s="100" t="s">
        <v>452</v>
      </c>
      <c r="N196" s="5" t="s">
        <v>464</v>
      </c>
      <c r="O196" s="34" t="s">
        <v>1551</v>
      </c>
      <c r="P196" s="5" t="s">
        <v>597</v>
      </c>
      <c r="Q196" s="5" t="s">
        <v>1552</v>
      </c>
      <c r="R196" s="5" t="s">
        <v>1682</v>
      </c>
      <c r="S196" s="5" t="s">
        <v>1554</v>
      </c>
      <c r="T196" s="5" t="s">
        <v>445</v>
      </c>
    </row>
    <row r="197" spans="3:20">
      <c r="C197" s="5" t="str">
        <f>+VLOOKUP(F197,Resumen_Base!$B$7:$F$69,5,0)</f>
        <v>Travel for personnel (employees)</v>
      </c>
      <c r="D197" s="214" t="s">
        <v>383</v>
      </c>
      <c r="E197" s="212" t="str">
        <f>+VLOOKUP(F197,Resumen_Base!$B$6:$F$69,5,0)</f>
        <v>Travel for personnel (employees)</v>
      </c>
      <c r="F197" s="36" t="s">
        <v>64</v>
      </c>
      <c r="G197" s="5" t="s">
        <v>65</v>
      </c>
      <c r="H197" s="5" t="str">
        <f t="shared" si="2"/>
        <v>DEL5255</v>
      </c>
      <c r="I197" s="6">
        <v>7200</v>
      </c>
      <c r="J197" s="62">
        <v>4.8648648648648596</v>
      </c>
      <c r="K197" s="62">
        <v>1480</v>
      </c>
      <c r="L197" s="62" t="s">
        <v>1545</v>
      </c>
      <c r="M197" s="100" t="s">
        <v>452</v>
      </c>
      <c r="N197" s="5" t="s">
        <v>464</v>
      </c>
      <c r="O197" s="34" t="s">
        <v>1546</v>
      </c>
      <c r="P197" s="5" t="s">
        <v>1467</v>
      </c>
      <c r="Q197" s="5" t="s">
        <v>1547</v>
      </c>
      <c r="R197" s="5" t="s">
        <v>1683</v>
      </c>
      <c r="S197" s="5" t="s">
        <v>1549</v>
      </c>
      <c r="T197" s="5" t="s">
        <v>445</v>
      </c>
    </row>
    <row r="198" spans="3:20">
      <c r="C198" s="5" t="str">
        <f>+VLOOKUP(F198,Resumen_Base!$B$7:$F$69,5,0)</f>
        <v>Travel for personnel (employees)</v>
      </c>
      <c r="D198" s="214" t="s">
        <v>383</v>
      </c>
      <c r="E198" s="212" t="str">
        <f>+VLOOKUP(F198,Resumen_Base!$B$6:$F$69,5,0)</f>
        <v>Travel for personnel (employees)</v>
      </c>
      <c r="F198" s="36" t="s">
        <v>64</v>
      </c>
      <c r="G198" s="5" t="s">
        <v>65</v>
      </c>
      <c r="H198" s="5" t="str">
        <f t="shared" si="2"/>
        <v>DEL5255</v>
      </c>
      <c r="I198" s="6">
        <v>7300</v>
      </c>
      <c r="J198" s="62">
        <v>4.9659863945578202</v>
      </c>
      <c r="K198" s="62">
        <v>1470</v>
      </c>
      <c r="L198" s="62" t="s">
        <v>1550</v>
      </c>
      <c r="M198" s="100" t="s">
        <v>452</v>
      </c>
      <c r="N198" s="5" t="s">
        <v>464</v>
      </c>
      <c r="O198" s="34" t="s">
        <v>1551</v>
      </c>
      <c r="P198" s="5" t="s">
        <v>597</v>
      </c>
      <c r="Q198" s="5" t="s">
        <v>1552</v>
      </c>
      <c r="R198" s="5" t="s">
        <v>1684</v>
      </c>
      <c r="S198" s="5" t="s">
        <v>1554</v>
      </c>
      <c r="T198" s="5" t="s">
        <v>445</v>
      </c>
    </row>
    <row r="199" spans="3:20">
      <c r="C199" s="5" t="str">
        <f>+VLOOKUP(F199,Resumen_Base!$B$7:$F$69,5,0)</f>
        <v>Travel for personnel (employees)</v>
      </c>
      <c r="D199" s="214" t="s">
        <v>383</v>
      </c>
      <c r="E199" s="212" t="str">
        <f>+VLOOKUP(F199,Resumen_Base!$B$6:$F$69,5,0)</f>
        <v>Travel for personnel (employees)</v>
      </c>
      <c r="F199" s="36" t="s">
        <v>64</v>
      </c>
      <c r="G199" s="5" t="s">
        <v>65</v>
      </c>
      <c r="H199" s="5" t="str">
        <f t="shared" si="2"/>
        <v>DEL5255</v>
      </c>
      <c r="I199" s="6">
        <v>94000</v>
      </c>
      <c r="J199" s="62">
        <v>63.945578231292501</v>
      </c>
      <c r="K199" s="62">
        <v>1470</v>
      </c>
      <c r="L199" s="62" t="s">
        <v>1550</v>
      </c>
      <c r="M199" s="100" t="s">
        <v>452</v>
      </c>
      <c r="N199" s="5" t="s">
        <v>464</v>
      </c>
      <c r="O199" s="34" t="s">
        <v>1551</v>
      </c>
      <c r="P199" s="5" t="s">
        <v>597</v>
      </c>
      <c r="Q199" s="5" t="s">
        <v>1552</v>
      </c>
      <c r="R199" s="5" t="s">
        <v>1685</v>
      </c>
      <c r="S199" s="5" t="s">
        <v>1554</v>
      </c>
      <c r="T199" s="5" t="s">
        <v>445</v>
      </c>
    </row>
    <row r="200" spans="3:20">
      <c r="C200" s="5" t="str">
        <f>+VLOOKUP(F200,Resumen_Base!$B$7:$F$69,5,0)</f>
        <v>Travel for personnel (employees)</v>
      </c>
      <c r="D200" s="214" t="s">
        <v>383</v>
      </c>
      <c r="E200" s="212" t="str">
        <f>+VLOOKUP(F200,Resumen_Base!$B$6:$F$69,5,0)</f>
        <v>Travel for personnel (employees)</v>
      </c>
      <c r="F200" s="36" t="s">
        <v>64</v>
      </c>
      <c r="G200" s="5" t="s">
        <v>65</v>
      </c>
      <c r="H200" s="5" t="str">
        <f t="shared" si="2"/>
        <v>DEL5255</v>
      </c>
      <c r="I200" s="6">
        <v>63000</v>
      </c>
      <c r="J200" s="62">
        <v>42.5675675675676</v>
      </c>
      <c r="K200" s="62">
        <v>1480</v>
      </c>
      <c r="L200" s="62" t="s">
        <v>1545</v>
      </c>
      <c r="M200" s="100" t="s">
        <v>452</v>
      </c>
      <c r="N200" s="5" t="s">
        <v>464</v>
      </c>
      <c r="O200" s="34" t="s">
        <v>1546</v>
      </c>
      <c r="P200" s="5" t="s">
        <v>1467</v>
      </c>
      <c r="Q200" s="5" t="s">
        <v>1547</v>
      </c>
      <c r="R200" s="5" t="s">
        <v>1686</v>
      </c>
      <c r="S200" s="5" t="s">
        <v>1549</v>
      </c>
      <c r="T200" s="5" t="s">
        <v>445</v>
      </c>
    </row>
    <row r="201" spans="3:20">
      <c r="C201" s="5" t="str">
        <f>+VLOOKUP(F201,Resumen_Base!$B$7:$F$69,5,0)</f>
        <v>Travel for personnel (employees)</v>
      </c>
      <c r="D201" s="214" t="s">
        <v>383</v>
      </c>
      <c r="E201" s="212" t="str">
        <f>+VLOOKUP(F201,Resumen_Base!$B$6:$F$69,5,0)</f>
        <v>Travel for personnel (employees)</v>
      </c>
      <c r="F201" s="36" t="s">
        <v>64</v>
      </c>
      <c r="G201" s="5" t="s">
        <v>65</v>
      </c>
      <c r="H201" s="5" t="str">
        <f t="shared" si="2"/>
        <v>DEL5255</v>
      </c>
      <c r="I201" s="6">
        <v>25500</v>
      </c>
      <c r="J201" s="62">
        <v>17.229729729729701</v>
      </c>
      <c r="K201" s="62">
        <v>1480</v>
      </c>
      <c r="L201" s="62" t="s">
        <v>1465</v>
      </c>
      <c r="M201" s="100" t="s">
        <v>452</v>
      </c>
      <c r="N201" s="5" t="s">
        <v>464</v>
      </c>
      <c r="O201" s="34" t="s">
        <v>1561</v>
      </c>
      <c r="P201" s="5" t="s">
        <v>1467</v>
      </c>
      <c r="Q201" s="5" t="s">
        <v>1562</v>
      </c>
      <c r="R201" s="5" t="s">
        <v>1688</v>
      </c>
      <c r="S201" s="5" t="s">
        <v>1564</v>
      </c>
      <c r="T201" s="5" t="s">
        <v>445</v>
      </c>
    </row>
    <row r="202" spans="3:20">
      <c r="C202" s="5" t="str">
        <f>+VLOOKUP(F202,Resumen_Base!$B$7:$F$69,5,0)</f>
        <v>Food &amp; Wine</v>
      </c>
      <c r="D202" s="214" t="s">
        <v>383</v>
      </c>
      <c r="E202" s="212" t="str">
        <f>+VLOOKUP(F202,Resumen_Base!$B$6:$F$69,5,0)</f>
        <v>Food &amp; Wine</v>
      </c>
      <c r="F202" s="36" t="s">
        <v>712</v>
      </c>
      <c r="G202" s="5" t="s">
        <v>713</v>
      </c>
      <c r="H202" s="5" t="str">
        <f t="shared" si="2"/>
        <v>DEL5257</v>
      </c>
      <c r="I202" s="6">
        <v>72000</v>
      </c>
      <c r="J202" s="62">
        <v>48.979591836734699</v>
      </c>
      <c r="K202" s="62">
        <v>1470</v>
      </c>
      <c r="L202" s="62" t="s">
        <v>1550</v>
      </c>
      <c r="M202" s="100" t="s">
        <v>452</v>
      </c>
      <c r="N202" s="5" t="s">
        <v>464</v>
      </c>
      <c r="O202" s="34" t="s">
        <v>1551</v>
      </c>
      <c r="P202" s="5" t="s">
        <v>597</v>
      </c>
      <c r="Q202" s="5" t="s">
        <v>1552</v>
      </c>
      <c r="R202" s="5" t="s">
        <v>1559</v>
      </c>
      <c r="S202" s="5" t="s">
        <v>1554</v>
      </c>
      <c r="T202" s="5" t="s">
        <v>445</v>
      </c>
    </row>
    <row r="203" spans="3:20">
      <c r="C203" s="5" t="str">
        <f>+VLOOKUP(F203,Resumen_Base!$B$7:$F$69,5,0)</f>
        <v>Food &amp; Wine</v>
      </c>
      <c r="D203" s="214" t="s">
        <v>383</v>
      </c>
      <c r="E203" s="212" t="str">
        <f>+VLOOKUP(F203,Resumen_Base!$B$6:$F$69,5,0)</f>
        <v>Food &amp; Wine</v>
      </c>
      <c r="F203" s="36" t="s">
        <v>712</v>
      </c>
      <c r="G203" s="5" t="s">
        <v>713</v>
      </c>
      <c r="H203" s="5" t="str">
        <f t="shared" ref="H203:H227" si="3">+D203&amp;F203</f>
        <v>DEL5257</v>
      </c>
      <c r="I203" s="6">
        <v>6400</v>
      </c>
      <c r="J203" s="62">
        <v>4.3537414965986398</v>
      </c>
      <c r="K203" s="62">
        <v>1470</v>
      </c>
      <c r="L203" s="62" t="s">
        <v>1550</v>
      </c>
      <c r="M203" s="100" t="s">
        <v>452</v>
      </c>
      <c r="N203" s="5" t="s">
        <v>464</v>
      </c>
      <c r="O203" s="34" t="s">
        <v>1551</v>
      </c>
      <c r="P203" s="5" t="s">
        <v>597</v>
      </c>
      <c r="Q203" s="5" t="s">
        <v>1552</v>
      </c>
      <c r="R203" s="5" t="s">
        <v>1580</v>
      </c>
      <c r="S203" s="5" t="s">
        <v>1554</v>
      </c>
      <c r="T203" s="5" t="s">
        <v>445</v>
      </c>
    </row>
    <row r="204" spans="3:20">
      <c r="C204" s="5" t="str">
        <f>+VLOOKUP(F204,Resumen_Base!$B$7:$F$69,5,0)</f>
        <v>Food &amp; Wine</v>
      </c>
      <c r="D204" s="214" t="s">
        <v>383</v>
      </c>
      <c r="E204" s="212" t="str">
        <f>+VLOOKUP(F204,Resumen_Base!$B$6:$F$69,5,0)</f>
        <v>Food &amp; Wine</v>
      </c>
      <c r="F204" s="36" t="s">
        <v>712</v>
      </c>
      <c r="G204" s="5" t="s">
        <v>713</v>
      </c>
      <c r="H204" s="5" t="str">
        <f t="shared" si="3"/>
        <v>DEL5257</v>
      </c>
      <c r="I204" s="6">
        <v>17500</v>
      </c>
      <c r="J204" s="62">
        <v>11.8243243243243</v>
      </c>
      <c r="K204" s="62">
        <v>1480</v>
      </c>
      <c r="L204" s="62" t="s">
        <v>1465</v>
      </c>
      <c r="M204" s="100" t="s">
        <v>452</v>
      </c>
      <c r="N204" s="5" t="s">
        <v>464</v>
      </c>
      <c r="O204" s="34" t="s">
        <v>1561</v>
      </c>
      <c r="P204" s="5" t="s">
        <v>1467</v>
      </c>
      <c r="Q204" s="5" t="s">
        <v>1562</v>
      </c>
      <c r="R204" s="5" t="s">
        <v>837</v>
      </c>
      <c r="S204" s="5" t="s">
        <v>1564</v>
      </c>
      <c r="T204" s="5" t="s">
        <v>445</v>
      </c>
    </row>
    <row r="205" spans="3:20">
      <c r="C205" s="5" t="str">
        <f>+VLOOKUP(F205,Resumen_Base!$B$7:$F$69,5,0)</f>
        <v>Food &amp; Wine</v>
      </c>
      <c r="D205" s="214" t="s">
        <v>383</v>
      </c>
      <c r="E205" s="212" t="str">
        <f>+VLOOKUP(F205,Resumen_Base!$B$6:$F$69,5,0)</f>
        <v>Food &amp; Wine</v>
      </c>
      <c r="F205" s="36" t="s">
        <v>712</v>
      </c>
      <c r="G205" s="5" t="s">
        <v>713</v>
      </c>
      <c r="H205" s="5" t="str">
        <f t="shared" si="3"/>
        <v>DEL5257</v>
      </c>
      <c r="I205" s="6">
        <v>124948</v>
      </c>
      <c r="J205" s="62">
        <v>84.998639455782296</v>
      </c>
      <c r="K205" s="62">
        <v>1470</v>
      </c>
      <c r="L205" s="62" t="s">
        <v>1550</v>
      </c>
      <c r="M205" s="100" t="s">
        <v>452</v>
      </c>
      <c r="N205" s="5" t="s">
        <v>464</v>
      </c>
      <c r="O205" s="34" t="s">
        <v>1551</v>
      </c>
      <c r="P205" s="5" t="s">
        <v>597</v>
      </c>
      <c r="Q205" s="5" t="s">
        <v>1552</v>
      </c>
      <c r="R205" s="5" t="s">
        <v>1586</v>
      </c>
      <c r="S205" s="5" t="s">
        <v>1554</v>
      </c>
      <c r="T205" s="5" t="s">
        <v>445</v>
      </c>
    </row>
    <row r="206" spans="3:20">
      <c r="C206" s="5" t="str">
        <f>+VLOOKUP(F206,Resumen_Base!$B$7:$F$69,5,0)</f>
        <v>Food &amp; Wine</v>
      </c>
      <c r="D206" s="214" t="s">
        <v>383</v>
      </c>
      <c r="E206" s="212" t="str">
        <f>+VLOOKUP(F206,Resumen_Base!$B$6:$F$69,5,0)</f>
        <v>Food &amp; Wine</v>
      </c>
      <c r="F206" s="36" t="s">
        <v>712</v>
      </c>
      <c r="G206" s="5" t="s">
        <v>713</v>
      </c>
      <c r="H206" s="5" t="str">
        <f t="shared" si="3"/>
        <v>DEL5257</v>
      </c>
      <c r="I206" s="6">
        <v>46465</v>
      </c>
      <c r="J206" s="62">
        <v>31.395270270270299</v>
      </c>
      <c r="K206" s="62">
        <v>1480</v>
      </c>
      <c r="L206" s="62" t="s">
        <v>1545</v>
      </c>
      <c r="M206" s="100" t="s">
        <v>452</v>
      </c>
      <c r="N206" s="5" t="s">
        <v>464</v>
      </c>
      <c r="O206" s="34" t="s">
        <v>1546</v>
      </c>
      <c r="P206" s="5" t="s">
        <v>1467</v>
      </c>
      <c r="Q206" s="5" t="s">
        <v>1547</v>
      </c>
      <c r="R206" s="5" t="s">
        <v>1590</v>
      </c>
      <c r="S206" s="5" t="s">
        <v>1549</v>
      </c>
      <c r="T206" s="5" t="s">
        <v>445</v>
      </c>
    </row>
    <row r="207" spans="3:20">
      <c r="C207" s="5" t="str">
        <f>+VLOOKUP(F207,Resumen_Base!$B$7:$F$69,5,0)</f>
        <v>Food &amp; Wine</v>
      </c>
      <c r="D207" s="214" t="s">
        <v>383</v>
      </c>
      <c r="E207" s="212" t="str">
        <f>+VLOOKUP(F207,Resumen_Base!$B$6:$F$69,5,0)</f>
        <v>Food &amp; Wine</v>
      </c>
      <c r="F207" s="36" t="s">
        <v>712</v>
      </c>
      <c r="G207" s="5" t="s">
        <v>713</v>
      </c>
      <c r="H207" s="5" t="str">
        <f t="shared" si="3"/>
        <v>DEL5257</v>
      </c>
      <c r="I207" s="6">
        <v>1008453</v>
      </c>
      <c r="J207" s="62">
        <v>686.02244897959201</v>
      </c>
      <c r="K207" s="62">
        <v>1470</v>
      </c>
      <c r="L207" s="62" t="s">
        <v>1550</v>
      </c>
      <c r="M207" s="100" t="s">
        <v>452</v>
      </c>
      <c r="N207" s="5" t="s">
        <v>464</v>
      </c>
      <c r="O207" s="34" t="s">
        <v>1551</v>
      </c>
      <c r="P207" s="5" t="s">
        <v>597</v>
      </c>
      <c r="Q207" s="5" t="s">
        <v>1552</v>
      </c>
      <c r="R207" s="5" t="s">
        <v>1595</v>
      </c>
      <c r="S207" s="5" t="s">
        <v>1554</v>
      </c>
      <c r="T207" s="5" t="s">
        <v>445</v>
      </c>
    </row>
    <row r="208" spans="3:20">
      <c r="C208" s="5" t="str">
        <f>+VLOOKUP(F208,Resumen_Base!$B$7:$F$69,5,0)</f>
        <v>Food &amp; Wine</v>
      </c>
      <c r="D208" s="214" t="s">
        <v>383</v>
      </c>
      <c r="E208" s="212" t="str">
        <f>+VLOOKUP(F208,Resumen_Base!$B$6:$F$69,5,0)</f>
        <v>Food &amp; Wine</v>
      </c>
      <c r="F208" s="36" t="s">
        <v>712</v>
      </c>
      <c r="G208" s="5" t="s">
        <v>713</v>
      </c>
      <c r="H208" s="5" t="str">
        <f t="shared" si="3"/>
        <v>DEL5257</v>
      </c>
      <c r="I208" s="6">
        <v>62955</v>
      </c>
      <c r="J208" s="62">
        <v>42.826530612244902</v>
      </c>
      <c r="K208" s="62">
        <v>1470</v>
      </c>
      <c r="L208" s="62" t="s">
        <v>1550</v>
      </c>
      <c r="M208" s="100" t="s">
        <v>452</v>
      </c>
      <c r="N208" s="5" t="s">
        <v>464</v>
      </c>
      <c r="O208" s="34" t="s">
        <v>1551</v>
      </c>
      <c r="P208" s="5" t="s">
        <v>597</v>
      </c>
      <c r="Q208" s="5" t="s">
        <v>1552</v>
      </c>
      <c r="R208" s="5" t="s">
        <v>1596</v>
      </c>
      <c r="S208" s="5" t="s">
        <v>1554</v>
      </c>
      <c r="T208" s="5" t="s">
        <v>445</v>
      </c>
    </row>
    <row r="209" spans="1:20">
      <c r="C209" s="5" t="str">
        <f>+VLOOKUP(F209,Resumen_Base!$B$7:$F$69,5,0)</f>
        <v>Electricity</v>
      </c>
      <c r="D209" s="214" t="s">
        <v>383</v>
      </c>
      <c r="E209" s="212" t="str">
        <f>+VLOOKUP(F209,Resumen_Base!$B$6:$F$69,5,0)</f>
        <v>Electricity</v>
      </c>
      <c r="F209" s="36" t="s">
        <v>66</v>
      </c>
      <c r="G209" s="5" t="s">
        <v>67</v>
      </c>
      <c r="H209" s="5" t="str">
        <f t="shared" si="3"/>
        <v>DEL5259</v>
      </c>
      <c r="I209" s="6">
        <v>38000</v>
      </c>
      <c r="J209" s="62">
        <v>25.850340136054399</v>
      </c>
      <c r="K209" s="62">
        <v>1470</v>
      </c>
      <c r="L209" s="62" t="s">
        <v>1550</v>
      </c>
      <c r="M209" s="100" t="s">
        <v>452</v>
      </c>
      <c r="N209" s="5" t="s">
        <v>464</v>
      </c>
      <c r="O209" s="34" t="s">
        <v>1551</v>
      </c>
      <c r="P209" s="5" t="s">
        <v>597</v>
      </c>
      <c r="Q209" s="5" t="s">
        <v>1552</v>
      </c>
      <c r="R209" s="5" t="s">
        <v>1584</v>
      </c>
      <c r="S209" s="5" t="s">
        <v>1554</v>
      </c>
      <c r="T209" s="5" t="s">
        <v>445</v>
      </c>
    </row>
    <row r="210" spans="1:20">
      <c r="A210" s="336">
        <v>5291</v>
      </c>
      <c r="B210" s="5">
        <v>5263</v>
      </c>
      <c r="C210" s="5" t="str">
        <f>+VLOOKUP(F210,Resumen_Base!$B$7:$F$69,5,0)</f>
        <v>Food &amp; Wine</v>
      </c>
      <c r="D210" s="214" t="s">
        <v>383</v>
      </c>
      <c r="E210" s="212" t="str">
        <f>+VLOOKUP(F210,Resumen_Base!$B$6:$F$69,5,0)</f>
        <v>Food &amp; Wine</v>
      </c>
      <c r="F210" s="3" t="s">
        <v>110</v>
      </c>
      <c r="G210" t="s">
        <v>111</v>
      </c>
      <c r="H210" s="5" t="str">
        <f t="shared" si="3"/>
        <v>DEL5291</v>
      </c>
      <c r="I210" s="6">
        <v>20000</v>
      </c>
      <c r="J210" s="62">
        <v>13.5135135135135</v>
      </c>
      <c r="K210" s="62">
        <v>1480</v>
      </c>
      <c r="L210" s="62" t="s">
        <v>1545</v>
      </c>
      <c r="M210" s="100" t="s">
        <v>452</v>
      </c>
      <c r="N210" s="5" t="s">
        <v>464</v>
      </c>
      <c r="O210" s="34" t="s">
        <v>1546</v>
      </c>
      <c r="P210" s="5" t="s">
        <v>1467</v>
      </c>
      <c r="Q210" s="5" t="s">
        <v>1547</v>
      </c>
      <c r="R210" s="5" t="s">
        <v>1566</v>
      </c>
      <c r="S210" s="5" t="s">
        <v>1549</v>
      </c>
      <c r="T210" s="5" t="s">
        <v>445</v>
      </c>
    </row>
    <row r="211" spans="1:20">
      <c r="A211" s="336">
        <v>5291</v>
      </c>
      <c r="B211" s="5">
        <v>5263</v>
      </c>
      <c r="C211" s="5" t="str">
        <f>+VLOOKUP(F211,Resumen_Base!$B$7:$F$69,5,0)</f>
        <v>Food &amp; Wine</v>
      </c>
      <c r="D211" s="214" t="s">
        <v>383</v>
      </c>
      <c r="E211" s="212" t="str">
        <f>+VLOOKUP(F211,Resumen_Base!$B$6:$F$69,5,0)</f>
        <v>Food &amp; Wine</v>
      </c>
      <c r="F211" s="3" t="s">
        <v>110</v>
      </c>
      <c r="G211" t="s">
        <v>111</v>
      </c>
      <c r="H211" s="5" t="str">
        <f t="shared" si="3"/>
        <v>DEL5291</v>
      </c>
      <c r="I211" s="6">
        <v>6000</v>
      </c>
      <c r="J211" s="62">
        <v>4.0816326530612201</v>
      </c>
      <c r="K211" s="62">
        <v>1470</v>
      </c>
      <c r="L211" s="62" t="s">
        <v>1550</v>
      </c>
      <c r="M211" s="100" t="s">
        <v>452</v>
      </c>
      <c r="N211" s="5" t="s">
        <v>464</v>
      </c>
      <c r="O211" s="34" t="s">
        <v>1551</v>
      </c>
      <c r="P211" s="5" t="s">
        <v>597</v>
      </c>
      <c r="Q211" s="5" t="s">
        <v>1552</v>
      </c>
      <c r="R211" s="5" t="s">
        <v>1579</v>
      </c>
      <c r="S211" s="5" t="s">
        <v>1554</v>
      </c>
      <c r="T211" s="5" t="s">
        <v>445</v>
      </c>
    </row>
    <row r="212" spans="1:20">
      <c r="A212" s="336">
        <v>5291</v>
      </c>
      <c r="B212" s="5">
        <v>5263</v>
      </c>
      <c r="C212" s="5" t="str">
        <f>+VLOOKUP(F212,Resumen_Base!$B$7:$F$69,5,0)</f>
        <v>Food &amp; Wine</v>
      </c>
      <c r="D212" s="214" t="s">
        <v>383</v>
      </c>
      <c r="E212" s="212" t="str">
        <f>+VLOOKUP(F212,Resumen_Base!$B$6:$F$69,5,0)</f>
        <v>Food &amp; Wine</v>
      </c>
      <c r="F212" s="3" t="s">
        <v>110</v>
      </c>
      <c r="G212" t="s">
        <v>111</v>
      </c>
      <c r="H212" s="5" t="str">
        <f t="shared" si="3"/>
        <v>DEL5291</v>
      </c>
      <c r="I212" s="6">
        <v>37000</v>
      </c>
      <c r="J212" s="62">
        <v>25.170068027210899</v>
      </c>
      <c r="K212" s="62">
        <v>1470</v>
      </c>
      <c r="L212" s="62" t="s">
        <v>1550</v>
      </c>
      <c r="M212" s="100" t="s">
        <v>452</v>
      </c>
      <c r="N212" s="5" t="s">
        <v>464</v>
      </c>
      <c r="O212" s="34" t="s">
        <v>1551</v>
      </c>
      <c r="P212" s="5" t="s">
        <v>597</v>
      </c>
      <c r="Q212" s="5" t="s">
        <v>1552</v>
      </c>
      <c r="R212" s="5" t="s">
        <v>1583</v>
      </c>
      <c r="S212" s="5" t="s">
        <v>1554</v>
      </c>
      <c r="T212" s="5" t="s">
        <v>445</v>
      </c>
    </row>
    <row r="213" spans="1:20">
      <c r="A213" s="336">
        <v>5208</v>
      </c>
      <c r="B213" s="5">
        <v>5263</v>
      </c>
      <c r="C213" s="5" t="str">
        <f>+VLOOKUP(F213,Resumen_Base!$B$7:$F$69,5,0)</f>
        <v>Canon Lodge/Labor Permits:</v>
      </c>
      <c r="D213" s="214" t="s">
        <v>383</v>
      </c>
      <c r="E213" s="212" t="str">
        <f>+VLOOKUP(F213,Resumen_Base!$B$6:$F$69,5,0)</f>
        <v>Canon Lodge/Labor Permits:</v>
      </c>
      <c r="F213" s="3" t="s">
        <v>141</v>
      </c>
      <c r="G213" t="s">
        <v>142</v>
      </c>
      <c r="H213" s="5" t="str">
        <f t="shared" si="3"/>
        <v>DEL5208</v>
      </c>
      <c r="I213" s="6">
        <v>30000</v>
      </c>
      <c r="J213" s="62">
        <v>20.270270270270299</v>
      </c>
      <c r="K213" s="62">
        <v>1480</v>
      </c>
      <c r="L213" s="62" t="s">
        <v>1545</v>
      </c>
      <c r="M213" s="100" t="s">
        <v>452</v>
      </c>
      <c r="N213" s="5" t="s">
        <v>464</v>
      </c>
      <c r="O213" s="34" t="s">
        <v>1546</v>
      </c>
      <c r="P213" s="5" t="s">
        <v>1467</v>
      </c>
      <c r="Q213" s="5" t="s">
        <v>1547</v>
      </c>
      <c r="R213" s="5" t="s">
        <v>1632</v>
      </c>
      <c r="S213" s="5" t="s">
        <v>1549</v>
      </c>
      <c r="T213" s="5" t="s">
        <v>445</v>
      </c>
    </row>
    <row r="214" spans="1:20">
      <c r="A214" s="336">
        <v>5252</v>
      </c>
      <c r="B214" s="5">
        <v>5263</v>
      </c>
      <c r="C214" s="5" t="str">
        <f>+VLOOKUP(F214,Resumen_Base!$B$7:$F$69,5,0)</f>
        <v>Maintenance Lodge</v>
      </c>
      <c r="D214" s="214" t="s">
        <v>383</v>
      </c>
      <c r="E214" s="212" t="str">
        <f>+VLOOKUP(F214,Resumen_Base!$B$6:$F$69,5,0)</f>
        <v>Maintenance Lodge</v>
      </c>
      <c r="F214" s="3" t="s">
        <v>31</v>
      </c>
      <c r="G214" t="s">
        <v>30</v>
      </c>
      <c r="H214" s="5" t="str">
        <f t="shared" si="3"/>
        <v>DEL5252</v>
      </c>
      <c r="I214" s="6">
        <v>100000</v>
      </c>
      <c r="J214" s="62">
        <v>67.567567567567593</v>
      </c>
      <c r="K214" s="62">
        <v>1480</v>
      </c>
      <c r="L214" s="62" t="s">
        <v>1545</v>
      </c>
      <c r="M214" s="100" t="s">
        <v>452</v>
      </c>
      <c r="N214" s="5" t="s">
        <v>464</v>
      </c>
      <c r="O214" s="34" t="s">
        <v>1546</v>
      </c>
      <c r="P214" s="5" t="s">
        <v>1467</v>
      </c>
      <c r="Q214" s="5" t="s">
        <v>1547</v>
      </c>
      <c r="R214" s="5" t="s">
        <v>1646</v>
      </c>
      <c r="S214" s="5" t="s">
        <v>1549</v>
      </c>
      <c r="T214" s="5" t="s">
        <v>445</v>
      </c>
    </row>
    <row r="215" spans="1:20">
      <c r="A215" s="336">
        <v>5291</v>
      </c>
      <c r="B215" s="5">
        <v>5263</v>
      </c>
      <c r="C215" s="5" t="str">
        <f>+VLOOKUP(F215,Resumen_Base!$B$7:$F$69,5,0)</f>
        <v>Food &amp; Wine</v>
      </c>
      <c r="D215" s="214" t="s">
        <v>383</v>
      </c>
      <c r="E215" s="212" t="str">
        <f>+VLOOKUP(F215,Resumen_Base!$B$6:$F$69,5,0)</f>
        <v>Food &amp; Wine</v>
      </c>
      <c r="F215" s="3" t="s">
        <v>110</v>
      </c>
      <c r="G215" t="s">
        <v>111</v>
      </c>
      <c r="H215" s="5" t="str">
        <f t="shared" si="3"/>
        <v>DEL5291</v>
      </c>
      <c r="I215" s="6">
        <v>10000</v>
      </c>
      <c r="J215" s="62">
        <v>6.7567567567567597</v>
      </c>
      <c r="K215" s="62">
        <v>1480</v>
      </c>
      <c r="L215" s="62" t="s">
        <v>1465</v>
      </c>
      <c r="M215" s="100" t="s">
        <v>452</v>
      </c>
      <c r="N215" s="5" t="s">
        <v>464</v>
      </c>
      <c r="O215" s="34" t="s">
        <v>1561</v>
      </c>
      <c r="P215" s="5" t="s">
        <v>1467</v>
      </c>
      <c r="Q215" s="5" t="s">
        <v>1562</v>
      </c>
      <c r="R215" s="5" t="s">
        <v>1647</v>
      </c>
      <c r="S215" s="5" t="s">
        <v>1564</v>
      </c>
      <c r="T215" s="5" t="s">
        <v>445</v>
      </c>
    </row>
    <row r="216" spans="1:20">
      <c r="A216" s="336">
        <v>5252</v>
      </c>
      <c r="B216" s="5">
        <v>5263</v>
      </c>
      <c r="C216" s="5" t="str">
        <f>+VLOOKUP(F216,Resumen_Base!$B$7:$F$69,5,0)</f>
        <v>Maintenance Lodge</v>
      </c>
      <c r="D216" s="214" t="s">
        <v>383</v>
      </c>
      <c r="E216" s="212" t="str">
        <f>+VLOOKUP(F216,Resumen_Base!$B$6:$F$69,5,0)</f>
        <v>Maintenance Lodge</v>
      </c>
      <c r="F216" s="3" t="s">
        <v>31</v>
      </c>
      <c r="G216" t="s">
        <v>30</v>
      </c>
      <c r="H216" s="5" t="str">
        <f t="shared" si="3"/>
        <v>DEL5252</v>
      </c>
      <c r="I216" s="6">
        <v>70000</v>
      </c>
      <c r="J216" s="62">
        <v>47.297297297297298</v>
      </c>
      <c r="K216" s="62">
        <v>1480</v>
      </c>
      <c r="L216" s="62" t="s">
        <v>1545</v>
      </c>
      <c r="M216" s="100" t="s">
        <v>452</v>
      </c>
      <c r="N216" s="5" t="s">
        <v>464</v>
      </c>
      <c r="O216" s="34" t="s">
        <v>1546</v>
      </c>
      <c r="P216" s="5" t="s">
        <v>1467</v>
      </c>
      <c r="Q216" s="5" t="s">
        <v>1547</v>
      </c>
      <c r="R216" s="5" t="s">
        <v>1648</v>
      </c>
      <c r="S216" s="5" t="s">
        <v>1549</v>
      </c>
      <c r="T216" s="5" t="s">
        <v>445</v>
      </c>
    </row>
    <row r="217" spans="1:20">
      <c r="A217" s="336">
        <v>5208</v>
      </c>
      <c r="B217" s="5">
        <v>5263</v>
      </c>
      <c r="C217" s="5" t="str">
        <f>+VLOOKUP(F217,Resumen_Base!$B$7:$F$69,5,0)</f>
        <v>Canon Lodge/Labor Permits:</v>
      </c>
      <c r="D217" s="214" t="s">
        <v>383</v>
      </c>
      <c r="E217" s="212" t="str">
        <f>+VLOOKUP(F217,Resumen_Base!$B$6:$F$69,5,0)</f>
        <v>Canon Lodge/Labor Permits:</v>
      </c>
      <c r="F217" s="3" t="s">
        <v>141</v>
      </c>
      <c r="G217" t="s">
        <v>142</v>
      </c>
      <c r="H217" s="5" t="str">
        <f t="shared" si="3"/>
        <v>DEL5208</v>
      </c>
      <c r="I217" s="6">
        <v>10000</v>
      </c>
      <c r="J217" s="62">
        <v>6.8027210884353702</v>
      </c>
      <c r="K217" s="62">
        <v>1470</v>
      </c>
      <c r="L217" s="62" t="s">
        <v>1550</v>
      </c>
      <c r="M217" s="100" t="s">
        <v>452</v>
      </c>
      <c r="N217" s="5" t="s">
        <v>464</v>
      </c>
      <c r="O217" s="34" t="s">
        <v>1551</v>
      </c>
      <c r="P217" s="5" t="s">
        <v>597</v>
      </c>
      <c r="Q217" s="5" t="s">
        <v>1552</v>
      </c>
      <c r="R217" s="5" t="s">
        <v>1652</v>
      </c>
      <c r="S217" s="5" t="s">
        <v>1554</v>
      </c>
      <c r="T217" s="5" t="s">
        <v>445</v>
      </c>
    </row>
    <row r="218" spans="1:20">
      <c r="A218" s="336">
        <v>5252</v>
      </c>
      <c r="B218" s="5">
        <v>5263</v>
      </c>
      <c r="C218" s="5" t="str">
        <f>+VLOOKUP(F218,Resumen_Base!$B$7:$F$69,5,0)</f>
        <v>Maintenance Lodge</v>
      </c>
      <c r="D218" s="214" t="s">
        <v>383</v>
      </c>
      <c r="E218" s="212" t="str">
        <f>+VLOOKUP(F218,Resumen_Base!$B$6:$F$69,5,0)</f>
        <v>Maintenance Lodge</v>
      </c>
      <c r="F218" s="3" t="s">
        <v>31</v>
      </c>
      <c r="G218" t="s">
        <v>30</v>
      </c>
      <c r="H218" s="5" t="str">
        <f t="shared" si="3"/>
        <v>DEL5252</v>
      </c>
      <c r="I218" s="6">
        <v>20000</v>
      </c>
      <c r="J218" s="62">
        <v>13.5135135135135</v>
      </c>
      <c r="K218" s="62">
        <v>1480</v>
      </c>
      <c r="L218" s="62" t="s">
        <v>1465</v>
      </c>
      <c r="M218" s="100" t="s">
        <v>452</v>
      </c>
      <c r="N218" s="5" t="s">
        <v>464</v>
      </c>
      <c r="O218" s="34" t="s">
        <v>1561</v>
      </c>
      <c r="P218" s="5" t="s">
        <v>1467</v>
      </c>
      <c r="Q218" s="5" t="s">
        <v>1562</v>
      </c>
      <c r="R218" s="5" t="s">
        <v>1654</v>
      </c>
      <c r="S218" s="5" t="s">
        <v>1564</v>
      </c>
      <c r="T218" s="5" t="s">
        <v>445</v>
      </c>
    </row>
    <row r="219" spans="1:20">
      <c r="A219" s="336">
        <v>5291</v>
      </c>
      <c r="B219" s="5">
        <v>5263</v>
      </c>
      <c r="C219" s="5" t="str">
        <f>+VLOOKUP(F219,Resumen_Base!$B$7:$F$69,5,0)</f>
        <v>Food &amp; Wine</v>
      </c>
      <c r="D219" s="214" t="s">
        <v>383</v>
      </c>
      <c r="E219" s="212" t="str">
        <f>+VLOOKUP(F219,Resumen_Base!$B$6:$F$69,5,0)</f>
        <v>Food &amp; Wine</v>
      </c>
      <c r="F219" s="3" t="s">
        <v>110</v>
      </c>
      <c r="G219" t="s">
        <v>111</v>
      </c>
      <c r="H219" s="5" t="str">
        <f t="shared" si="3"/>
        <v>DEL5291</v>
      </c>
      <c r="I219" s="6">
        <v>15000</v>
      </c>
      <c r="J219" s="62">
        <v>10.1351351351351</v>
      </c>
      <c r="K219" s="62">
        <v>1480</v>
      </c>
      <c r="L219" s="62" t="s">
        <v>1465</v>
      </c>
      <c r="M219" s="100" t="s">
        <v>452</v>
      </c>
      <c r="N219" s="5" t="s">
        <v>464</v>
      </c>
      <c r="O219" s="34" t="s">
        <v>1561</v>
      </c>
      <c r="P219" s="5" t="s">
        <v>1467</v>
      </c>
      <c r="Q219" s="5" t="s">
        <v>1562</v>
      </c>
      <c r="R219" s="5" t="s">
        <v>1655</v>
      </c>
      <c r="S219" s="5" t="s">
        <v>1564</v>
      </c>
      <c r="T219" s="5" t="s">
        <v>445</v>
      </c>
    </row>
    <row r="220" spans="1:20">
      <c r="A220" s="336">
        <v>5252</v>
      </c>
      <c r="B220" s="5">
        <v>5263</v>
      </c>
      <c r="C220" s="5" t="str">
        <f>+VLOOKUP(F220,Resumen_Base!$B$7:$F$69,5,0)</f>
        <v>Maintenance Lodge</v>
      </c>
      <c r="D220" s="214" t="s">
        <v>383</v>
      </c>
      <c r="E220" s="212" t="str">
        <f>+VLOOKUP(F220,Resumen_Base!$B$6:$F$69,5,0)</f>
        <v>Maintenance Lodge</v>
      </c>
      <c r="F220" s="3" t="s">
        <v>31</v>
      </c>
      <c r="G220" t="s">
        <v>30</v>
      </c>
      <c r="H220" s="5" t="str">
        <f t="shared" si="3"/>
        <v>DEL5252</v>
      </c>
      <c r="I220" s="6">
        <v>10000</v>
      </c>
      <c r="J220" s="62">
        <v>6.7567567567567597</v>
      </c>
      <c r="K220" s="62">
        <v>1480</v>
      </c>
      <c r="L220" s="62" t="s">
        <v>1545</v>
      </c>
      <c r="M220" s="100" t="s">
        <v>452</v>
      </c>
      <c r="N220" s="5" t="s">
        <v>464</v>
      </c>
      <c r="O220" s="34" t="s">
        <v>1546</v>
      </c>
      <c r="P220" s="5" t="s">
        <v>1467</v>
      </c>
      <c r="Q220" s="5" t="s">
        <v>1547</v>
      </c>
      <c r="R220" s="5" t="s">
        <v>1667</v>
      </c>
      <c r="S220" s="5" t="s">
        <v>1549</v>
      </c>
      <c r="T220" s="5" t="s">
        <v>445</v>
      </c>
    </row>
    <row r="221" spans="1:20">
      <c r="A221" s="336">
        <v>5291</v>
      </c>
      <c r="B221" s="5">
        <v>5263</v>
      </c>
      <c r="C221" s="5" t="str">
        <f>+VLOOKUP(F221,Resumen_Base!$B$7:$F$69,5,0)</f>
        <v>Food &amp; Wine</v>
      </c>
      <c r="D221" s="214" t="s">
        <v>383</v>
      </c>
      <c r="E221" s="212" t="str">
        <f>+VLOOKUP(F221,Resumen_Base!$B$6:$F$69,5,0)</f>
        <v>Food &amp; Wine</v>
      </c>
      <c r="F221" s="3" t="s">
        <v>110</v>
      </c>
      <c r="G221" t="s">
        <v>111</v>
      </c>
      <c r="H221" s="5" t="str">
        <f t="shared" si="3"/>
        <v>DEL5291</v>
      </c>
      <c r="I221" s="6">
        <v>32000</v>
      </c>
      <c r="J221" s="62">
        <v>21.6216216216216</v>
      </c>
      <c r="K221" s="62">
        <v>1480</v>
      </c>
      <c r="L221" s="62" t="s">
        <v>1545</v>
      </c>
      <c r="M221" s="100" t="s">
        <v>452</v>
      </c>
      <c r="N221" s="5" t="s">
        <v>464</v>
      </c>
      <c r="O221" s="34" t="s">
        <v>1546</v>
      </c>
      <c r="P221" s="5" t="s">
        <v>1467</v>
      </c>
      <c r="Q221" s="5" t="s">
        <v>1547</v>
      </c>
      <c r="R221" s="5" t="s">
        <v>1668</v>
      </c>
      <c r="S221" s="5" t="s">
        <v>1549</v>
      </c>
      <c r="T221" s="5" t="s">
        <v>445</v>
      </c>
    </row>
    <row r="222" spans="1:20">
      <c r="C222" s="5" t="str">
        <f>+VLOOKUP(F222,Resumen_Base!$B$7:$F$69,5,0)</f>
        <v>Maintenance Lodge</v>
      </c>
      <c r="D222" s="214" t="s">
        <v>383</v>
      </c>
      <c r="E222" s="212" t="str">
        <f>+VLOOKUP(F222,Resumen_Base!$B$6:$F$69,5,0)</f>
        <v>Maintenance Lodge</v>
      </c>
      <c r="F222" s="36" t="s">
        <v>113</v>
      </c>
      <c r="G222" s="5" t="s">
        <v>114</v>
      </c>
      <c r="H222" s="5" t="str">
        <f t="shared" si="3"/>
        <v>DEL5283</v>
      </c>
      <c r="I222" s="6">
        <v>79000</v>
      </c>
      <c r="J222" s="62">
        <v>53.3783783783784</v>
      </c>
      <c r="K222" s="62">
        <v>1480</v>
      </c>
      <c r="L222" s="62" t="s">
        <v>1545</v>
      </c>
      <c r="M222" s="100" t="s">
        <v>452</v>
      </c>
      <c r="N222" s="5" t="s">
        <v>464</v>
      </c>
      <c r="O222" s="34" t="s">
        <v>1546</v>
      </c>
      <c r="P222" s="5" t="s">
        <v>1467</v>
      </c>
      <c r="Q222" s="5" t="s">
        <v>1547</v>
      </c>
      <c r="R222" s="5" t="s">
        <v>1570</v>
      </c>
      <c r="S222" s="5" t="s">
        <v>1549</v>
      </c>
      <c r="T222" s="5" t="s">
        <v>445</v>
      </c>
    </row>
    <row r="223" spans="1:20">
      <c r="C223" s="5" t="str">
        <f>+VLOOKUP(F223,Resumen_Base!$B$7:$F$69,5,0)</f>
        <v>Food &amp; Wine</v>
      </c>
      <c r="D223" s="214" t="s">
        <v>383</v>
      </c>
      <c r="E223" s="212" t="str">
        <f>+VLOOKUP(F223,Resumen_Base!$B$6:$F$69,5,0)</f>
        <v>Food &amp; Wine</v>
      </c>
      <c r="F223" s="36" t="s">
        <v>119</v>
      </c>
      <c r="G223" s="5" t="s">
        <v>120</v>
      </c>
      <c r="H223" s="5" t="str">
        <f t="shared" si="3"/>
        <v>DEL5289</v>
      </c>
      <c r="I223" s="6">
        <v>24000</v>
      </c>
      <c r="J223" s="62">
        <v>16.326530612244898</v>
      </c>
      <c r="K223" s="62">
        <v>1470</v>
      </c>
      <c r="L223" s="62" t="s">
        <v>1550</v>
      </c>
      <c r="M223" s="100" t="s">
        <v>452</v>
      </c>
      <c r="N223" s="5" t="s">
        <v>464</v>
      </c>
      <c r="O223" s="34" t="s">
        <v>1551</v>
      </c>
      <c r="P223" s="5" t="s">
        <v>597</v>
      </c>
      <c r="Q223" s="5" t="s">
        <v>1552</v>
      </c>
      <c r="R223" s="5" t="s">
        <v>1567</v>
      </c>
      <c r="S223" s="5" t="s">
        <v>1554</v>
      </c>
      <c r="T223" s="5" t="s">
        <v>445</v>
      </c>
    </row>
    <row r="224" spans="1:20">
      <c r="C224" s="5" t="str">
        <f>+VLOOKUP(F224,Resumen_Base!$B$7:$F$69,5,0)</f>
        <v>Food &amp; Wine</v>
      </c>
      <c r="D224" s="214" t="s">
        <v>383</v>
      </c>
      <c r="E224" s="212" t="str">
        <f>+VLOOKUP(F224,Resumen_Base!$B$6:$F$69,5,0)</f>
        <v>Food &amp; Wine</v>
      </c>
      <c r="F224" s="36" t="s">
        <v>119</v>
      </c>
      <c r="G224" s="5" t="s">
        <v>120</v>
      </c>
      <c r="H224" s="5" t="str">
        <f t="shared" si="3"/>
        <v>DEL5289</v>
      </c>
      <c r="I224" s="6">
        <v>24350</v>
      </c>
      <c r="J224" s="62">
        <v>16.452702702702702</v>
      </c>
      <c r="K224" s="62">
        <v>1480</v>
      </c>
      <c r="L224" s="62" t="s">
        <v>1465</v>
      </c>
      <c r="M224" s="100" t="s">
        <v>452</v>
      </c>
      <c r="N224" s="5" t="s">
        <v>464</v>
      </c>
      <c r="O224" s="34" t="s">
        <v>1561</v>
      </c>
      <c r="P224" s="5" t="s">
        <v>1467</v>
      </c>
      <c r="Q224" s="5" t="s">
        <v>1562</v>
      </c>
      <c r="R224" s="5" t="s">
        <v>1582</v>
      </c>
      <c r="S224" s="5" t="s">
        <v>1564</v>
      </c>
      <c r="T224" s="5" t="s">
        <v>445</v>
      </c>
    </row>
    <row r="225" spans="1:256">
      <c r="C225" s="5" t="str">
        <f>+VLOOKUP(F225,Resumen_Base!$B$7:$F$69,5,0)</f>
        <v>Food &amp; Wine</v>
      </c>
      <c r="D225" s="214" t="s">
        <v>383</v>
      </c>
      <c r="E225" s="212" t="str">
        <f>+VLOOKUP(F225,Resumen_Base!$B$6:$F$69,5,0)</f>
        <v>Food &amp; Wine</v>
      </c>
      <c r="F225" s="36" t="s">
        <v>119</v>
      </c>
      <c r="G225" s="5" t="s">
        <v>120</v>
      </c>
      <c r="H225" s="5" t="str">
        <f t="shared" si="3"/>
        <v>DEL5289</v>
      </c>
      <c r="I225" s="6">
        <v>16500</v>
      </c>
      <c r="J225" s="62">
        <v>11.2244897959184</v>
      </c>
      <c r="K225" s="62">
        <v>1470</v>
      </c>
      <c r="L225" s="62" t="s">
        <v>1550</v>
      </c>
      <c r="M225" s="100" t="s">
        <v>452</v>
      </c>
      <c r="N225" s="5" t="s">
        <v>464</v>
      </c>
      <c r="O225" s="34" t="s">
        <v>1551</v>
      </c>
      <c r="P225" s="5" t="s">
        <v>597</v>
      </c>
      <c r="Q225" s="5" t="s">
        <v>1552</v>
      </c>
      <c r="R225" s="5" t="s">
        <v>1588</v>
      </c>
      <c r="S225" s="5" t="s">
        <v>1554</v>
      </c>
      <c r="T225" s="5" t="s">
        <v>445</v>
      </c>
    </row>
    <row r="226" spans="1:256">
      <c r="C226" s="5" t="str">
        <f>+VLOOKUP(F226,Resumen_Base!$B$7:$F$69,5,0)</f>
        <v>Food &amp; Wine</v>
      </c>
      <c r="D226" s="214" t="s">
        <v>383</v>
      </c>
      <c r="E226" s="212" t="str">
        <f>+VLOOKUP(F226,Resumen_Base!$B$6:$F$69,5,0)</f>
        <v>Food &amp; Wine</v>
      </c>
      <c r="F226" s="36" t="s">
        <v>119</v>
      </c>
      <c r="G226" s="5" t="s">
        <v>120</v>
      </c>
      <c r="H226" s="5" t="str">
        <f t="shared" si="3"/>
        <v>DEL5289</v>
      </c>
      <c r="I226" s="6">
        <v>35800</v>
      </c>
      <c r="J226" s="62">
        <v>24.1891891891892</v>
      </c>
      <c r="K226" s="62">
        <v>1480</v>
      </c>
      <c r="L226" s="62" t="s">
        <v>1465</v>
      </c>
      <c r="M226" s="100" t="s">
        <v>452</v>
      </c>
      <c r="N226" s="5" t="s">
        <v>464</v>
      </c>
      <c r="O226" s="34" t="s">
        <v>1561</v>
      </c>
      <c r="P226" s="5" t="s">
        <v>1467</v>
      </c>
      <c r="Q226" s="5" t="s">
        <v>1562</v>
      </c>
      <c r="R226" s="5" t="s">
        <v>1659</v>
      </c>
      <c r="S226" s="5" t="s">
        <v>1564</v>
      </c>
      <c r="T226" s="5" t="s">
        <v>445</v>
      </c>
    </row>
    <row r="227" spans="1:256">
      <c r="C227" s="5" t="str">
        <f>+VLOOKUP(F227,Resumen_Base!$B$7:$F$69,5,0)</f>
        <v>Food &amp; Wine</v>
      </c>
      <c r="D227" s="214" t="s">
        <v>383</v>
      </c>
      <c r="E227" s="212" t="str">
        <f>+VLOOKUP(F227,Resumen_Base!$B$6:$F$69,5,0)</f>
        <v>Food &amp; Wine</v>
      </c>
      <c r="F227" s="36" t="s">
        <v>110</v>
      </c>
      <c r="G227" s="5" t="s">
        <v>111</v>
      </c>
      <c r="H227" s="5" t="str">
        <f t="shared" si="3"/>
        <v>DEL5291</v>
      </c>
      <c r="I227" s="6">
        <v>23700</v>
      </c>
      <c r="J227" s="62">
        <v>16.122448979591798</v>
      </c>
      <c r="K227" s="62">
        <v>1470</v>
      </c>
      <c r="L227" s="62" t="s">
        <v>1550</v>
      </c>
      <c r="M227" s="100" t="s">
        <v>452</v>
      </c>
      <c r="N227" s="5" t="s">
        <v>464</v>
      </c>
      <c r="O227" s="34" t="s">
        <v>1551</v>
      </c>
      <c r="P227" s="5" t="s">
        <v>597</v>
      </c>
      <c r="Q227" s="5" t="s">
        <v>1552</v>
      </c>
      <c r="R227" s="5" t="s">
        <v>1327</v>
      </c>
      <c r="S227" s="5" t="s">
        <v>1554</v>
      </c>
      <c r="T227" s="5" t="s">
        <v>445</v>
      </c>
    </row>
    <row r="228" spans="1:256" ht="14.5">
      <c r="A228" s="194"/>
      <c r="B228" s="194"/>
      <c r="C228" s="194"/>
      <c r="D228" s="194"/>
      <c r="E228" s="194"/>
      <c r="F228" s="193"/>
      <c r="G228" s="194"/>
      <c r="H228" s="194"/>
      <c r="I228" s="195"/>
      <c r="J228" s="195"/>
      <c r="K228" s="195"/>
      <c r="L228" s="2"/>
      <c r="M228" s="2"/>
      <c r="N228"/>
      <c r="O228"/>
      <c r="P228"/>
      <c r="Q228"/>
      <c r="R228"/>
      <c r="S228"/>
      <c r="T228"/>
      <c r="U228"/>
      <c r="V228"/>
      <c r="W228"/>
      <c r="X228" s="1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  <c r="BP228" s="194"/>
      <c r="BQ228" s="194"/>
      <c r="BR228" s="194"/>
      <c r="BS228" s="194"/>
      <c r="BT228" s="194"/>
      <c r="BU228" s="194"/>
      <c r="BV228" s="194"/>
      <c r="BW228" s="194"/>
      <c r="BX228" s="194"/>
      <c r="BY228" s="194"/>
      <c r="BZ228" s="194"/>
      <c r="CA228" s="194"/>
      <c r="CB228" s="194"/>
      <c r="CC228" s="194"/>
      <c r="CD228" s="194"/>
      <c r="CE228" s="194"/>
      <c r="CF228" s="194"/>
      <c r="CG228" s="194"/>
      <c r="CH228" s="194"/>
      <c r="CI228" s="194"/>
      <c r="CJ228" s="194"/>
      <c r="CK228" s="194"/>
      <c r="CL228" s="194"/>
      <c r="CM228" s="194"/>
      <c r="CN228" s="194"/>
      <c r="CO228" s="194"/>
      <c r="CP228" s="194"/>
      <c r="CQ228" s="194"/>
      <c r="CR228" s="194"/>
      <c r="CS228" s="194"/>
      <c r="CT228" s="194"/>
      <c r="CU228" s="194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4"/>
      <c r="DG228" s="194"/>
      <c r="DH228" s="194"/>
      <c r="DI228" s="194"/>
      <c r="DJ228" s="194"/>
      <c r="DK228" s="194"/>
      <c r="DL228" s="194"/>
      <c r="DM228" s="194"/>
      <c r="DN228" s="194"/>
      <c r="DO228" s="194"/>
      <c r="DP228" s="194"/>
      <c r="DQ228" s="194"/>
      <c r="DR228" s="194"/>
      <c r="DS228" s="194"/>
      <c r="DT228" s="194"/>
      <c r="DU228" s="194"/>
      <c r="DV228" s="194"/>
      <c r="DW228" s="194"/>
      <c r="DX228" s="194"/>
      <c r="DY228" s="194"/>
      <c r="DZ228" s="194"/>
      <c r="EA228" s="194"/>
      <c r="EB228" s="194"/>
      <c r="EC228" s="194"/>
      <c r="ED228" s="194"/>
      <c r="EE228" s="194"/>
      <c r="EF228" s="194"/>
      <c r="EG228" s="194"/>
      <c r="EH228" s="194"/>
      <c r="EI228" s="194"/>
      <c r="EJ228" s="194"/>
      <c r="EK228" s="194"/>
      <c r="EL228" s="194"/>
      <c r="EM228" s="194"/>
      <c r="EN228" s="194"/>
      <c r="EO228" s="194"/>
      <c r="EP228" s="194"/>
      <c r="EQ228" s="194"/>
      <c r="ER228" s="194"/>
      <c r="ES228" s="194"/>
      <c r="ET228" s="194"/>
      <c r="EU228" s="194"/>
      <c r="EV228" s="194"/>
      <c r="EW228" s="194"/>
      <c r="EX228" s="194"/>
      <c r="EY228" s="194"/>
      <c r="EZ228" s="194"/>
      <c r="FA228" s="194"/>
      <c r="FB228" s="194"/>
      <c r="FC228" s="194"/>
      <c r="FD228" s="194"/>
      <c r="FE228" s="194"/>
      <c r="FF228" s="194"/>
      <c r="FG228" s="194"/>
      <c r="FH228" s="194"/>
      <c r="FI228" s="194"/>
      <c r="FJ228" s="194"/>
      <c r="FK228" s="194"/>
      <c r="FL228" s="194"/>
      <c r="FM228" s="194"/>
      <c r="FN228" s="194"/>
      <c r="FO228" s="194"/>
      <c r="FP228" s="194"/>
      <c r="FQ228" s="194"/>
      <c r="FR228" s="194"/>
      <c r="FS228" s="194"/>
      <c r="FT228" s="194"/>
      <c r="FU228" s="194"/>
      <c r="FV228" s="194"/>
      <c r="FW228" s="194"/>
      <c r="FX228" s="194"/>
      <c r="FY228" s="194"/>
      <c r="FZ228" s="194"/>
      <c r="GA228" s="194"/>
      <c r="GB228" s="194"/>
      <c r="GC228" s="194"/>
      <c r="GD228" s="194"/>
      <c r="GE228" s="194"/>
      <c r="GF228" s="194"/>
      <c r="GG228" s="194"/>
      <c r="GH228" s="194"/>
      <c r="GI228" s="194"/>
      <c r="GJ228" s="194"/>
      <c r="GK228" s="194"/>
      <c r="GL228" s="194"/>
      <c r="GM228" s="194"/>
      <c r="GN228" s="194"/>
      <c r="GO228" s="194"/>
      <c r="GP228" s="194"/>
      <c r="GQ228" s="194"/>
      <c r="GR228" s="194"/>
      <c r="GS228" s="194"/>
      <c r="GT228" s="194"/>
      <c r="GU228" s="194"/>
      <c r="GV228" s="194"/>
      <c r="GW228" s="194"/>
      <c r="GX228" s="194"/>
      <c r="GY228" s="194"/>
      <c r="GZ228" s="194"/>
      <c r="HA228" s="194"/>
      <c r="HB228" s="194"/>
      <c r="HC228" s="194"/>
      <c r="HD228" s="194"/>
      <c r="HE228" s="194"/>
      <c r="HF228" s="194"/>
      <c r="HG228" s="194"/>
      <c r="HH228" s="194"/>
      <c r="HI228" s="194"/>
      <c r="HJ228" s="194"/>
      <c r="HK228" s="194"/>
      <c r="HL228" s="194"/>
      <c r="HM228" s="194"/>
      <c r="HN228" s="194"/>
      <c r="HO228" s="194"/>
      <c r="HP228" s="194"/>
      <c r="HQ228" s="194"/>
      <c r="HR228" s="194"/>
      <c r="HS228" s="194"/>
      <c r="HT228" s="194"/>
      <c r="HU228" s="194"/>
      <c r="HV228" s="194"/>
      <c r="HW228" s="194"/>
      <c r="HX228" s="194"/>
      <c r="HY228" s="194"/>
      <c r="HZ228" s="194"/>
      <c r="IA228" s="194"/>
      <c r="IB228" s="194"/>
      <c r="IC228" s="194"/>
      <c r="ID228" s="194"/>
      <c r="IE228" s="194"/>
      <c r="IF228" s="194"/>
      <c r="IG228" s="194"/>
      <c r="IH228" s="194"/>
      <c r="II228" s="194"/>
      <c r="IJ228" s="194"/>
      <c r="IK228" s="194"/>
      <c r="IL228" s="194"/>
      <c r="IM228" s="194"/>
      <c r="IN228" s="194"/>
      <c r="IO228" s="194"/>
      <c r="IP228" s="194"/>
      <c r="IQ228" s="194"/>
      <c r="IR228" s="194"/>
      <c r="IS228" s="194"/>
      <c r="IT228" s="194"/>
      <c r="IU228" s="194"/>
      <c r="IV228" s="194"/>
    </row>
    <row r="229" spans="1:256" ht="39">
      <c r="A229" s="328" t="s">
        <v>1867</v>
      </c>
      <c r="B229" s="325"/>
      <c r="C229" s="325" t="str">
        <f>+VLOOKUP(F229,Resumen_Base!$B$7:$F$69,5,0)</f>
        <v>Communications - Phone, internet and satellite TV</v>
      </c>
      <c r="D229" s="328" t="s">
        <v>383</v>
      </c>
      <c r="E229" s="332" t="str">
        <f>+VLOOKUP(F229,Resumen_Base!$B$6:$F$69,5,0)</f>
        <v>Communications - Phone, internet and satellite TV</v>
      </c>
      <c r="F229" s="333" t="s">
        <v>52</v>
      </c>
      <c r="G229" s="334" t="s">
        <v>53</v>
      </c>
      <c r="H229" s="325" t="str">
        <f t="shared" ref="H229:H237" si="4">+D229&amp;F229</f>
        <v>DEL5209</v>
      </c>
      <c r="I229" s="331"/>
      <c r="J229" s="324">
        <v>3.44</v>
      </c>
      <c r="K229" s="325" t="s">
        <v>1857</v>
      </c>
      <c r="L229" s="326">
        <v>46016</v>
      </c>
      <c r="M229" s="325"/>
      <c r="N229" s="327" t="s">
        <v>1858</v>
      </c>
      <c r="O229" s="325"/>
      <c r="P229" s="329"/>
      <c r="Q229" s="325"/>
      <c r="R229" s="323" t="s">
        <v>1856</v>
      </c>
    </row>
    <row r="230" spans="1:256" ht="39">
      <c r="A230" s="328" t="s">
        <v>1867</v>
      </c>
      <c r="B230" s="325"/>
      <c r="C230" s="325" t="str">
        <f>+VLOOKUP(F230,Resumen_Base!$B$7:$F$69,5,0)</f>
        <v>Services/House</v>
      </c>
      <c r="D230" s="328" t="s">
        <v>383</v>
      </c>
      <c r="E230" s="332" t="str">
        <f>+VLOOKUP(F230,Resumen_Base!$B$6:$F$69,5,0)</f>
        <v>Services/House</v>
      </c>
      <c r="F230" s="333" t="s">
        <v>148</v>
      </c>
      <c r="G230" s="334" t="s">
        <v>283</v>
      </c>
      <c r="H230" s="325" t="str">
        <f t="shared" si="4"/>
        <v>DEL5226</v>
      </c>
      <c r="I230" s="331"/>
      <c r="J230" s="324">
        <v>294</v>
      </c>
      <c r="K230" s="325" t="s">
        <v>1857</v>
      </c>
      <c r="L230" s="326">
        <v>46022</v>
      </c>
      <c r="M230" s="325"/>
      <c r="N230" s="327" t="s">
        <v>1858</v>
      </c>
      <c r="O230" s="325"/>
      <c r="P230" s="329"/>
      <c r="Q230" s="325"/>
      <c r="R230" s="323" t="s">
        <v>1859</v>
      </c>
    </row>
    <row r="231" spans="1:256" ht="39">
      <c r="A231" s="328" t="s">
        <v>1867</v>
      </c>
      <c r="B231" s="325"/>
      <c r="C231" s="325" t="str">
        <f>+VLOOKUP(F231,Resumen_Base!$B$7:$F$69,5,0)</f>
        <v>Services/House</v>
      </c>
      <c r="D231" s="328" t="s">
        <v>383</v>
      </c>
      <c r="E231" s="332" t="str">
        <f>+VLOOKUP(F231,Resumen_Base!$B$6:$F$69,5,0)</f>
        <v>Services/House</v>
      </c>
      <c r="F231" s="333" t="s">
        <v>148</v>
      </c>
      <c r="G231" s="334" t="s">
        <v>283</v>
      </c>
      <c r="H231" s="325" t="str">
        <f t="shared" si="4"/>
        <v>DEL5226</v>
      </c>
      <c r="I231" s="331"/>
      <c r="J231" s="324">
        <v>1283</v>
      </c>
      <c r="K231" s="325" t="s">
        <v>1857</v>
      </c>
      <c r="L231" s="326">
        <v>46022</v>
      </c>
      <c r="M231" s="325"/>
      <c r="N231" s="327" t="s">
        <v>1858</v>
      </c>
      <c r="O231" s="325"/>
      <c r="P231" s="329"/>
      <c r="Q231" s="325"/>
      <c r="R231" s="323" t="s">
        <v>1863</v>
      </c>
    </row>
    <row r="232" spans="1:256" ht="39">
      <c r="A232" s="328" t="s">
        <v>1867</v>
      </c>
      <c r="B232" s="325"/>
      <c r="C232" s="325" t="str">
        <f>+VLOOKUP(F232,Resumen_Base!$B$7:$F$69,5,0)</f>
        <v>Manager</v>
      </c>
      <c r="D232" s="328" t="s">
        <v>383</v>
      </c>
      <c r="E232" s="332" t="str">
        <f>+VLOOKUP(F232,Resumen_Base!$B$6:$F$69,5,0)</f>
        <v>Manager</v>
      </c>
      <c r="F232" s="333" t="s">
        <v>150</v>
      </c>
      <c r="G232" s="334" t="s">
        <v>285</v>
      </c>
      <c r="H232" s="325" t="str">
        <f t="shared" si="4"/>
        <v>DEL5228</v>
      </c>
      <c r="I232" s="331"/>
      <c r="J232" s="324">
        <v>218</v>
      </c>
      <c r="K232" s="325" t="s">
        <v>1857</v>
      </c>
      <c r="L232" s="326">
        <v>46022</v>
      </c>
      <c r="M232" s="325"/>
      <c r="N232" s="327" t="s">
        <v>1858</v>
      </c>
      <c r="O232" s="325"/>
      <c r="P232" s="329"/>
      <c r="Q232" s="325"/>
      <c r="R232" s="323" t="s">
        <v>1861</v>
      </c>
    </row>
    <row r="233" spans="1:256" ht="39">
      <c r="A233" s="328" t="s">
        <v>1867</v>
      </c>
      <c r="B233" s="325"/>
      <c r="C233" s="325" t="str">
        <f>+VLOOKUP(F233,Resumen_Base!$B$7:$F$69,5,0)</f>
        <v>Manager</v>
      </c>
      <c r="D233" s="328" t="s">
        <v>383</v>
      </c>
      <c r="E233" s="332" t="str">
        <f>+VLOOKUP(F233,Resumen_Base!$B$6:$F$69,5,0)</f>
        <v>Manager</v>
      </c>
      <c r="F233" s="333" t="s">
        <v>150</v>
      </c>
      <c r="G233" s="334" t="s">
        <v>285</v>
      </c>
      <c r="H233" s="325" t="str">
        <f t="shared" si="4"/>
        <v>DEL5228</v>
      </c>
      <c r="I233" s="331"/>
      <c r="J233" s="324">
        <v>446</v>
      </c>
      <c r="K233" s="325" t="s">
        <v>1857</v>
      </c>
      <c r="L233" s="326">
        <v>46022</v>
      </c>
      <c r="M233" s="325"/>
      <c r="N233" s="327" t="s">
        <v>1858</v>
      </c>
      <c r="O233" s="325"/>
      <c r="P233" s="329"/>
      <c r="Q233" s="325"/>
      <c r="R233" s="323" t="s">
        <v>1865</v>
      </c>
    </row>
    <row r="234" spans="1:256" ht="39">
      <c r="A234" s="328" t="s">
        <v>1867</v>
      </c>
      <c r="B234" s="325"/>
      <c r="C234" s="325" t="str">
        <f>+VLOOKUP(F234,Resumen_Base!$B$7:$F$69,5,0)</f>
        <v>Social Security Contributions</v>
      </c>
      <c r="D234" s="328" t="s">
        <v>383</v>
      </c>
      <c r="E234" s="332" t="str">
        <f>+VLOOKUP(F234,Resumen_Base!$B$6:$F$69,5,0)</f>
        <v>Social Security Contributions</v>
      </c>
      <c r="F234" s="333" t="s">
        <v>153</v>
      </c>
      <c r="G234" s="334" t="s">
        <v>154</v>
      </c>
      <c r="H234" s="325" t="str">
        <f t="shared" si="4"/>
        <v>DEL5235</v>
      </c>
      <c r="I234" s="331"/>
      <c r="J234" s="324">
        <v>120</v>
      </c>
      <c r="K234" s="325" t="s">
        <v>1857</v>
      </c>
      <c r="L234" s="326">
        <v>46022</v>
      </c>
      <c r="M234" s="325"/>
      <c r="N234" s="327" t="s">
        <v>1858</v>
      </c>
      <c r="O234" s="325"/>
      <c r="P234" s="329"/>
      <c r="Q234" s="325"/>
      <c r="R234" s="323" t="s">
        <v>1860</v>
      </c>
    </row>
    <row r="235" spans="1:256" ht="39">
      <c r="A235" s="328" t="s">
        <v>1867</v>
      </c>
      <c r="B235" s="325"/>
      <c r="C235" s="325" t="str">
        <f>+VLOOKUP(F235,Resumen_Base!$B$7:$F$69,5,0)</f>
        <v>Social Security Contributions</v>
      </c>
      <c r="D235" s="328" t="s">
        <v>383</v>
      </c>
      <c r="E235" s="332" t="str">
        <f>+VLOOKUP(F235,Resumen_Base!$B$6:$F$69,5,0)</f>
        <v>Social Security Contributions</v>
      </c>
      <c r="F235" s="333" t="s">
        <v>153</v>
      </c>
      <c r="G235" s="334" t="s">
        <v>154</v>
      </c>
      <c r="H235" s="325" t="str">
        <f t="shared" si="4"/>
        <v>DEL5235</v>
      </c>
      <c r="I235" s="331"/>
      <c r="J235" s="324">
        <v>522</v>
      </c>
      <c r="K235" s="325" t="s">
        <v>1857</v>
      </c>
      <c r="L235" s="326">
        <v>46022</v>
      </c>
      <c r="M235" s="325"/>
      <c r="N235" s="327" t="s">
        <v>1858</v>
      </c>
      <c r="O235" s="325"/>
      <c r="P235" s="329"/>
      <c r="Q235" s="325"/>
      <c r="R235" s="323" t="s">
        <v>1864</v>
      </c>
    </row>
    <row r="236" spans="1:256" ht="39">
      <c r="A236" s="328" t="s">
        <v>1867</v>
      </c>
      <c r="B236" s="325"/>
      <c r="C236" s="325" t="str">
        <f>+VLOOKUP(F236,Resumen_Base!$B$7:$F$69,5,0)</f>
        <v>Social Security Contributions</v>
      </c>
      <c r="D236" s="328" t="s">
        <v>383</v>
      </c>
      <c r="E236" s="332" t="str">
        <f>+VLOOKUP(F236,Resumen_Base!$B$6:$F$69,5,0)</f>
        <v>Social Security Contributions</v>
      </c>
      <c r="F236" s="333" t="s">
        <v>157</v>
      </c>
      <c r="G236" s="334" t="s">
        <v>158</v>
      </c>
      <c r="H236" s="325" t="str">
        <f t="shared" si="4"/>
        <v>DEL5237</v>
      </c>
      <c r="I236" s="331"/>
      <c r="J236" s="324">
        <v>89</v>
      </c>
      <c r="K236" s="325" t="s">
        <v>1857</v>
      </c>
      <c r="L236" s="326">
        <v>46022</v>
      </c>
      <c r="M236" s="325"/>
      <c r="N236" s="327" t="s">
        <v>1858</v>
      </c>
      <c r="O236" s="325"/>
      <c r="P236" s="329"/>
      <c r="Q236" s="325"/>
      <c r="R236" s="323" t="s">
        <v>1862</v>
      </c>
    </row>
    <row r="237" spans="1:256" ht="39">
      <c r="A237" s="328" t="s">
        <v>1867</v>
      </c>
      <c r="B237" s="325"/>
      <c r="C237" s="325" t="str">
        <f>+VLOOKUP(F237,Resumen_Base!$B$7:$F$69,5,0)</f>
        <v>Social Security Contributions</v>
      </c>
      <c r="D237" s="328" t="s">
        <v>383</v>
      </c>
      <c r="E237" s="332" t="str">
        <f>+VLOOKUP(F237,Resumen_Base!$B$6:$F$69,5,0)</f>
        <v>Social Security Contributions</v>
      </c>
      <c r="F237" s="333" t="s">
        <v>157</v>
      </c>
      <c r="G237" s="334" t="s">
        <v>158</v>
      </c>
      <c r="H237" s="325" t="str">
        <f t="shared" si="4"/>
        <v>DEL5237</v>
      </c>
      <c r="I237" s="331"/>
      <c r="J237" s="324">
        <v>181</v>
      </c>
      <c r="K237" s="325" t="s">
        <v>1857</v>
      </c>
      <c r="L237" s="326">
        <v>46022</v>
      </c>
      <c r="M237" s="325"/>
      <c r="N237" s="327" t="s">
        <v>1858</v>
      </c>
      <c r="O237" s="325"/>
      <c r="P237" s="329"/>
      <c r="Q237" s="325"/>
      <c r="R237" s="323" t="s">
        <v>1866</v>
      </c>
    </row>
    <row r="242" spans="1:256" ht="14.5">
      <c r="A242" s="194"/>
      <c r="B242" s="194"/>
      <c r="C242" s="103"/>
      <c r="D242" s="194"/>
      <c r="E242" s="194"/>
      <c r="F242" s="193"/>
      <c r="G242" s="194"/>
      <c r="H242" s="194"/>
      <c r="I242" s="195"/>
      <c r="J242" s="195"/>
      <c r="K242" s="195"/>
      <c r="L242" s="2"/>
      <c r="M242" s="2"/>
      <c r="N242"/>
      <c r="O242"/>
      <c r="P242"/>
      <c r="Q242"/>
      <c r="R242"/>
      <c r="S242"/>
      <c r="T242"/>
      <c r="U242"/>
      <c r="V242"/>
      <c r="W242"/>
      <c r="X242" s="1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  <c r="BP242" s="194"/>
      <c r="BQ242" s="194"/>
      <c r="BR242" s="194"/>
      <c r="BS242" s="194"/>
      <c r="BT242" s="194"/>
      <c r="BU242" s="194"/>
      <c r="BV242" s="194"/>
      <c r="BW242" s="194"/>
      <c r="BX242" s="194"/>
      <c r="BY242" s="194"/>
      <c r="BZ242" s="194"/>
      <c r="CA242" s="194"/>
      <c r="CB242" s="194"/>
      <c r="CC242" s="194"/>
      <c r="CD242" s="194"/>
      <c r="CE242" s="194"/>
      <c r="CF242" s="194"/>
      <c r="CG242" s="194"/>
      <c r="CH242" s="194"/>
      <c r="CI242" s="194"/>
      <c r="CJ242" s="194"/>
      <c r="CK242" s="194"/>
      <c r="CL242" s="194"/>
      <c r="CM242" s="194"/>
      <c r="CN242" s="194"/>
      <c r="CO242" s="194"/>
      <c r="CP242" s="194"/>
      <c r="CQ242" s="194"/>
      <c r="CR242" s="194"/>
      <c r="CS242" s="194"/>
      <c r="CT242" s="194"/>
      <c r="CU242" s="194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4"/>
      <c r="DG242" s="194"/>
      <c r="DH242" s="194"/>
      <c r="DI242" s="194"/>
      <c r="DJ242" s="194"/>
      <c r="DK242" s="194"/>
      <c r="DL242" s="194"/>
      <c r="DM242" s="194"/>
      <c r="DN242" s="194"/>
      <c r="DO242" s="194"/>
      <c r="DP242" s="194"/>
      <c r="DQ242" s="194"/>
      <c r="DR242" s="194"/>
      <c r="DS242" s="194"/>
      <c r="DT242" s="194"/>
      <c r="DU242" s="194"/>
      <c r="DV242" s="194"/>
      <c r="DW242" s="194"/>
      <c r="DX242" s="194"/>
      <c r="DY242" s="194"/>
      <c r="DZ242" s="194"/>
      <c r="EA242" s="194"/>
      <c r="EB242" s="194"/>
      <c r="EC242" s="194"/>
      <c r="ED242" s="194"/>
      <c r="EE242" s="194"/>
      <c r="EF242" s="194"/>
      <c r="EG242" s="194"/>
      <c r="EH242" s="194"/>
      <c r="EI242" s="194"/>
      <c r="EJ242" s="194"/>
      <c r="EK242" s="194"/>
      <c r="EL242" s="194"/>
      <c r="EM242" s="194"/>
      <c r="EN242" s="194"/>
      <c r="EO242" s="194"/>
      <c r="EP242" s="194"/>
      <c r="EQ242" s="194"/>
      <c r="ER242" s="194"/>
      <c r="ES242" s="194"/>
      <c r="ET242" s="194"/>
      <c r="EU242" s="194"/>
      <c r="EV242" s="194"/>
      <c r="EW242" s="194"/>
      <c r="EX242" s="194"/>
      <c r="EY242" s="194"/>
      <c r="EZ242" s="194"/>
      <c r="FA242" s="194"/>
      <c r="FB242" s="194"/>
      <c r="FC242" s="194"/>
      <c r="FD242" s="194"/>
      <c r="FE242" s="194"/>
      <c r="FF242" s="194"/>
      <c r="FG242" s="194"/>
      <c r="FH242" s="194"/>
      <c r="FI242" s="194"/>
      <c r="FJ242" s="194"/>
      <c r="FK242" s="194"/>
      <c r="FL242" s="194"/>
      <c r="FM242" s="194"/>
      <c r="FN242" s="194"/>
      <c r="FO242" s="194"/>
      <c r="FP242" s="194"/>
      <c r="FQ242" s="194"/>
      <c r="FR242" s="194"/>
      <c r="FS242" s="194"/>
      <c r="FT242" s="194"/>
      <c r="FU242" s="194"/>
      <c r="FV242" s="194"/>
      <c r="FW242" s="194"/>
      <c r="FX242" s="194"/>
      <c r="FY242" s="194"/>
      <c r="FZ242" s="194"/>
      <c r="GA242" s="194"/>
      <c r="GB242" s="194"/>
      <c r="GC242" s="194"/>
      <c r="GD242" s="194"/>
      <c r="GE242" s="194"/>
      <c r="GF242" s="194"/>
      <c r="GG242" s="194"/>
      <c r="GH242" s="194"/>
      <c r="GI242" s="194"/>
      <c r="GJ242" s="194"/>
      <c r="GK242" s="194"/>
      <c r="GL242" s="194"/>
      <c r="GM242" s="194"/>
      <c r="GN242" s="194"/>
      <c r="GO242" s="194"/>
      <c r="GP242" s="194"/>
      <c r="GQ242" s="194"/>
      <c r="GR242" s="194"/>
      <c r="GS242" s="194"/>
      <c r="GT242" s="194"/>
      <c r="GU242" s="194"/>
      <c r="GV242" s="194"/>
      <c r="GW242" s="194"/>
      <c r="GX242" s="194"/>
      <c r="GY242" s="194"/>
      <c r="GZ242" s="194"/>
      <c r="HA242" s="194"/>
      <c r="HB242" s="194"/>
      <c r="HC242" s="194"/>
      <c r="HD242" s="194"/>
      <c r="HE242" s="194"/>
      <c r="HF242" s="194"/>
      <c r="HG242" s="194"/>
      <c r="HH242" s="194"/>
      <c r="HI242" s="194"/>
      <c r="HJ242" s="194"/>
      <c r="HK242" s="194"/>
      <c r="HL242" s="194"/>
      <c r="HM242" s="194"/>
      <c r="HN242" s="194"/>
      <c r="HO242" s="194"/>
      <c r="HP242" s="194"/>
      <c r="HQ242" s="194"/>
      <c r="HR242" s="194"/>
      <c r="HS242" s="194"/>
      <c r="HT242" s="194"/>
      <c r="HU242" s="194"/>
      <c r="HV242" s="194"/>
      <c r="HW242" s="194"/>
      <c r="HX242" s="194"/>
      <c r="HY242" s="194"/>
      <c r="HZ242" s="194"/>
      <c r="IA242" s="194"/>
      <c r="IB242" s="194"/>
      <c r="IC242" s="194"/>
      <c r="ID242" s="194"/>
      <c r="IE242" s="194"/>
      <c r="IF242" s="194"/>
      <c r="IG242" s="194"/>
      <c r="IH242" s="194"/>
      <c r="II242" s="194"/>
      <c r="IJ242" s="194"/>
      <c r="IK242" s="194"/>
      <c r="IL242" s="194"/>
      <c r="IM242" s="194"/>
      <c r="IN242" s="194"/>
      <c r="IO242" s="194"/>
      <c r="IP242" s="194"/>
      <c r="IQ242" s="194"/>
      <c r="IR242" s="194"/>
      <c r="IS242" s="194"/>
      <c r="IT242" s="194"/>
      <c r="IU242" s="194"/>
      <c r="IV242" s="194"/>
    </row>
    <row r="243" spans="1:256">
      <c r="A243" s="10" t="s">
        <v>75</v>
      </c>
      <c r="B243" s="10" t="s">
        <v>75</v>
      </c>
      <c r="C243" s="10" t="s">
        <v>75</v>
      </c>
      <c r="D243" s="10" t="s">
        <v>75</v>
      </c>
      <c r="E243" s="10" t="s">
        <v>75</v>
      </c>
      <c r="F243" s="11" t="s">
        <v>75</v>
      </c>
      <c r="G243" s="11" t="s">
        <v>75</v>
      </c>
      <c r="H243" s="11" t="s">
        <v>75</v>
      </c>
      <c r="I243" s="35" t="s">
        <v>75</v>
      </c>
      <c r="J243" s="35" t="s">
        <v>75</v>
      </c>
      <c r="K243" s="35" t="s">
        <v>75</v>
      </c>
      <c r="L243" s="102" t="s">
        <v>75</v>
      </c>
      <c r="M243" s="11" t="s">
        <v>75</v>
      </c>
      <c r="N243" s="11" t="s">
        <v>75</v>
      </c>
      <c r="O243" s="11" t="s">
        <v>75</v>
      </c>
      <c r="P243" s="11" t="s">
        <v>75</v>
      </c>
      <c r="Q243" s="11" t="s">
        <v>75</v>
      </c>
      <c r="R243" s="11" t="s">
        <v>75</v>
      </c>
      <c r="S243" s="11" t="s">
        <v>75</v>
      </c>
      <c r="T243" s="11" t="s">
        <v>75</v>
      </c>
      <c r="U243" s="11" t="s">
        <v>75</v>
      </c>
      <c r="V243" s="11" t="s">
        <v>75</v>
      </c>
      <c r="W243" s="11" t="s">
        <v>75</v>
      </c>
    </row>
    <row r="245" spans="1:256">
      <c r="A245" s="317" t="s">
        <v>1833</v>
      </c>
      <c r="B245" s="318"/>
      <c r="C245" s="318"/>
      <c r="D245" s="63"/>
      <c r="E245" s="319"/>
      <c r="F245" s="318" t="s">
        <v>126</v>
      </c>
      <c r="G245" s="318" t="s">
        <v>127</v>
      </c>
      <c r="H245" s="318"/>
      <c r="I245" s="320">
        <v>30000</v>
      </c>
      <c r="J245" s="321">
        <v>20.270270270270299</v>
      </c>
      <c r="K245" s="321">
        <v>1480</v>
      </c>
      <c r="L245" s="321" t="s">
        <v>1545</v>
      </c>
      <c r="M245" s="322" t="s">
        <v>452</v>
      </c>
      <c r="N245" s="318" t="s">
        <v>464</v>
      </c>
      <c r="O245" s="63" t="s">
        <v>1546</v>
      </c>
      <c r="P245" s="318" t="s">
        <v>1467</v>
      </c>
      <c r="Q245" s="318" t="s">
        <v>1547</v>
      </c>
      <c r="R245" s="318" t="s">
        <v>1592</v>
      </c>
      <c r="S245" s="318" t="s">
        <v>1549</v>
      </c>
      <c r="T245" s="318" t="s">
        <v>445</v>
      </c>
    </row>
    <row r="246" spans="1:256">
      <c r="I246" s="6"/>
      <c r="L246" s="62"/>
      <c r="M246" s="100"/>
      <c r="N246" s="5"/>
      <c r="O246" s="34"/>
    </row>
    <row r="247" spans="1:256" ht="39">
      <c r="A247" s="328" t="s">
        <v>1867</v>
      </c>
      <c r="B247" s="325"/>
      <c r="C247" s="325"/>
      <c r="D247" s="329"/>
      <c r="E247" s="330"/>
      <c r="F247" s="325" t="s">
        <v>293</v>
      </c>
      <c r="G247" s="325" t="s">
        <v>294</v>
      </c>
      <c r="H247" s="325"/>
      <c r="I247" s="331"/>
      <c r="J247" s="331">
        <v>-3156.44</v>
      </c>
      <c r="K247" s="331"/>
      <c r="L247" s="326"/>
      <c r="M247" s="325"/>
      <c r="N247" s="329"/>
      <c r="O247" s="325"/>
      <c r="P247" s="325"/>
      <c r="Q247" s="325"/>
      <c r="R247" s="325"/>
    </row>
    <row r="248" spans="1:256">
      <c r="A248" s="214"/>
      <c r="I248" s="6"/>
      <c r="L248" s="62"/>
      <c r="M248" s="100"/>
      <c r="N248" s="5"/>
      <c r="O248" s="34"/>
    </row>
    <row r="249" spans="1:256">
      <c r="A249" s="336">
        <v>5210</v>
      </c>
      <c r="B249" s="5">
        <v>5226</v>
      </c>
      <c r="F249" s="36" t="s">
        <v>45</v>
      </c>
      <c r="G249" s="5" t="s">
        <v>44</v>
      </c>
      <c r="I249" s="6">
        <v>2352000</v>
      </c>
      <c r="J249" s="62">
        <v>1600</v>
      </c>
      <c r="K249" s="62">
        <v>1470</v>
      </c>
      <c r="L249" s="62" t="s">
        <v>1550</v>
      </c>
      <c r="M249" s="100" t="s">
        <v>452</v>
      </c>
      <c r="N249" s="5" t="s">
        <v>464</v>
      </c>
      <c r="O249" s="34" t="s">
        <v>1640</v>
      </c>
      <c r="P249" s="5" t="s">
        <v>597</v>
      </c>
      <c r="Q249" s="5" t="s">
        <v>1641</v>
      </c>
      <c r="R249" s="5" t="s">
        <v>1642</v>
      </c>
      <c r="S249" s="5" t="s">
        <v>1643</v>
      </c>
      <c r="T249" s="5" t="s">
        <v>445</v>
      </c>
    </row>
    <row r="250" spans="1:256">
      <c r="D250" s="214"/>
      <c r="E250" s="36"/>
      <c r="I250" s="6"/>
      <c r="L250" s="62"/>
      <c r="M250" s="100"/>
      <c r="N250" s="5"/>
      <c r="O250" s="34"/>
    </row>
    <row r="251" spans="1:256">
      <c r="F251" s="36" t="s">
        <v>291</v>
      </c>
      <c r="G251" s="5" t="s">
        <v>292</v>
      </c>
      <c r="I251" s="6">
        <v>-2760000</v>
      </c>
      <c r="J251" s="62">
        <v>-1877.55102040816</v>
      </c>
      <c r="K251" s="62">
        <v>1470</v>
      </c>
      <c r="L251" s="62" t="s">
        <v>1521</v>
      </c>
      <c r="M251" s="100" t="s">
        <v>452</v>
      </c>
      <c r="N251" s="5" t="s">
        <v>464</v>
      </c>
      <c r="O251" s="34" t="s">
        <v>1692</v>
      </c>
      <c r="P251" s="5" t="s">
        <v>597</v>
      </c>
      <c r="Q251" s="5" t="s">
        <v>1693</v>
      </c>
      <c r="R251" s="5" t="s">
        <v>1694</v>
      </c>
      <c r="S251" s="5" t="s">
        <v>1695</v>
      </c>
      <c r="T251" s="5" t="s">
        <v>445</v>
      </c>
    </row>
    <row r="252" spans="1:256">
      <c r="F252" s="36" t="s">
        <v>291</v>
      </c>
      <c r="G252" s="5" t="s">
        <v>292</v>
      </c>
      <c r="I252" s="6">
        <v>-317667</v>
      </c>
      <c r="J252" s="62">
        <v>-216.1</v>
      </c>
      <c r="K252" s="62">
        <v>1470</v>
      </c>
      <c r="L252" s="62" t="s">
        <v>1521</v>
      </c>
      <c r="M252" s="100" t="s">
        <v>452</v>
      </c>
      <c r="N252" s="5" t="s">
        <v>464</v>
      </c>
      <c r="O252" s="34" t="s">
        <v>1692</v>
      </c>
      <c r="P252" s="5" t="s">
        <v>597</v>
      </c>
      <c r="Q252" s="5" t="s">
        <v>1693</v>
      </c>
      <c r="R252" s="5" t="s">
        <v>1696</v>
      </c>
      <c r="S252" s="5" t="s">
        <v>1695</v>
      </c>
      <c r="T252" s="5" t="s">
        <v>445</v>
      </c>
    </row>
    <row r="253" spans="1:256">
      <c r="F253" s="36" t="s">
        <v>291</v>
      </c>
      <c r="G253" s="5" t="s">
        <v>292</v>
      </c>
      <c r="I253" s="6">
        <v>-309481</v>
      </c>
      <c r="J253" s="62">
        <v>-209.10878378378399</v>
      </c>
      <c r="K253" s="62">
        <v>1480</v>
      </c>
      <c r="L253" s="62" t="s">
        <v>1465</v>
      </c>
      <c r="M253" s="100" t="s">
        <v>452</v>
      </c>
      <c r="N253" s="5" t="s">
        <v>464</v>
      </c>
      <c r="O253" s="34" t="s">
        <v>1697</v>
      </c>
      <c r="P253" s="5" t="s">
        <v>1467</v>
      </c>
      <c r="Q253" s="5" t="s">
        <v>1698</v>
      </c>
      <c r="R253" s="5" t="s">
        <v>1699</v>
      </c>
      <c r="S253" s="5" t="s">
        <v>1700</v>
      </c>
      <c r="T253" s="5" t="s">
        <v>445</v>
      </c>
    </row>
    <row r="254" spans="1:256">
      <c r="F254" s="36" t="s">
        <v>291</v>
      </c>
      <c r="G254" s="5" t="s">
        <v>292</v>
      </c>
      <c r="I254" s="6">
        <v>-178000</v>
      </c>
      <c r="J254" s="62">
        <v>-120.27027027027</v>
      </c>
      <c r="K254" s="62">
        <v>1480</v>
      </c>
      <c r="L254" s="62" t="s">
        <v>1471</v>
      </c>
      <c r="M254" s="100" t="s">
        <v>452</v>
      </c>
      <c r="N254" s="5" t="s">
        <v>464</v>
      </c>
      <c r="O254" s="34" t="s">
        <v>1701</v>
      </c>
      <c r="P254" s="5" t="s">
        <v>1467</v>
      </c>
      <c r="Q254" s="5" t="s">
        <v>1702</v>
      </c>
      <c r="R254" s="5" t="s">
        <v>1703</v>
      </c>
      <c r="S254" s="5" t="s">
        <v>1704</v>
      </c>
      <c r="T254" s="5" t="s">
        <v>445</v>
      </c>
    </row>
    <row r="255" spans="1:256">
      <c r="F255" s="36" t="s">
        <v>291</v>
      </c>
      <c r="G255" s="5" t="s">
        <v>292</v>
      </c>
      <c r="I255" s="6">
        <v>-178000</v>
      </c>
      <c r="J255" s="62">
        <v>-120.27027027027</v>
      </c>
      <c r="K255" s="62">
        <v>1480</v>
      </c>
      <c r="L255" s="62" t="s">
        <v>1471</v>
      </c>
      <c r="M255" s="100" t="s">
        <v>452</v>
      </c>
      <c r="N255" s="5" t="s">
        <v>464</v>
      </c>
      <c r="O255" s="34" t="s">
        <v>1705</v>
      </c>
      <c r="P255" s="5" t="s">
        <v>1467</v>
      </c>
      <c r="Q255" s="5" t="s">
        <v>1706</v>
      </c>
      <c r="R255" s="5" t="s">
        <v>1703</v>
      </c>
      <c r="S255" s="5" t="s">
        <v>1707</v>
      </c>
      <c r="T255" s="5" t="s">
        <v>445</v>
      </c>
    </row>
    <row r="256" spans="1:256">
      <c r="F256" s="36" t="s">
        <v>291</v>
      </c>
      <c r="G256" s="5" t="s">
        <v>292</v>
      </c>
      <c r="I256" s="6">
        <v>178000</v>
      </c>
      <c r="J256" s="62">
        <v>120.27027027027</v>
      </c>
      <c r="K256" s="62">
        <v>1480</v>
      </c>
      <c r="L256" s="62" t="s">
        <v>1471</v>
      </c>
      <c r="M256" s="100" t="s">
        <v>452</v>
      </c>
      <c r="N256" s="5" t="s">
        <v>464</v>
      </c>
      <c r="O256" s="34" t="s">
        <v>1708</v>
      </c>
      <c r="P256" s="5" t="s">
        <v>1467</v>
      </c>
      <c r="Q256" s="5" t="s">
        <v>1709</v>
      </c>
      <c r="R256" s="5" t="s">
        <v>1703</v>
      </c>
      <c r="S256" s="5" t="s">
        <v>1710</v>
      </c>
      <c r="T256" s="5" t="s">
        <v>445</v>
      </c>
    </row>
    <row r="257" spans="6:20">
      <c r="F257" s="36" t="s">
        <v>291</v>
      </c>
      <c r="G257" s="5" t="s">
        <v>292</v>
      </c>
      <c r="I257" s="6">
        <v>-7070000</v>
      </c>
      <c r="J257" s="62">
        <v>-4777.0270270270303</v>
      </c>
      <c r="K257" s="62">
        <v>1480</v>
      </c>
      <c r="L257" s="62" t="s">
        <v>1471</v>
      </c>
      <c r="M257" s="100" t="s">
        <v>452</v>
      </c>
      <c r="N257" s="5" t="s">
        <v>464</v>
      </c>
      <c r="O257" s="34" t="s">
        <v>1701</v>
      </c>
      <c r="P257" s="5" t="s">
        <v>1467</v>
      </c>
      <c r="Q257" s="5" t="s">
        <v>1702</v>
      </c>
      <c r="R257" s="5" t="s">
        <v>1711</v>
      </c>
      <c r="S257" s="5" t="s">
        <v>1704</v>
      </c>
      <c r="T257" s="5" t="s">
        <v>445</v>
      </c>
    </row>
    <row r="258" spans="6:20">
      <c r="F258" s="36" t="s">
        <v>291</v>
      </c>
      <c r="G258" s="5" t="s">
        <v>292</v>
      </c>
      <c r="I258" s="6">
        <v>-7070000</v>
      </c>
      <c r="J258" s="62">
        <v>-4777.0270270270303</v>
      </c>
      <c r="K258" s="62">
        <v>1480</v>
      </c>
      <c r="L258" s="62" t="s">
        <v>1471</v>
      </c>
      <c r="M258" s="100" t="s">
        <v>452</v>
      </c>
      <c r="N258" s="5" t="s">
        <v>464</v>
      </c>
      <c r="O258" s="34" t="s">
        <v>1705</v>
      </c>
      <c r="P258" s="5" t="s">
        <v>1467</v>
      </c>
      <c r="Q258" s="5" t="s">
        <v>1706</v>
      </c>
      <c r="R258" s="5" t="s">
        <v>1711</v>
      </c>
      <c r="S258" s="5" t="s">
        <v>1707</v>
      </c>
      <c r="T258" s="5" t="s">
        <v>445</v>
      </c>
    </row>
    <row r="259" spans="6:20">
      <c r="F259" s="36" t="s">
        <v>291</v>
      </c>
      <c r="G259" s="5" t="s">
        <v>292</v>
      </c>
      <c r="I259" s="6">
        <v>7070000</v>
      </c>
      <c r="J259" s="62">
        <v>4777.0270270270303</v>
      </c>
      <c r="K259" s="62">
        <v>1480</v>
      </c>
      <c r="L259" s="62" t="s">
        <v>1471</v>
      </c>
      <c r="M259" s="100" t="s">
        <v>452</v>
      </c>
      <c r="N259" s="5" t="s">
        <v>464</v>
      </c>
      <c r="O259" s="34" t="s">
        <v>1708</v>
      </c>
      <c r="P259" s="5" t="s">
        <v>1467</v>
      </c>
      <c r="Q259" s="5" t="s">
        <v>1709</v>
      </c>
      <c r="R259" s="5" t="s">
        <v>1711</v>
      </c>
      <c r="S259" s="5" t="s">
        <v>1710</v>
      </c>
      <c r="T259" s="5" t="s">
        <v>445</v>
      </c>
    </row>
    <row r="260" spans="6:20">
      <c r="F260" s="36" t="s">
        <v>291</v>
      </c>
      <c r="G260" s="5" t="s">
        <v>292</v>
      </c>
      <c r="I260" s="6">
        <v>-8500000</v>
      </c>
      <c r="J260" s="62">
        <v>-5782.3129251700702</v>
      </c>
      <c r="K260" s="62">
        <v>1470</v>
      </c>
      <c r="L260" s="62" t="s">
        <v>1521</v>
      </c>
      <c r="M260" s="100" t="s">
        <v>452</v>
      </c>
      <c r="N260" s="5" t="s">
        <v>464</v>
      </c>
      <c r="O260" s="34" t="s">
        <v>1692</v>
      </c>
      <c r="P260" s="5" t="s">
        <v>597</v>
      </c>
      <c r="Q260" s="5" t="s">
        <v>1693</v>
      </c>
      <c r="R260" s="5" t="s">
        <v>1713</v>
      </c>
      <c r="S260" s="5" t="s">
        <v>1695</v>
      </c>
      <c r="T260" s="5" t="s">
        <v>445</v>
      </c>
    </row>
    <row r="261" spans="6:20">
      <c r="F261" s="36" t="s">
        <v>291</v>
      </c>
      <c r="G261" s="5" t="s">
        <v>292</v>
      </c>
      <c r="I261" s="6">
        <v>-389292</v>
      </c>
      <c r="J261" s="62">
        <v>-263.03513513513502</v>
      </c>
      <c r="K261" s="62">
        <v>1480</v>
      </c>
      <c r="L261" s="62" t="s">
        <v>1465</v>
      </c>
      <c r="M261" s="100" t="s">
        <v>452</v>
      </c>
      <c r="N261" s="5" t="s">
        <v>464</v>
      </c>
      <c r="O261" s="34" t="s">
        <v>1697</v>
      </c>
      <c r="P261" s="5" t="s">
        <v>1467</v>
      </c>
      <c r="Q261" s="5" t="s">
        <v>1698</v>
      </c>
      <c r="R261" s="5" t="s">
        <v>1715</v>
      </c>
      <c r="S261" s="5" t="s">
        <v>1700</v>
      </c>
      <c r="T261" s="5" t="s">
        <v>445</v>
      </c>
    </row>
    <row r="262" spans="6:20">
      <c r="F262" s="36" t="s">
        <v>291</v>
      </c>
      <c r="G262" s="5" t="s">
        <v>292</v>
      </c>
      <c r="I262" s="6">
        <v>-1178921</v>
      </c>
      <c r="J262" s="62">
        <v>-796.56824324324305</v>
      </c>
      <c r="K262" s="62">
        <v>1480</v>
      </c>
      <c r="L262" s="62" t="s">
        <v>1471</v>
      </c>
      <c r="M262" s="100" t="s">
        <v>452</v>
      </c>
      <c r="N262" s="5" t="s">
        <v>464</v>
      </c>
      <c r="O262" s="34" t="s">
        <v>1701</v>
      </c>
      <c r="P262" s="5" t="s">
        <v>1467</v>
      </c>
      <c r="Q262" s="5" t="s">
        <v>1702</v>
      </c>
      <c r="R262" s="5" t="s">
        <v>1716</v>
      </c>
      <c r="S262" s="5" t="s">
        <v>1704</v>
      </c>
      <c r="T262" s="5" t="s">
        <v>445</v>
      </c>
    </row>
    <row r="263" spans="6:20">
      <c r="F263" s="36" t="s">
        <v>291</v>
      </c>
      <c r="G263" s="5" t="s">
        <v>292</v>
      </c>
      <c r="I263" s="6">
        <v>-1178921</v>
      </c>
      <c r="J263" s="62">
        <v>-796.56824324324305</v>
      </c>
      <c r="K263" s="62">
        <v>1480</v>
      </c>
      <c r="L263" s="62" t="s">
        <v>1471</v>
      </c>
      <c r="M263" s="100" t="s">
        <v>452</v>
      </c>
      <c r="N263" s="5" t="s">
        <v>464</v>
      </c>
      <c r="O263" s="34" t="s">
        <v>1705</v>
      </c>
      <c r="P263" s="5" t="s">
        <v>1467</v>
      </c>
      <c r="Q263" s="5" t="s">
        <v>1706</v>
      </c>
      <c r="R263" s="5" t="s">
        <v>1716</v>
      </c>
      <c r="S263" s="5" t="s">
        <v>1707</v>
      </c>
      <c r="T263" s="5" t="s">
        <v>445</v>
      </c>
    </row>
    <row r="264" spans="6:20">
      <c r="F264" s="36" t="s">
        <v>291</v>
      </c>
      <c r="G264" s="5" t="s">
        <v>292</v>
      </c>
      <c r="I264" s="6">
        <v>1178921</v>
      </c>
      <c r="J264" s="62">
        <v>796.56824324324305</v>
      </c>
      <c r="K264" s="62">
        <v>1480</v>
      </c>
      <c r="L264" s="62" t="s">
        <v>1471</v>
      </c>
      <c r="M264" s="100" t="s">
        <v>452</v>
      </c>
      <c r="N264" s="5" t="s">
        <v>464</v>
      </c>
      <c r="O264" s="34" t="s">
        <v>1708</v>
      </c>
      <c r="P264" s="5" t="s">
        <v>1467</v>
      </c>
      <c r="Q264" s="5" t="s">
        <v>1709</v>
      </c>
      <c r="R264" s="5" t="s">
        <v>1716</v>
      </c>
      <c r="S264" s="5" t="s">
        <v>1710</v>
      </c>
      <c r="T264" s="5" t="s">
        <v>445</v>
      </c>
    </row>
    <row r="265" spans="6:20">
      <c r="F265" s="36" t="s">
        <v>291</v>
      </c>
      <c r="G265" s="5" t="s">
        <v>292</v>
      </c>
      <c r="I265" s="6">
        <v>-179000</v>
      </c>
      <c r="J265" s="62">
        <v>-120.94594594594599</v>
      </c>
      <c r="K265" s="62">
        <v>1480</v>
      </c>
      <c r="L265" s="62" t="s">
        <v>1717</v>
      </c>
      <c r="M265" s="100" t="s">
        <v>452</v>
      </c>
      <c r="N265" s="5" t="s">
        <v>464</v>
      </c>
      <c r="O265" s="34" t="s">
        <v>1718</v>
      </c>
      <c r="P265" s="5" t="s">
        <v>1467</v>
      </c>
      <c r="Q265" s="5" t="s">
        <v>1719</v>
      </c>
      <c r="R265" s="5" t="s">
        <v>1720</v>
      </c>
      <c r="S265" s="5" t="s">
        <v>1721</v>
      </c>
      <c r="T265" s="5" t="s">
        <v>445</v>
      </c>
    </row>
    <row r="266" spans="6:20">
      <c r="F266" s="36" t="s">
        <v>291</v>
      </c>
      <c r="G266" s="5" t="s">
        <v>292</v>
      </c>
      <c r="I266" s="6">
        <v>-74797</v>
      </c>
      <c r="J266" s="62">
        <v>-50.5385135135135</v>
      </c>
      <c r="K266" s="62">
        <v>1480</v>
      </c>
      <c r="L266" s="62" t="s">
        <v>1717</v>
      </c>
      <c r="M266" s="100" t="s">
        <v>452</v>
      </c>
      <c r="N266" s="5" t="s">
        <v>464</v>
      </c>
      <c r="O266" s="34" t="s">
        <v>1718</v>
      </c>
      <c r="P266" s="5" t="s">
        <v>1467</v>
      </c>
      <c r="Q266" s="5" t="s">
        <v>1719</v>
      </c>
      <c r="R266" s="5" t="s">
        <v>1722</v>
      </c>
      <c r="S266" s="5" t="s">
        <v>1721</v>
      </c>
      <c r="T266" s="5" t="s">
        <v>445</v>
      </c>
    </row>
    <row r="267" spans="6:20">
      <c r="F267" s="36" t="s">
        <v>291</v>
      </c>
      <c r="G267" s="5" t="s">
        <v>292</v>
      </c>
      <c r="I267" s="6">
        <v>-90538</v>
      </c>
      <c r="J267" s="62">
        <v>-61.174324324324303</v>
      </c>
      <c r="K267" s="62">
        <v>1480</v>
      </c>
      <c r="L267" s="62" t="s">
        <v>1717</v>
      </c>
      <c r="M267" s="100" t="s">
        <v>452</v>
      </c>
      <c r="N267" s="5" t="s">
        <v>464</v>
      </c>
      <c r="O267" s="34" t="s">
        <v>1718</v>
      </c>
      <c r="P267" s="5" t="s">
        <v>1467</v>
      </c>
      <c r="Q267" s="5" t="s">
        <v>1719</v>
      </c>
      <c r="R267" s="5" t="s">
        <v>1723</v>
      </c>
      <c r="S267" s="5" t="s">
        <v>1721</v>
      </c>
      <c r="T267" s="5" t="s">
        <v>445</v>
      </c>
    </row>
    <row r="268" spans="6:20">
      <c r="F268" s="36" t="s">
        <v>291</v>
      </c>
      <c r="G268" s="5" t="s">
        <v>292</v>
      </c>
      <c r="I268" s="6">
        <v>-64438.400000000001</v>
      </c>
      <c r="J268" s="62">
        <v>-43.539459459459501</v>
      </c>
      <c r="K268" s="62">
        <v>1480</v>
      </c>
      <c r="L268" s="62" t="s">
        <v>1717</v>
      </c>
      <c r="M268" s="100" t="s">
        <v>452</v>
      </c>
      <c r="N268" s="5" t="s">
        <v>464</v>
      </c>
      <c r="O268" s="34" t="s">
        <v>1718</v>
      </c>
      <c r="P268" s="5" t="s">
        <v>1467</v>
      </c>
      <c r="Q268" s="5" t="s">
        <v>1719</v>
      </c>
      <c r="R268" s="5" t="s">
        <v>1724</v>
      </c>
      <c r="S268" s="5" t="s">
        <v>1721</v>
      </c>
      <c r="T268" s="5" t="s">
        <v>445</v>
      </c>
    </row>
    <row r="269" spans="6:20">
      <c r="F269" s="36" t="s">
        <v>291</v>
      </c>
      <c r="G269" s="5" t="s">
        <v>292</v>
      </c>
      <c r="I269" s="6">
        <v>-59994</v>
      </c>
      <c r="J269" s="62">
        <v>-40.812244897959197</v>
      </c>
      <c r="K269" s="62">
        <v>1470</v>
      </c>
      <c r="L269" s="62" t="s">
        <v>1521</v>
      </c>
      <c r="M269" s="100" t="s">
        <v>452</v>
      </c>
      <c r="N269" s="5" t="s">
        <v>464</v>
      </c>
      <c r="O269" s="34" t="s">
        <v>1692</v>
      </c>
      <c r="P269" s="5" t="s">
        <v>597</v>
      </c>
      <c r="Q269" s="5" t="s">
        <v>1693</v>
      </c>
      <c r="R269" s="5" t="s">
        <v>1725</v>
      </c>
      <c r="S269" s="5" t="s">
        <v>1695</v>
      </c>
      <c r="T269" s="5" t="s">
        <v>445</v>
      </c>
    </row>
    <row r="270" spans="6:20">
      <c r="F270" s="36" t="s">
        <v>291</v>
      </c>
      <c r="G270" s="5" t="s">
        <v>292</v>
      </c>
      <c r="I270" s="6">
        <v>-82500</v>
      </c>
      <c r="J270" s="62">
        <v>-56.122448979591802</v>
      </c>
      <c r="K270" s="62">
        <v>1470</v>
      </c>
      <c r="L270" s="62" t="s">
        <v>1499</v>
      </c>
      <c r="M270" s="100" t="s">
        <v>452</v>
      </c>
      <c r="N270" s="5" t="s">
        <v>464</v>
      </c>
      <c r="O270" s="34" t="s">
        <v>1726</v>
      </c>
      <c r="P270" s="5" t="s">
        <v>1467</v>
      </c>
      <c r="Q270" s="5" t="s">
        <v>1727</v>
      </c>
      <c r="R270" s="5" t="s">
        <v>1728</v>
      </c>
      <c r="S270" s="5" t="s">
        <v>1729</v>
      </c>
      <c r="T270" s="5" t="s">
        <v>445</v>
      </c>
    </row>
    <row r="271" spans="6:20">
      <c r="F271" s="36" t="s">
        <v>291</v>
      </c>
      <c r="G271" s="5" t="s">
        <v>292</v>
      </c>
      <c r="I271" s="6">
        <v>-49999</v>
      </c>
      <c r="J271" s="62">
        <v>-34.012925170068002</v>
      </c>
      <c r="K271" s="62">
        <v>1470</v>
      </c>
      <c r="L271" s="62" t="s">
        <v>1521</v>
      </c>
      <c r="M271" s="100" t="s">
        <v>452</v>
      </c>
      <c r="N271" s="5" t="s">
        <v>464</v>
      </c>
      <c r="O271" s="34" t="s">
        <v>1692</v>
      </c>
      <c r="P271" s="5" t="s">
        <v>597</v>
      </c>
      <c r="Q271" s="5" t="s">
        <v>1693</v>
      </c>
      <c r="R271" s="5" t="s">
        <v>1730</v>
      </c>
      <c r="S271" s="5" t="s">
        <v>1695</v>
      </c>
      <c r="T271" s="5" t="s">
        <v>445</v>
      </c>
    </row>
    <row r="272" spans="6:20">
      <c r="F272" s="36" t="s">
        <v>291</v>
      </c>
      <c r="G272" s="5" t="s">
        <v>292</v>
      </c>
      <c r="I272" s="6">
        <v>-158175</v>
      </c>
      <c r="J272" s="62">
        <v>-107.602040816327</v>
      </c>
      <c r="K272" s="62">
        <v>1470</v>
      </c>
      <c r="L272" s="62" t="s">
        <v>1521</v>
      </c>
      <c r="M272" s="100" t="s">
        <v>452</v>
      </c>
      <c r="N272" s="5" t="s">
        <v>464</v>
      </c>
      <c r="O272" s="34" t="s">
        <v>1692</v>
      </c>
      <c r="P272" s="5" t="s">
        <v>597</v>
      </c>
      <c r="Q272" s="5" t="s">
        <v>1693</v>
      </c>
      <c r="R272" s="5" t="s">
        <v>1731</v>
      </c>
      <c r="S272" s="5" t="s">
        <v>1695</v>
      </c>
      <c r="T272" s="5" t="s">
        <v>445</v>
      </c>
    </row>
    <row r="273" spans="6:20">
      <c r="F273" s="36" t="s">
        <v>291</v>
      </c>
      <c r="G273" s="5" t="s">
        <v>292</v>
      </c>
      <c r="I273" s="6">
        <v>-55057.599999999999</v>
      </c>
      <c r="J273" s="62">
        <v>-37.201081081081099</v>
      </c>
      <c r="K273" s="62">
        <v>1480</v>
      </c>
      <c r="L273" s="62" t="s">
        <v>1717</v>
      </c>
      <c r="M273" s="100" t="s">
        <v>452</v>
      </c>
      <c r="N273" s="5" t="s">
        <v>464</v>
      </c>
      <c r="O273" s="34" t="s">
        <v>1718</v>
      </c>
      <c r="P273" s="5" t="s">
        <v>1467</v>
      </c>
      <c r="Q273" s="5" t="s">
        <v>1719</v>
      </c>
      <c r="R273" s="5" t="s">
        <v>1732</v>
      </c>
      <c r="S273" s="5" t="s">
        <v>1721</v>
      </c>
      <c r="T273" s="5" t="s">
        <v>445</v>
      </c>
    </row>
    <row r="274" spans="6:20">
      <c r="F274" s="36" t="s">
        <v>291</v>
      </c>
      <c r="G274" s="5" t="s">
        <v>292</v>
      </c>
      <c r="I274" s="6">
        <v>-352000</v>
      </c>
      <c r="J274" s="62">
        <v>-239.45578231292501</v>
      </c>
      <c r="K274" s="62">
        <v>1470</v>
      </c>
      <c r="L274" s="62" t="s">
        <v>1521</v>
      </c>
      <c r="M274" s="100" t="s">
        <v>452</v>
      </c>
      <c r="N274" s="5" t="s">
        <v>464</v>
      </c>
      <c r="O274" s="34" t="s">
        <v>1692</v>
      </c>
      <c r="P274" s="5" t="s">
        <v>597</v>
      </c>
      <c r="Q274" s="5" t="s">
        <v>1693</v>
      </c>
      <c r="R274" s="5" t="s">
        <v>1734</v>
      </c>
      <c r="S274" s="5" t="s">
        <v>1695</v>
      </c>
      <c r="T274" s="5" t="s">
        <v>445</v>
      </c>
    </row>
    <row r="275" spans="6:20">
      <c r="F275" s="36" t="s">
        <v>291</v>
      </c>
      <c r="G275" s="5" t="s">
        <v>292</v>
      </c>
      <c r="I275" s="6">
        <v>-352000</v>
      </c>
      <c r="J275" s="62">
        <v>-237.83783783783801</v>
      </c>
      <c r="K275" s="62">
        <v>1480</v>
      </c>
      <c r="L275" s="62" t="s">
        <v>1465</v>
      </c>
      <c r="M275" s="100" t="s">
        <v>452</v>
      </c>
      <c r="N275" s="5" t="s">
        <v>464</v>
      </c>
      <c r="O275" s="34" t="s">
        <v>1697</v>
      </c>
      <c r="P275" s="5" t="s">
        <v>1467</v>
      </c>
      <c r="Q275" s="5" t="s">
        <v>1698</v>
      </c>
      <c r="R275" s="5" t="s">
        <v>1735</v>
      </c>
      <c r="S275" s="5" t="s">
        <v>1700</v>
      </c>
      <c r="T275" s="5" t="s">
        <v>445</v>
      </c>
    </row>
    <row r="276" spans="6:20">
      <c r="F276" s="36" t="s">
        <v>291</v>
      </c>
      <c r="G276" s="5" t="s">
        <v>292</v>
      </c>
      <c r="I276" s="6">
        <v>-153000</v>
      </c>
      <c r="J276" s="62">
        <v>-103.378378378378</v>
      </c>
      <c r="K276" s="62">
        <v>1480</v>
      </c>
      <c r="L276" s="62" t="s">
        <v>1465</v>
      </c>
      <c r="M276" s="100" t="s">
        <v>452</v>
      </c>
      <c r="N276" s="5" t="s">
        <v>464</v>
      </c>
      <c r="O276" s="34" t="s">
        <v>1697</v>
      </c>
      <c r="P276" s="5" t="s">
        <v>1467</v>
      </c>
      <c r="Q276" s="5" t="s">
        <v>1698</v>
      </c>
      <c r="R276" s="5" t="s">
        <v>1740</v>
      </c>
      <c r="S276" s="5" t="s">
        <v>1700</v>
      </c>
      <c r="T276" s="5" t="s">
        <v>445</v>
      </c>
    </row>
    <row r="277" spans="6:20">
      <c r="F277" s="36" t="s">
        <v>291</v>
      </c>
      <c r="G277" s="5" t="s">
        <v>292</v>
      </c>
      <c r="I277" s="6">
        <v>-297100</v>
      </c>
      <c r="J277" s="62">
        <v>-202.108843537415</v>
      </c>
      <c r="K277" s="62">
        <v>1470</v>
      </c>
      <c r="L277" s="62" t="s">
        <v>1499</v>
      </c>
      <c r="M277" s="100" t="s">
        <v>452</v>
      </c>
      <c r="N277" s="5" t="s">
        <v>464</v>
      </c>
      <c r="O277" s="34" t="s">
        <v>1726</v>
      </c>
      <c r="P277" s="5" t="s">
        <v>1467</v>
      </c>
      <c r="Q277" s="5" t="s">
        <v>1727</v>
      </c>
      <c r="R277" s="5" t="s">
        <v>1741</v>
      </c>
      <c r="S277" s="5" t="s">
        <v>1729</v>
      </c>
      <c r="T277" s="5" t="s">
        <v>445</v>
      </c>
    </row>
    <row r="278" spans="6:20">
      <c r="F278" s="36" t="s">
        <v>291</v>
      </c>
      <c r="G278" s="5" t="s">
        <v>292</v>
      </c>
      <c r="I278" s="6">
        <v>-1304896.46</v>
      </c>
      <c r="J278" s="62">
        <v>-881.68679729729695</v>
      </c>
      <c r="K278" s="62">
        <v>1480</v>
      </c>
      <c r="L278" s="62" t="s">
        <v>1465</v>
      </c>
      <c r="M278" s="100" t="s">
        <v>452</v>
      </c>
      <c r="N278" s="5" t="s">
        <v>464</v>
      </c>
      <c r="O278" s="34" t="s">
        <v>1697</v>
      </c>
      <c r="P278" s="5" t="s">
        <v>1467</v>
      </c>
      <c r="Q278" s="5" t="s">
        <v>1698</v>
      </c>
      <c r="R278" s="5" t="s">
        <v>1742</v>
      </c>
      <c r="S278" s="5" t="s">
        <v>1700</v>
      </c>
      <c r="T278" s="5" t="s">
        <v>445</v>
      </c>
    </row>
    <row r="279" spans="6:20">
      <c r="F279" s="36" t="s">
        <v>291</v>
      </c>
      <c r="G279" s="5" t="s">
        <v>292</v>
      </c>
      <c r="I279" s="6">
        <v>-225500</v>
      </c>
      <c r="J279" s="62">
        <v>-152.36486486486501</v>
      </c>
      <c r="K279" s="62">
        <v>1480</v>
      </c>
      <c r="L279" s="62" t="s">
        <v>1471</v>
      </c>
      <c r="M279" s="100" t="s">
        <v>452</v>
      </c>
      <c r="N279" s="5" t="s">
        <v>464</v>
      </c>
      <c r="O279" s="34" t="s">
        <v>1701</v>
      </c>
      <c r="P279" s="5" t="s">
        <v>1467</v>
      </c>
      <c r="Q279" s="5" t="s">
        <v>1702</v>
      </c>
      <c r="R279" s="5" t="s">
        <v>1743</v>
      </c>
      <c r="S279" s="5" t="s">
        <v>1704</v>
      </c>
      <c r="T279" s="5" t="s">
        <v>445</v>
      </c>
    </row>
    <row r="280" spans="6:20">
      <c r="F280" s="36" t="s">
        <v>291</v>
      </c>
      <c r="G280" s="5" t="s">
        <v>292</v>
      </c>
      <c r="I280" s="6">
        <v>-225500</v>
      </c>
      <c r="J280" s="62">
        <v>-152.36486486486501</v>
      </c>
      <c r="K280" s="62">
        <v>1480</v>
      </c>
      <c r="L280" s="62" t="s">
        <v>1471</v>
      </c>
      <c r="M280" s="100" t="s">
        <v>452</v>
      </c>
      <c r="N280" s="5" t="s">
        <v>464</v>
      </c>
      <c r="O280" s="34" t="s">
        <v>1705</v>
      </c>
      <c r="P280" s="5" t="s">
        <v>1467</v>
      </c>
      <c r="Q280" s="5" t="s">
        <v>1706</v>
      </c>
      <c r="R280" s="5" t="s">
        <v>1743</v>
      </c>
      <c r="S280" s="5" t="s">
        <v>1707</v>
      </c>
      <c r="T280" s="5" t="s">
        <v>445</v>
      </c>
    </row>
    <row r="281" spans="6:20">
      <c r="F281" s="36" t="s">
        <v>291</v>
      </c>
      <c r="G281" s="5" t="s">
        <v>292</v>
      </c>
      <c r="I281" s="6">
        <v>225500</v>
      </c>
      <c r="J281" s="62">
        <v>152.36486486486501</v>
      </c>
      <c r="K281" s="62">
        <v>1480</v>
      </c>
      <c r="L281" s="62" t="s">
        <v>1471</v>
      </c>
      <c r="M281" s="100" t="s">
        <v>452</v>
      </c>
      <c r="N281" s="5" t="s">
        <v>464</v>
      </c>
      <c r="O281" s="34" t="s">
        <v>1708</v>
      </c>
      <c r="P281" s="5" t="s">
        <v>1467</v>
      </c>
      <c r="Q281" s="5" t="s">
        <v>1709</v>
      </c>
      <c r="R281" s="5" t="s">
        <v>1743</v>
      </c>
      <c r="S281" s="5" t="s">
        <v>1710</v>
      </c>
      <c r="T281" s="5" t="s">
        <v>445</v>
      </c>
    </row>
    <row r="282" spans="6:20">
      <c r="F282" s="36" t="s">
        <v>291</v>
      </c>
      <c r="G282" s="5" t="s">
        <v>292</v>
      </c>
      <c r="I282" s="6">
        <v>-881000</v>
      </c>
      <c r="J282" s="62">
        <v>-595.27027027026998</v>
      </c>
      <c r="K282" s="62">
        <v>1480</v>
      </c>
      <c r="L282" s="62" t="s">
        <v>1717</v>
      </c>
      <c r="M282" s="100" t="s">
        <v>452</v>
      </c>
      <c r="N282" s="5" t="s">
        <v>464</v>
      </c>
      <c r="O282" s="34" t="s">
        <v>1718</v>
      </c>
      <c r="P282" s="5" t="s">
        <v>1467</v>
      </c>
      <c r="Q282" s="5" t="s">
        <v>1719</v>
      </c>
      <c r="R282" s="5" t="s">
        <v>1744</v>
      </c>
      <c r="S282" s="5" t="s">
        <v>1721</v>
      </c>
      <c r="T282" s="5" t="s">
        <v>445</v>
      </c>
    </row>
    <row r="283" spans="6:20">
      <c r="F283" s="36" t="s">
        <v>291</v>
      </c>
      <c r="G283" s="5" t="s">
        <v>292</v>
      </c>
      <c r="I283" s="6">
        <v>-140693.70000000001</v>
      </c>
      <c r="J283" s="62">
        <v>-95.063310810810805</v>
      </c>
      <c r="K283" s="62">
        <v>1480</v>
      </c>
      <c r="L283" s="62" t="s">
        <v>1499</v>
      </c>
      <c r="M283" s="100" t="s">
        <v>452</v>
      </c>
      <c r="N283" s="5" t="s">
        <v>464</v>
      </c>
      <c r="O283" s="34" t="s">
        <v>1726</v>
      </c>
      <c r="P283" s="5" t="s">
        <v>1467</v>
      </c>
      <c r="Q283" s="5" t="s">
        <v>1727</v>
      </c>
      <c r="R283" s="5" t="s">
        <v>1745</v>
      </c>
      <c r="S283" s="5" t="s">
        <v>1729</v>
      </c>
      <c r="T283" s="5" t="s">
        <v>445</v>
      </c>
    </row>
    <row r="284" spans="6:20">
      <c r="F284" s="36" t="s">
        <v>291</v>
      </c>
      <c r="G284" s="5" t="s">
        <v>292</v>
      </c>
      <c r="I284" s="6">
        <v>-1000000</v>
      </c>
      <c r="J284" s="62">
        <v>-680.27210884353701</v>
      </c>
      <c r="K284" s="62">
        <v>1470</v>
      </c>
      <c r="L284" s="62" t="s">
        <v>1521</v>
      </c>
      <c r="M284" s="100" t="s">
        <v>452</v>
      </c>
      <c r="N284" s="5" t="s">
        <v>464</v>
      </c>
      <c r="O284" s="34" t="s">
        <v>1692</v>
      </c>
      <c r="P284" s="5" t="s">
        <v>597</v>
      </c>
      <c r="Q284" s="5" t="s">
        <v>1693</v>
      </c>
      <c r="R284" s="5" t="s">
        <v>1746</v>
      </c>
      <c r="S284" s="5" t="s">
        <v>1695</v>
      </c>
      <c r="T284" s="5" t="s">
        <v>445</v>
      </c>
    </row>
    <row r="285" spans="6:20">
      <c r="F285" s="36" t="s">
        <v>291</v>
      </c>
      <c r="G285" s="5" t="s">
        <v>292</v>
      </c>
      <c r="I285" s="6">
        <v>-2000000</v>
      </c>
      <c r="J285" s="62">
        <v>-1351.3513513513501</v>
      </c>
      <c r="K285" s="62">
        <v>1480</v>
      </c>
      <c r="L285" s="62" t="s">
        <v>1471</v>
      </c>
      <c r="M285" s="100" t="s">
        <v>452</v>
      </c>
      <c r="N285" s="5" t="s">
        <v>464</v>
      </c>
      <c r="O285" s="34" t="s">
        <v>1701</v>
      </c>
      <c r="P285" s="5" t="s">
        <v>1467</v>
      </c>
      <c r="Q285" s="5" t="s">
        <v>1702</v>
      </c>
      <c r="R285" s="5" t="s">
        <v>1747</v>
      </c>
      <c r="S285" s="5" t="s">
        <v>1704</v>
      </c>
      <c r="T285" s="5" t="s">
        <v>445</v>
      </c>
    </row>
    <row r="286" spans="6:20">
      <c r="F286" s="36" t="s">
        <v>291</v>
      </c>
      <c r="G286" s="5" t="s">
        <v>292</v>
      </c>
      <c r="I286" s="6">
        <v>-2000000</v>
      </c>
      <c r="J286" s="62">
        <v>-1351.3513513513501</v>
      </c>
      <c r="K286" s="62">
        <v>1480</v>
      </c>
      <c r="L286" s="62" t="s">
        <v>1471</v>
      </c>
      <c r="M286" s="100" t="s">
        <v>452</v>
      </c>
      <c r="N286" s="5" t="s">
        <v>464</v>
      </c>
      <c r="O286" s="34" t="s">
        <v>1705</v>
      </c>
      <c r="P286" s="5" t="s">
        <v>1467</v>
      </c>
      <c r="Q286" s="5" t="s">
        <v>1706</v>
      </c>
      <c r="R286" s="5" t="s">
        <v>1747</v>
      </c>
      <c r="S286" s="5" t="s">
        <v>1707</v>
      </c>
      <c r="T286" s="5" t="s">
        <v>445</v>
      </c>
    </row>
    <row r="287" spans="6:20">
      <c r="F287" s="36" t="s">
        <v>291</v>
      </c>
      <c r="G287" s="5" t="s">
        <v>292</v>
      </c>
      <c r="I287" s="6">
        <v>2000000</v>
      </c>
      <c r="J287" s="62">
        <v>1351.3513513513501</v>
      </c>
      <c r="K287" s="62">
        <v>1480</v>
      </c>
      <c r="L287" s="62" t="s">
        <v>1471</v>
      </c>
      <c r="M287" s="100" t="s">
        <v>452</v>
      </c>
      <c r="N287" s="5" t="s">
        <v>464</v>
      </c>
      <c r="O287" s="34" t="s">
        <v>1708</v>
      </c>
      <c r="P287" s="5" t="s">
        <v>1467</v>
      </c>
      <c r="Q287" s="5" t="s">
        <v>1709</v>
      </c>
      <c r="R287" s="5" t="s">
        <v>1747</v>
      </c>
      <c r="S287" s="5" t="s">
        <v>1710</v>
      </c>
      <c r="T287" s="5" t="s">
        <v>445</v>
      </c>
    </row>
    <row r="288" spans="6:20">
      <c r="F288" s="36" t="s">
        <v>291</v>
      </c>
      <c r="G288" s="5" t="s">
        <v>292</v>
      </c>
      <c r="I288" s="6">
        <v>-91340</v>
      </c>
      <c r="J288" s="62">
        <v>-61.716216216216203</v>
      </c>
      <c r="K288" s="62">
        <v>1480</v>
      </c>
      <c r="L288" s="62" t="s">
        <v>1499</v>
      </c>
      <c r="M288" s="100" t="s">
        <v>452</v>
      </c>
      <c r="N288" s="5" t="s">
        <v>464</v>
      </c>
      <c r="O288" s="34" t="s">
        <v>1726</v>
      </c>
      <c r="P288" s="5" t="s">
        <v>1467</v>
      </c>
      <c r="Q288" s="5" t="s">
        <v>1727</v>
      </c>
      <c r="R288" s="5" t="s">
        <v>1748</v>
      </c>
      <c r="S288" s="5" t="s">
        <v>1729</v>
      </c>
      <c r="T288" s="5" t="s">
        <v>445</v>
      </c>
    </row>
    <row r="289" spans="6:20">
      <c r="F289" s="36" t="s">
        <v>291</v>
      </c>
      <c r="G289" s="5" t="s">
        <v>292</v>
      </c>
      <c r="I289" s="6">
        <v>-212500</v>
      </c>
      <c r="J289" s="62">
        <v>-143.58108108108101</v>
      </c>
      <c r="K289" s="62">
        <v>1480</v>
      </c>
      <c r="L289" s="62" t="s">
        <v>1471</v>
      </c>
      <c r="M289" s="100" t="s">
        <v>452</v>
      </c>
      <c r="N289" s="5" t="s">
        <v>464</v>
      </c>
      <c r="O289" s="34" t="s">
        <v>1701</v>
      </c>
      <c r="P289" s="5" t="s">
        <v>1467</v>
      </c>
      <c r="Q289" s="5" t="s">
        <v>1702</v>
      </c>
      <c r="R289" s="5" t="s">
        <v>1749</v>
      </c>
      <c r="S289" s="5" t="s">
        <v>1704</v>
      </c>
      <c r="T289" s="5" t="s">
        <v>445</v>
      </c>
    </row>
    <row r="290" spans="6:20">
      <c r="F290" s="36" t="s">
        <v>291</v>
      </c>
      <c r="G290" s="5" t="s">
        <v>292</v>
      </c>
      <c r="I290" s="6">
        <v>-212500</v>
      </c>
      <c r="J290" s="62">
        <v>-143.58108108108101</v>
      </c>
      <c r="K290" s="62">
        <v>1480</v>
      </c>
      <c r="L290" s="62" t="s">
        <v>1471</v>
      </c>
      <c r="M290" s="100" t="s">
        <v>452</v>
      </c>
      <c r="N290" s="5" t="s">
        <v>464</v>
      </c>
      <c r="O290" s="34" t="s">
        <v>1705</v>
      </c>
      <c r="P290" s="5" t="s">
        <v>1467</v>
      </c>
      <c r="Q290" s="5" t="s">
        <v>1706</v>
      </c>
      <c r="R290" s="5" t="s">
        <v>1749</v>
      </c>
      <c r="S290" s="5" t="s">
        <v>1707</v>
      </c>
      <c r="T290" s="5" t="s">
        <v>445</v>
      </c>
    </row>
    <row r="291" spans="6:20">
      <c r="F291" s="36" t="s">
        <v>291</v>
      </c>
      <c r="G291" s="5" t="s">
        <v>292</v>
      </c>
      <c r="I291" s="6">
        <v>212500</v>
      </c>
      <c r="J291" s="62">
        <v>143.58108108108101</v>
      </c>
      <c r="K291" s="62">
        <v>1480</v>
      </c>
      <c r="L291" s="62" t="s">
        <v>1471</v>
      </c>
      <c r="M291" s="100" t="s">
        <v>452</v>
      </c>
      <c r="N291" s="5" t="s">
        <v>464</v>
      </c>
      <c r="O291" s="34" t="s">
        <v>1708</v>
      </c>
      <c r="P291" s="5" t="s">
        <v>1467</v>
      </c>
      <c r="Q291" s="5" t="s">
        <v>1709</v>
      </c>
      <c r="R291" s="5" t="s">
        <v>1749</v>
      </c>
      <c r="S291" s="5" t="s">
        <v>1710</v>
      </c>
      <c r="T291" s="5" t="s">
        <v>445</v>
      </c>
    </row>
    <row r="292" spans="6:20">
      <c r="F292" s="36" t="s">
        <v>291</v>
      </c>
      <c r="G292" s="5" t="s">
        <v>292</v>
      </c>
      <c r="I292" s="6">
        <v>13200000</v>
      </c>
      <c r="J292" s="62">
        <v>8979.5918367346894</v>
      </c>
      <c r="K292" s="62">
        <v>1470</v>
      </c>
      <c r="L292" s="62" t="s">
        <v>1521</v>
      </c>
      <c r="M292" s="100" t="s">
        <v>452</v>
      </c>
      <c r="N292" s="5" t="s">
        <v>442</v>
      </c>
      <c r="O292" s="34" t="s">
        <v>1821</v>
      </c>
      <c r="P292" s="5" t="s">
        <v>597</v>
      </c>
      <c r="Q292" s="5" t="s">
        <v>1822</v>
      </c>
      <c r="R292" s="5" t="s">
        <v>1822</v>
      </c>
      <c r="S292" s="5" t="s">
        <v>1823</v>
      </c>
      <c r="T292" s="5" t="s">
        <v>445</v>
      </c>
    </row>
    <row r="293" spans="6:20">
      <c r="F293" s="36" t="s">
        <v>291</v>
      </c>
      <c r="G293" s="5" t="s">
        <v>292</v>
      </c>
      <c r="I293" s="6">
        <v>600000</v>
      </c>
      <c r="J293" s="62">
        <v>405.40540540540502</v>
      </c>
      <c r="K293" s="62">
        <v>1480</v>
      </c>
      <c r="L293" s="62" t="s">
        <v>1499</v>
      </c>
      <c r="M293" s="100" t="s">
        <v>452</v>
      </c>
      <c r="N293" s="5" t="s">
        <v>442</v>
      </c>
      <c r="O293" s="34" t="s">
        <v>1824</v>
      </c>
      <c r="P293" s="5" t="s">
        <v>1467</v>
      </c>
      <c r="Q293" s="5" t="s">
        <v>1825</v>
      </c>
      <c r="R293" s="5" t="s">
        <v>1825</v>
      </c>
      <c r="S293" s="5" t="s">
        <v>1826</v>
      </c>
      <c r="T293" s="5" t="s">
        <v>445</v>
      </c>
    </row>
    <row r="294" spans="6:20">
      <c r="F294" s="36" t="s">
        <v>291</v>
      </c>
      <c r="G294" s="5" t="s">
        <v>292</v>
      </c>
      <c r="I294" s="6">
        <v>1400000</v>
      </c>
      <c r="J294" s="62">
        <v>945.94594594594605</v>
      </c>
      <c r="K294" s="62">
        <v>1480</v>
      </c>
      <c r="L294" s="62" t="s">
        <v>1717</v>
      </c>
      <c r="M294" s="100" t="s">
        <v>452</v>
      </c>
      <c r="N294" s="5" t="s">
        <v>442</v>
      </c>
      <c r="O294" s="34" t="s">
        <v>1827</v>
      </c>
      <c r="P294" s="5" t="s">
        <v>1467</v>
      </c>
      <c r="Q294" s="5" t="s">
        <v>1828</v>
      </c>
      <c r="R294" s="5" t="s">
        <v>1828</v>
      </c>
      <c r="S294" s="5" t="s">
        <v>1829</v>
      </c>
      <c r="T294" s="5" t="s">
        <v>445</v>
      </c>
    </row>
    <row r="295" spans="6:20">
      <c r="F295" s="36" t="s">
        <v>291</v>
      </c>
      <c r="G295" s="5" t="s">
        <v>292</v>
      </c>
      <c r="I295" s="6">
        <v>10900000</v>
      </c>
      <c r="J295" s="62">
        <v>7364.8648648648696</v>
      </c>
      <c r="K295" s="62">
        <v>1480</v>
      </c>
      <c r="L295" s="62" t="s">
        <v>1471</v>
      </c>
      <c r="M295" s="100" t="s">
        <v>452</v>
      </c>
      <c r="N295" s="5" t="s">
        <v>442</v>
      </c>
      <c r="O295" s="34" t="s">
        <v>1830</v>
      </c>
      <c r="P295" s="5" t="s">
        <v>1467</v>
      </c>
      <c r="Q295" s="5" t="s">
        <v>1831</v>
      </c>
      <c r="R295" s="5" t="s">
        <v>1831</v>
      </c>
      <c r="S295" s="5" t="s">
        <v>1832</v>
      </c>
      <c r="T295" s="5" t="s">
        <v>445</v>
      </c>
    </row>
    <row r="296" spans="6:20">
      <c r="F296" s="36" t="s">
        <v>293</v>
      </c>
      <c r="G296" s="5" t="s">
        <v>294</v>
      </c>
      <c r="I296" s="6">
        <v>-2425500</v>
      </c>
      <c r="J296" s="62">
        <v>-1650</v>
      </c>
      <c r="K296" s="62">
        <v>1470</v>
      </c>
      <c r="L296" s="62" t="s">
        <v>1460</v>
      </c>
      <c r="M296" s="100" t="s">
        <v>452</v>
      </c>
      <c r="N296" s="5" t="s">
        <v>464</v>
      </c>
      <c r="O296" s="34" t="s">
        <v>1461</v>
      </c>
      <c r="P296" s="5" t="s">
        <v>597</v>
      </c>
      <c r="Q296" s="5" t="s">
        <v>1462</v>
      </c>
      <c r="R296" s="5" t="s">
        <v>1463</v>
      </c>
      <c r="S296" s="5" t="s">
        <v>1464</v>
      </c>
      <c r="T296" s="5" t="s">
        <v>445</v>
      </c>
    </row>
    <row r="297" spans="6:20">
      <c r="F297" s="36" t="s">
        <v>293</v>
      </c>
      <c r="G297" s="5" t="s">
        <v>294</v>
      </c>
      <c r="I297" s="6">
        <v>213120</v>
      </c>
      <c r="J297" s="62">
        <v>144</v>
      </c>
      <c r="K297" s="62">
        <v>1480</v>
      </c>
      <c r="L297" s="62" t="s">
        <v>1465</v>
      </c>
      <c r="M297" s="100" t="s">
        <v>452</v>
      </c>
      <c r="N297" s="5" t="s">
        <v>464</v>
      </c>
      <c r="O297" s="34" t="s">
        <v>1466</v>
      </c>
      <c r="P297" s="5" t="s">
        <v>1467</v>
      </c>
      <c r="Q297" s="5" t="s">
        <v>1468</v>
      </c>
      <c r="R297" s="5" t="s">
        <v>1469</v>
      </c>
      <c r="S297" s="5" t="s">
        <v>1470</v>
      </c>
      <c r="T297" s="5" t="s">
        <v>445</v>
      </c>
    </row>
    <row r="298" spans="6:20">
      <c r="F298" s="36" t="s">
        <v>293</v>
      </c>
      <c r="G298" s="5" t="s">
        <v>294</v>
      </c>
      <c r="I298" s="6">
        <v>-275280</v>
      </c>
      <c r="J298" s="62">
        <v>-186</v>
      </c>
      <c r="K298" s="62">
        <v>1480</v>
      </c>
      <c r="L298" s="62" t="s">
        <v>1471</v>
      </c>
      <c r="M298" s="100" t="s">
        <v>452</v>
      </c>
      <c r="N298" s="5" t="s">
        <v>464</v>
      </c>
      <c r="O298" s="34" t="s">
        <v>1472</v>
      </c>
      <c r="P298" s="5" t="s">
        <v>1467</v>
      </c>
      <c r="Q298" s="5" t="s">
        <v>1473</v>
      </c>
      <c r="R298" s="5" t="s">
        <v>1474</v>
      </c>
      <c r="S298" s="5" t="s">
        <v>1475</v>
      </c>
      <c r="T298" s="5" t="s">
        <v>445</v>
      </c>
    </row>
    <row r="299" spans="6:20">
      <c r="F299" s="36" t="s">
        <v>293</v>
      </c>
      <c r="G299" s="5" t="s">
        <v>294</v>
      </c>
      <c r="I299" s="6">
        <v>-275280</v>
      </c>
      <c r="J299" s="62">
        <v>-186</v>
      </c>
      <c r="K299" s="62">
        <v>1480</v>
      </c>
      <c r="L299" s="62" t="s">
        <v>1471</v>
      </c>
      <c r="M299" s="100" t="s">
        <v>452</v>
      </c>
      <c r="N299" s="5" t="s">
        <v>464</v>
      </c>
      <c r="O299" s="34" t="s">
        <v>1476</v>
      </c>
      <c r="P299" s="5" t="s">
        <v>1467</v>
      </c>
      <c r="Q299" s="5" t="s">
        <v>1477</v>
      </c>
      <c r="R299" s="5" t="s">
        <v>1474</v>
      </c>
      <c r="S299" s="5" t="s">
        <v>1478</v>
      </c>
      <c r="T299" s="5" t="s">
        <v>445</v>
      </c>
    </row>
    <row r="300" spans="6:20">
      <c r="F300" s="36" t="s">
        <v>293</v>
      </c>
      <c r="G300" s="5" t="s">
        <v>294</v>
      </c>
      <c r="I300" s="6">
        <v>275280</v>
      </c>
      <c r="J300" s="62">
        <v>186</v>
      </c>
      <c r="K300" s="62">
        <v>1480</v>
      </c>
      <c r="L300" s="62" t="s">
        <v>1471</v>
      </c>
      <c r="M300" s="100" t="s">
        <v>452</v>
      </c>
      <c r="N300" s="5" t="s">
        <v>464</v>
      </c>
      <c r="O300" s="34" t="s">
        <v>1479</v>
      </c>
      <c r="P300" s="5" t="s">
        <v>1467</v>
      </c>
      <c r="Q300" s="5" t="s">
        <v>1480</v>
      </c>
      <c r="R300" s="5" t="s">
        <v>1474</v>
      </c>
      <c r="S300" s="5" t="s">
        <v>1481</v>
      </c>
      <c r="T300" s="5" t="s">
        <v>445</v>
      </c>
    </row>
    <row r="301" spans="6:20">
      <c r="F301" s="36" t="s">
        <v>293</v>
      </c>
      <c r="G301" s="5" t="s">
        <v>294</v>
      </c>
      <c r="I301" s="6">
        <v>-778480</v>
      </c>
      <c r="J301" s="62">
        <v>-526</v>
      </c>
      <c r="K301" s="62">
        <v>1480</v>
      </c>
      <c r="L301" s="62" t="s">
        <v>1471</v>
      </c>
      <c r="M301" s="100" t="s">
        <v>452</v>
      </c>
      <c r="N301" s="5" t="s">
        <v>464</v>
      </c>
      <c r="O301" s="34" t="s">
        <v>1472</v>
      </c>
      <c r="P301" s="5" t="s">
        <v>1467</v>
      </c>
      <c r="Q301" s="5" t="s">
        <v>1473</v>
      </c>
      <c r="R301" s="5" t="s">
        <v>1482</v>
      </c>
      <c r="S301" s="5" t="s">
        <v>1475</v>
      </c>
      <c r="T301" s="5" t="s">
        <v>445</v>
      </c>
    </row>
    <row r="302" spans="6:20">
      <c r="F302" s="36" t="s">
        <v>293</v>
      </c>
      <c r="G302" s="5" t="s">
        <v>294</v>
      </c>
      <c r="I302" s="6">
        <v>-778480</v>
      </c>
      <c r="J302" s="62">
        <v>-526</v>
      </c>
      <c r="K302" s="62">
        <v>1480</v>
      </c>
      <c r="L302" s="62" t="s">
        <v>1471</v>
      </c>
      <c r="M302" s="100" t="s">
        <v>452</v>
      </c>
      <c r="N302" s="5" t="s">
        <v>464</v>
      </c>
      <c r="O302" s="34" t="s">
        <v>1476</v>
      </c>
      <c r="P302" s="5" t="s">
        <v>1467</v>
      </c>
      <c r="Q302" s="5" t="s">
        <v>1477</v>
      </c>
      <c r="R302" s="5" t="s">
        <v>1482</v>
      </c>
      <c r="S302" s="5" t="s">
        <v>1478</v>
      </c>
      <c r="T302" s="5" t="s">
        <v>445</v>
      </c>
    </row>
    <row r="303" spans="6:20">
      <c r="F303" s="36" t="s">
        <v>293</v>
      </c>
      <c r="G303" s="5" t="s">
        <v>294</v>
      </c>
      <c r="I303" s="6">
        <v>778480</v>
      </c>
      <c r="J303" s="62">
        <v>526</v>
      </c>
      <c r="K303" s="62">
        <v>1480</v>
      </c>
      <c r="L303" s="62" t="s">
        <v>1471</v>
      </c>
      <c r="M303" s="100" t="s">
        <v>452</v>
      </c>
      <c r="N303" s="5" t="s">
        <v>464</v>
      </c>
      <c r="O303" s="34" t="s">
        <v>1479</v>
      </c>
      <c r="P303" s="5" t="s">
        <v>1467</v>
      </c>
      <c r="Q303" s="5" t="s">
        <v>1480</v>
      </c>
      <c r="R303" s="5" t="s">
        <v>1482</v>
      </c>
      <c r="S303" s="5" t="s">
        <v>1481</v>
      </c>
      <c r="T303" s="5" t="s">
        <v>445</v>
      </c>
    </row>
    <row r="304" spans="6:20">
      <c r="F304" s="36" t="s">
        <v>293</v>
      </c>
      <c r="G304" s="5" t="s">
        <v>294</v>
      </c>
      <c r="I304" s="6">
        <v>-677840</v>
      </c>
      <c r="J304" s="62">
        <v>-458</v>
      </c>
      <c r="K304" s="62">
        <v>1480</v>
      </c>
      <c r="L304" s="62" t="s">
        <v>1471</v>
      </c>
      <c r="M304" s="100" t="s">
        <v>452</v>
      </c>
      <c r="N304" s="5" t="s">
        <v>464</v>
      </c>
      <c r="O304" s="34" t="s">
        <v>1472</v>
      </c>
      <c r="P304" s="5" t="s">
        <v>1467</v>
      </c>
      <c r="Q304" s="5" t="s">
        <v>1473</v>
      </c>
      <c r="R304" s="5" t="s">
        <v>1483</v>
      </c>
      <c r="S304" s="5" t="s">
        <v>1475</v>
      </c>
      <c r="T304" s="5" t="s">
        <v>445</v>
      </c>
    </row>
    <row r="305" spans="6:20">
      <c r="F305" s="36" t="s">
        <v>293</v>
      </c>
      <c r="G305" s="5" t="s">
        <v>294</v>
      </c>
      <c r="I305" s="6">
        <v>-677840</v>
      </c>
      <c r="J305" s="62">
        <v>-458</v>
      </c>
      <c r="K305" s="62">
        <v>1480</v>
      </c>
      <c r="L305" s="62" t="s">
        <v>1471</v>
      </c>
      <c r="M305" s="100" t="s">
        <v>452</v>
      </c>
      <c r="N305" s="5" t="s">
        <v>464</v>
      </c>
      <c r="O305" s="34" t="s">
        <v>1476</v>
      </c>
      <c r="P305" s="5" t="s">
        <v>1467</v>
      </c>
      <c r="Q305" s="5" t="s">
        <v>1477</v>
      </c>
      <c r="R305" s="5" t="s">
        <v>1483</v>
      </c>
      <c r="S305" s="5" t="s">
        <v>1478</v>
      </c>
      <c r="T305" s="5" t="s">
        <v>445</v>
      </c>
    </row>
    <row r="306" spans="6:20">
      <c r="F306" s="36" t="s">
        <v>293</v>
      </c>
      <c r="G306" s="5" t="s">
        <v>294</v>
      </c>
      <c r="I306" s="6">
        <v>677840</v>
      </c>
      <c r="J306" s="62">
        <v>458</v>
      </c>
      <c r="K306" s="62">
        <v>1480</v>
      </c>
      <c r="L306" s="62" t="s">
        <v>1471</v>
      </c>
      <c r="M306" s="100" t="s">
        <v>452</v>
      </c>
      <c r="N306" s="5" t="s">
        <v>464</v>
      </c>
      <c r="O306" s="34" t="s">
        <v>1479</v>
      </c>
      <c r="P306" s="5" t="s">
        <v>1467</v>
      </c>
      <c r="Q306" s="5" t="s">
        <v>1480</v>
      </c>
      <c r="R306" s="5" t="s">
        <v>1483</v>
      </c>
      <c r="S306" s="5" t="s">
        <v>1481</v>
      </c>
      <c r="T306" s="5" t="s">
        <v>445</v>
      </c>
    </row>
    <row r="307" spans="6:20">
      <c r="F307" s="36" t="s">
        <v>293</v>
      </c>
      <c r="G307" s="5" t="s">
        <v>294</v>
      </c>
      <c r="I307" s="6">
        <v>-1915120</v>
      </c>
      <c r="J307" s="62">
        <v>-1294</v>
      </c>
      <c r="K307" s="62">
        <v>1480</v>
      </c>
      <c r="L307" s="62" t="s">
        <v>1471</v>
      </c>
      <c r="M307" s="100" t="s">
        <v>452</v>
      </c>
      <c r="N307" s="5" t="s">
        <v>464</v>
      </c>
      <c r="O307" s="34" t="s">
        <v>1472</v>
      </c>
      <c r="P307" s="5" t="s">
        <v>1467</v>
      </c>
      <c r="Q307" s="5" t="s">
        <v>1473</v>
      </c>
      <c r="R307" s="5" t="s">
        <v>1484</v>
      </c>
      <c r="S307" s="5" t="s">
        <v>1475</v>
      </c>
      <c r="T307" s="5" t="s">
        <v>445</v>
      </c>
    </row>
    <row r="308" spans="6:20">
      <c r="F308" s="36" t="s">
        <v>293</v>
      </c>
      <c r="G308" s="5" t="s">
        <v>294</v>
      </c>
      <c r="I308" s="6">
        <v>-1915120</v>
      </c>
      <c r="J308" s="62">
        <v>-1294</v>
      </c>
      <c r="K308" s="62">
        <v>1480</v>
      </c>
      <c r="L308" s="62" t="s">
        <v>1471</v>
      </c>
      <c r="M308" s="100" t="s">
        <v>452</v>
      </c>
      <c r="N308" s="5" t="s">
        <v>464</v>
      </c>
      <c r="O308" s="34" t="s">
        <v>1476</v>
      </c>
      <c r="P308" s="5" t="s">
        <v>1467</v>
      </c>
      <c r="Q308" s="5" t="s">
        <v>1477</v>
      </c>
      <c r="R308" s="5" t="s">
        <v>1484</v>
      </c>
      <c r="S308" s="5" t="s">
        <v>1478</v>
      </c>
      <c r="T308" s="5" t="s">
        <v>445</v>
      </c>
    </row>
    <row r="309" spans="6:20">
      <c r="F309" s="36" t="s">
        <v>293</v>
      </c>
      <c r="G309" s="5" t="s">
        <v>294</v>
      </c>
      <c r="I309" s="6">
        <v>1915120</v>
      </c>
      <c r="J309" s="62">
        <v>1294</v>
      </c>
      <c r="K309" s="62">
        <v>1480</v>
      </c>
      <c r="L309" s="62" t="s">
        <v>1471</v>
      </c>
      <c r="M309" s="100" t="s">
        <v>452</v>
      </c>
      <c r="N309" s="5" t="s">
        <v>464</v>
      </c>
      <c r="O309" s="34" t="s">
        <v>1479</v>
      </c>
      <c r="P309" s="5" t="s">
        <v>1467</v>
      </c>
      <c r="Q309" s="5" t="s">
        <v>1480</v>
      </c>
      <c r="R309" s="5" t="s">
        <v>1484</v>
      </c>
      <c r="S309" s="5" t="s">
        <v>1481</v>
      </c>
      <c r="T309" s="5" t="s">
        <v>445</v>
      </c>
    </row>
    <row r="310" spans="6:20">
      <c r="F310" s="36" t="s">
        <v>293</v>
      </c>
      <c r="G310" s="5" t="s">
        <v>294</v>
      </c>
      <c r="I310" s="6">
        <v>10360</v>
      </c>
      <c r="J310" s="62">
        <v>7</v>
      </c>
      <c r="K310" s="62">
        <v>1480</v>
      </c>
      <c r="L310" s="62" t="s">
        <v>1471</v>
      </c>
      <c r="M310" s="100" t="s">
        <v>452</v>
      </c>
      <c r="N310" s="5" t="s">
        <v>464</v>
      </c>
      <c r="O310" s="34" t="s">
        <v>1485</v>
      </c>
      <c r="P310" s="5" t="s">
        <v>1467</v>
      </c>
      <c r="Q310" s="5" t="s">
        <v>1486</v>
      </c>
      <c r="R310" s="5" t="s">
        <v>1487</v>
      </c>
      <c r="S310" s="5" t="s">
        <v>1488</v>
      </c>
      <c r="T310" s="5" t="s">
        <v>445</v>
      </c>
    </row>
    <row r="311" spans="6:20">
      <c r="F311" s="36" t="s">
        <v>293</v>
      </c>
      <c r="G311" s="5" t="s">
        <v>294</v>
      </c>
      <c r="I311" s="6">
        <v>-10730</v>
      </c>
      <c r="J311" s="62">
        <v>-7.25</v>
      </c>
      <c r="K311" s="62">
        <v>1480</v>
      </c>
      <c r="L311" s="62" t="s">
        <v>1465</v>
      </c>
      <c r="M311" s="100" t="s">
        <v>452</v>
      </c>
      <c r="N311" s="5" t="s">
        <v>464</v>
      </c>
      <c r="O311" s="34" t="s">
        <v>1489</v>
      </c>
      <c r="P311" s="5" t="s">
        <v>1467</v>
      </c>
      <c r="Q311" s="5" t="s">
        <v>1490</v>
      </c>
      <c r="R311" s="5" t="s">
        <v>1491</v>
      </c>
      <c r="S311" s="5" t="s">
        <v>1492</v>
      </c>
      <c r="T311" s="5" t="s">
        <v>445</v>
      </c>
    </row>
    <row r="312" spans="6:20">
      <c r="F312" s="36" t="s">
        <v>293</v>
      </c>
      <c r="G312" s="5" t="s">
        <v>294</v>
      </c>
      <c r="I312" s="6">
        <v>31080</v>
      </c>
      <c r="J312" s="62">
        <v>21</v>
      </c>
      <c r="K312" s="62">
        <v>1480</v>
      </c>
      <c r="L312" s="62" t="s">
        <v>1471</v>
      </c>
      <c r="M312" s="100" t="s">
        <v>452</v>
      </c>
      <c r="N312" s="5" t="s">
        <v>464</v>
      </c>
      <c r="O312" s="34" t="s">
        <v>1485</v>
      </c>
      <c r="P312" s="5" t="s">
        <v>1467</v>
      </c>
      <c r="Q312" s="5" t="s">
        <v>1486</v>
      </c>
      <c r="R312" s="5" t="s">
        <v>1493</v>
      </c>
      <c r="S312" s="5" t="s">
        <v>1488</v>
      </c>
      <c r="T312" s="5" t="s">
        <v>445</v>
      </c>
    </row>
    <row r="313" spans="6:20">
      <c r="F313" s="36" t="s">
        <v>293</v>
      </c>
      <c r="G313" s="5" t="s">
        <v>294</v>
      </c>
      <c r="I313" s="6">
        <v>-32175.200000000001</v>
      </c>
      <c r="J313" s="62">
        <v>-21.74</v>
      </c>
      <c r="K313" s="62">
        <v>1480</v>
      </c>
      <c r="L313" s="62" t="s">
        <v>1465</v>
      </c>
      <c r="M313" s="100" t="s">
        <v>452</v>
      </c>
      <c r="N313" s="5" t="s">
        <v>464</v>
      </c>
      <c r="O313" s="34" t="s">
        <v>1489</v>
      </c>
      <c r="P313" s="5" t="s">
        <v>1467</v>
      </c>
      <c r="Q313" s="5" t="s">
        <v>1490</v>
      </c>
      <c r="R313" s="5" t="s">
        <v>1494</v>
      </c>
      <c r="S313" s="5" t="s">
        <v>1492</v>
      </c>
      <c r="T313" s="5" t="s">
        <v>445</v>
      </c>
    </row>
    <row r="314" spans="6:20">
      <c r="F314" s="36" t="s">
        <v>293</v>
      </c>
      <c r="G314" s="5" t="s">
        <v>294</v>
      </c>
      <c r="I314" s="6">
        <v>18130</v>
      </c>
      <c r="J314" s="62">
        <v>12.25</v>
      </c>
      <c r="K314" s="62">
        <v>1480</v>
      </c>
      <c r="L314" s="62" t="s">
        <v>1471</v>
      </c>
      <c r="M314" s="100" t="s">
        <v>452</v>
      </c>
      <c r="N314" s="5" t="s">
        <v>464</v>
      </c>
      <c r="O314" s="34" t="s">
        <v>1485</v>
      </c>
      <c r="P314" s="5" t="s">
        <v>1467</v>
      </c>
      <c r="Q314" s="5" t="s">
        <v>1486</v>
      </c>
      <c r="R314" s="5" t="s">
        <v>1495</v>
      </c>
      <c r="S314" s="5" t="s">
        <v>1488</v>
      </c>
      <c r="T314" s="5" t="s">
        <v>445</v>
      </c>
    </row>
    <row r="315" spans="6:20">
      <c r="F315" s="36" t="s">
        <v>293</v>
      </c>
      <c r="G315" s="5" t="s">
        <v>294</v>
      </c>
      <c r="I315" s="6">
        <v>-18766.400000000001</v>
      </c>
      <c r="J315" s="62">
        <v>-12.68</v>
      </c>
      <c r="K315" s="62">
        <v>1480</v>
      </c>
      <c r="L315" s="62" t="s">
        <v>1465</v>
      </c>
      <c r="M315" s="100" t="s">
        <v>452</v>
      </c>
      <c r="N315" s="5" t="s">
        <v>464</v>
      </c>
      <c r="O315" s="34" t="s">
        <v>1489</v>
      </c>
      <c r="P315" s="5" t="s">
        <v>1467</v>
      </c>
      <c r="Q315" s="5" t="s">
        <v>1490</v>
      </c>
      <c r="R315" s="5" t="s">
        <v>1496</v>
      </c>
      <c r="S315" s="5" t="s">
        <v>1492</v>
      </c>
      <c r="T315" s="5" t="s">
        <v>445</v>
      </c>
    </row>
    <row r="316" spans="6:20">
      <c r="F316" s="36" t="s">
        <v>293</v>
      </c>
      <c r="G316" s="5" t="s">
        <v>294</v>
      </c>
      <c r="I316" s="6">
        <v>20720</v>
      </c>
      <c r="J316" s="62">
        <v>14</v>
      </c>
      <c r="K316" s="62">
        <v>1480</v>
      </c>
      <c r="L316" s="62" t="s">
        <v>1471</v>
      </c>
      <c r="M316" s="100" t="s">
        <v>452</v>
      </c>
      <c r="N316" s="5" t="s">
        <v>464</v>
      </c>
      <c r="O316" s="34" t="s">
        <v>1485</v>
      </c>
      <c r="P316" s="5" t="s">
        <v>1467</v>
      </c>
      <c r="Q316" s="5" t="s">
        <v>1486</v>
      </c>
      <c r="R316" s="5" t="s">
        <v>1497</v>
      </c>
      <c r="S316" s="5" t="s">
        <v>1488</v>
      </c>
      <c r="T316" s="5" t="s">
        <v>445</v>
      </c>
    </row>
    <row r="317" spans="6:20">
      <c r="F317" s="36" t="s">
        <v>293</v>
      </c>
      <c r="G317" s="5" t="s">
        <v>294</v>
      </c>
      <c r="I317" s="6">
        <v>-21445.200000000001</v>
      </c>
      <c r="J317" s="62">
        <v>-14.49</v>
      </c>
      <c r="K317" s="62">
        <v>1480</v>
      </c>
      <c r="L317" s="62" t="s">
        <v>1465</v>
      </c>
      <c r="M317" s="100" t="s">
        <v>452</v>
      </c>
      <c r="N317" s="5" t="s">
        <v>464</v>
      </c>
      <c r="O317" s="34" t="s">
        <v>1489</v>
      </c>
      <c r="P317" s="5" t="s">
        <v>1467</v>
      </c>
      <c r="Q317" s="5" t="s">
        <v>1490</v>
      </c>
      <c r="R317" s="5" t="s">
        <v>1498</v>
      </c>
      <c r="S317" s="5" t="s">
        <v>1492</v>
      </c>
      <c r="T317" s="5" t="s">
        <v>445</v>
      </c>
    </row>
    <row r="318" spans="6:20">
      <c r="F318" s="36" t="s">
        <v>293</v>
      </c>
      <c r="G318" s="5" t="s">
        <v>294</v>
      </c>
      <c r="I318" s="6">
        <v>654150</v>
      </c>
      <c r="J318" s="62">
        <v>445</v>
      </c>
      <c r="K318" s="62">
        <v>1470</v>
      </c>
      <c r="L318" s="62" t="s">
        <v>1499</v>
      </c>
      <c r="M318" s="100" t="s">
        <v>452</v>
      </c>
      <c r="N318" s="5" t="s">
        <v>464</v>
      </c>
      <c r="O318" s="34" t="s">
        <v>1500</v>
      </c>
      <c r="P318" s="5" t="s">
        <v>1467</v>
      </c>
      <c r="Q318" s="5" t="s">
        <v>1501</v>
      </c>
      <c r="R318" s="5" t="s">
        <v>1502</v>
      </c>
      <c r="S318" s="5" t="s">
        <v>1503</v>
      </c>
      <c r="T318" s="5" t="s">
        <v>445</v>
      </c>
    </row>
    <row r="319" spans="6:20">
      <c r="F319" s="36" t="s">
        <v>293</v>
      </c>
      <c r="G319" s="5" t="s">
        <v>294</v>
      </c>
      <c r="I319" s="6">
        <v>654150</v>
      </c>
      <c r="J319" s="62">
        <v>445</v>
      </c>
      <c r="K319" s="62">
        <v>1470</v>
      </c>
      <c r="L319" s="62" t="s">
        <v>1499</v>
      </c>
      <c r="M319" s="100" t="s">
        <v>452</v>
      </c>
      <c r="N319" s="5" t="s">
        <v>464</v>
      </c>
      <c r="O319" s="34" t="s">
        <v>1500</v>
      </c>
      <c r="P319" s="5" t="s">
        <v>1467</v>
      </c>
      <c r="Q319" s="5" t="s">
        <v>1501</v>
      </c>
      <c r="R319" s="5" t="s">
        <v>1504</v>
      </c>
      <c r="S319" s="5" t="s">
        <v>1503</v>
      </c>
      <c r="T319" s="5" t="s">
        <v>445</v>
      </c>
    </row>
    <row r="320" spans="6:20">
      <c r="F320" s="36" t="s">
        <v>293</v>
      </c>
      <c r="G320" s="5" t="s">
        <v>294</v>
      </c>
      <c r="I320" s="6">
        <v>658600</v>
      </c>
      <c r="J320" s="62">
        <v>445</v>
      </c>
      <c r="K320" s="62">
        <v>1480</v>
      </c>
      <c r="L320" s="62" t="s">
        <v>1465</v>
      </c>
      <c r="M320" s="100" t="s">
        <v>452</v>
      </c>
      <c r="N320" s="5" t="s">
        <v>464</v>
      </c>
      <c r="O320" s="34" t="s">
        <v>1505</v>
      </c>
      <c r="P320" s="5" t="s">
        <v>1467</v>
      </c>
      <c r="Q320" s="5" t="s">
        <v>1506</v>
      </c>
      <c r="R320" s="5" t="s">
        <v>1507</v>
      </c>
      <c r="S320" s="5" t="s">
        <v>1508</v>
      </c>
      <c r="T320" s="5" t="s">
        <v>445</v>
      </c>
    </row>
    <row r="321" spans="6:20">
      <c r="F321" s="36" t="s">
        <v>293</v>
      </c>
      <c r="G321" s="5" t="s">
        <v>294</v>
      </c>
      <c r="I321" s="6">
        <v>658600</v>
      </c>
      <c r="J321" s="62">
        <v>445</v>
      </c>
      <c r="K321" s="62">
        <v>1480</v>
      </c>
      <c r="L321" s="62" t="s">
        <v>1471</v>
      </c>
      <c r="M321" s="100" t="s">
        <v>452</v>
      </c>
      <c r="N321" s="5" t="s">
        <v>464</v>
      </c>
      <c r="O321" s="34" t="s">
        <v>1509</v>
      </c>
      <c r="P321" s="5" t="s">
        <v>1467</v>
      </c>
      <c r="Q321" s="5" t="s">
        <v>1510</v>
      </c>
      <c r="R321" s="5" t="s">
        <v>1511</v>
      </c>
      <c r="S321" s="5" t="s">
        <v>1512</v>
      </c>
      <c r="T321" s="5" t="s">
        <v>445</v>
      </c>
    </row>
    <row r="322" spans="6:20">
      <c r="F322" s="36" t="s">
        <v>293</v>
      </c>
      <c r="G322" s="5" t="s">
        <v>294</v>
      </c>
      <c r="I322" s="6">
        <v>658600</v>
      </c>
      <c r="J322" s="62">
        <v>445</v>
      </c>
      <c r="K322" s="62">
        <v>1480</v>
      </c>
      <c r="L322" s="62" t="s">
        <v>1471</v>
      </c>
      <c r="M322" s="100" t="s">
        <v>452</v>
      </c>
      <c r="N322" s="5" t="s">
        <v>464</v>
      </c>
      <c r="O322" s="34" t="s">
        <v>1509</v>
      </c>
      <c r="P322" s="5" t="s">
        <v>1467</v>
      </c>
      <c r="Q322" s="5" t="s">
        <v>1510</v>
      </c>
      <c r="R322" s="5" t="s">
        <v>1513</v>
      </c>
      <c r="S322" s="5" t="s">
        <v>1512</v>
      </c>
      <c r="T322" s="5" t="s">
        <v>445</v>
      </c>
    </row>
    <row r="323" spans="6:20">
      <c r="F323" s="36" t="s">
        <v>293</v>
      </c>
      <c r="G323" s="5" t="s">
        <v>294</v>
      </c>
      <c r="I323" s="6">
        <v>1212750</v>
      </c>
      <c r="J323" s="62">
        <v>825</v>
      </c>
      <c r="K323" s="62">
        <v>1470</v>
      </c>
      <c r="L323" s="62" t="s">
        <v>1499</v>
      </c>
      <c r="M323" s="100" t="s">
        <v>452</v>
      </c>
      <c r="N323" s="5" t="s">
        <v>464</v>
      </c>
      <c r="O323" s="34" t="s">
        <v>1500</v>
      </c>
      <c r="P323" s="5" t="s">
        <v>1467</v>
      </c>
      <c r="Q323" s="5" t="s">
        <v>1501</v>
      </c>
      <c r="R323" s="5" t="s">
        <v>1514</v>
      </c>
      <c r="S323" s="5" t="s">
        <v>1503</v>
      </c>
      <c r="T323" s="5" t="s">
        <v>445</v>
      </c>
    </row>
    <row r="324" spans="6:20">
      <c r="F324" s="36" t="s">
        <v>293</v>
      </c>
      <c r="G324" s="5" t="s">
        <v>294</v>
      </c>
      <c r="I324" s="6">
        <v>-809560</v>
      </c>
      <c r="J324" s="62">
        <v>-547</v>
      </c>
      <c r="K324" s="62">
        <v>1480</v>
      </c>
      <c r="L324" s="62" t="s">
        <v>1499</v>
      </c>
      <c r="M324" s="100" t="s">
        <v>452</v>
      </c>
      <c r="N324" s="5" t="s">
        <v>464</v>
      </c>
      <c r="O324" s="34" t="s">
        <v>1515</v>
      </c>
      <c r="P324" s="5" t="s">
        <v>1467</v>
      </c>
      <c r="Q324" s="5" t="s">
        <v>1516</v>
      </c>
      <c r="R324" s="5" t="s">
        <v>1517</v>
      </c>
      <c r="S324" s="5" t="s">
        <v>1518</v>
      </c>
      <c r="T324" s="5" t="s">
        <v>445</v>
      </c>
    </row>
    <row r="325" spans="6:20">
      <c r="F325" s="36" t="s">
        <v>293</v>
      </c>
      <c r="G325" s="5" t="s">
        <v>294</v>
      </c>
      <c r="I325" s="6">
        <v>7459.2</v>
      </c>
      <c r="J325" s="62">
        <v>5.04</v>
      </c>
      <c r="K325" s="62">
        <v>1480</v>
      </c>
      <c r="L325" s="62" t="s">
        <v>1471</v>
      </c>
      <c r="M325" s="100" t="s">
        <v>452</v>
      </c>
      <c r="N325" s="5" t="s">
        <v>464</v>
      </c>
      <c r="O325" s="34" t="s">
        <v>1485</v>
      </c>
      <c r="P325" s="5" t="s">
        <v>1467</v>
      </c>
      <c r="Q325" s="5" t="s">
        <v>1486</v>
      </c>
      <c r="R325" s="5" t="s">
        <v>1519</v>
      </c>
      <c r="S325" s="5" t="s">
        <v>1488</v>
      </c>
      <c r="T325" s="5" t="s">
        <v>445</v>
      </c>
    </row>
    <row r="326" spans="6:20">
      <c r="F326" s="36" t="s">
        <v>293</v>
      </c>
      <c r="G326" s="5" t="s">
        <v>294</v>
      </c>
      <c r="I326" s="6">
        <v>-7725.6</v>
      </c>
      <c r="J326" s="62">
        <v>-5.22</v>
      </c>
      <c r="K326" s="62">
        <v>1480</v>
      </c>
      <c r="L326" s="62" t="s">
        <v>1465</v>
      </c>
      <c r="M326" s="100" t="s">
        <v>452</v>
      </c>
      <c r="N326" s="5" t="s">
        <v>464</v>
      </c>
      <c r="O326" s="34" t="s">
        <v>1489</v>
      </c>
      <c r="P326" s="5" t="s">
        <v>1467</v>
      </c>
      <c r="Q326" s="5" t="s">
        <v>1490</v>
      </c>
      <c r="R326" s="5" t="s">
        <v>1520</v>
      </c>
      <c r="S326" s="5" t="s">
        <v>1492</v>
      </c>
      <c r="T326" s="5" t="s">
        <v>445</v>
      </c>
    </row>
    <row r="327" spans="6:20">
      <c r="F327" s="36" t="s">
        <v>293</v>
      </c>
      <c r="G327" s="5" t="s">
        <v>294</v>
      </c>
      <c r="I327" s="6">
        <v>-8232000</v>
      </c>
      <c r="J327" s="62">
        <v>-5600</v>
      </c>
      <c r="K327" s="62">
        <v>1470</v>
      </c>
      <c r="L327" s="62" t="s">
        <v>1521</v>
      </c>
      <c r="M327" s="100" t="s">
        <v>452</v>
      </c>
      <c r="N327" s="5" t="s">
        <v>464</v>
      </c>
      <c r="O327" s="34" t="s">
        <v>1522</v>
      </c>
      <c r="P327" s="5" t="s">
        <v>597</v>
      </c>
      <c r="Q327" s="5" t="s">
        <v>1523</v>
      </c>
      <c r="R327" s="5" t="s">
        <v>1524</v>
      </c>
      <c r="S327" s="5" t="s">
        <v>1525</v>
      </c>
      <c r="T327" s="5" t="s">
        <v>445</v>
      </c>
    </row>
    <row r="328" spans="6:20">
      <c r="F328" s="36" t="s">
        <v>293</v>
      </c>
      <c r="G328" s="5" t="s">
        <v>294</v>
      </c>
      <c r="I328" s="6">
        <v>8232000</v>
      </c>
      <c r="J328" s="62">
        <v>5600</v>
      </c>
      <c r="K328" s="62">
        <v>1470</v>
      </c>
      <c r="L328" s="62" t="s">
        <v>1521</v>
      </c>
      <c r="M328" s="100" t="s">
        <v>452</v>
      </c>
      <c r="N328" s="5" t="s">
        <v>464</v>
      </c>
      <c r="O328" s="34" t="s">
        <v>1526</v>
      </c>
      <c r="P328" s="5" t="s">
        <v>597</v>
      </c>
      <c r="Q328" s="5" t="s">
        <v>1527</v>
      </c>
      <c r="R328" s="5" t="s">
        <v>1528</v>
      </c>
      <c r="S328" s="5" t="s">
        <v>1529</v>
      </c>
      <c r="T328" s="5" t="s">
        <v>445</v>
      </c>
    </row>
    <row r="329" spans="6:20">
      <c r="F329" s="36" t="s">
        <v>293</v>
      </c>
      <c r="G329" s="5" t="s">
        <v>294</v>
      </c>
      <c r="I329" s="6">
        <v>2866500</v>
      </c>
      <c r="J329" s="62">
        <v>1950</v>
      </c>
      <c r="K329" s="62">
        <v>1470</v>
      </c>
      <c r="L329" s="62" t="s">
        <v>1521</v>
      </c>
      <c r="M329" s="100" t="s">
        <v>452</v>
      </c>
      <c r="N329" s="5" t="s">
        <v>464</v>
      </c>
      <c r="O329" s="34" t="s">
        <v>1526</v>
      </c>
      <c r="P329" s="5" t="s">
        <v>597</v>
      </c>
      <c r="Q329" s="5" t="s">
        <v>1527</v>
      </c>
      <c r="R329" s="5" t="s">
        <v>1530</v>
      </c>
      <c r="S329" s="5" t="s">
        <v>1529</v>
      </c>
      <c r="T329" s="5" t="s">
        <v>445</v>
      </c>
    </row>
    <row r="330" spans="6:20">
      <c r="F330" s="36" t="s">
        <v>293</v>
      </c>
      <c r="G330" s="5" t="s">
        <v>294</v>
      </c>
      <c r="I330" s="6">
        <v>4996059.5999999996</v>
      </c>
      <c r="J330" s="62">
        <v>3398.68</v>
      </c>
      <c r="K330" s="62">
        <v>1470</v>
      </c>
      <c r="L330" s="62" t="s">
        <v>1521</v>
      </c>
      <c r="M330" s="100" t="s">
        <v>452</v>
      </c>
      <c r="N330" s="5" t="s">
        <v>464</v>
      </c>
      <c r="O330" s="34" t="s">
        <v>1526</v>
      </c>
      <c r="P330" s="5" t="s">
        <v>597</v>
      </c>
      <c r="Q330" s="5" t="s">
        <v>1527</v>
      </c>
      <c r="R330" s="5" t="s">
        <v>1531</v>
      </c>
      <c r="S330" s="5" t="s">
        <v>1529</v>
      </c>
      <c r="T330" s="5" t="s">
        <v>445</v>
      </c>
    </row>
    <row r="331" spans="6:20">
      <c r="F331" s="36" t="s">
        <v>293</v>
      </c>
      <c r="G331" s="5" t="s">
        <v>294</v>
      </c>
      <c r="I331" s="6">
        <v>2930400</v>
      </c>
      <c r="J331" s="62">
        <v>1980</v>
      </c>
      <c r="K331" s="62">
        <v>1480</v>
      </c>
      <c r="L331" s="62" t="s">
        <v>1465</v>
      </c>
      <c r="M331" s="100" t="s">
        <v>452</v>
      </c>
      <c r="N331" s="5" t="s">
        <v>464</v>
      </c>
      <c r="O331" s="34" t="s">
        <v>1505</v>
      </c>
      <c r="P331" s="5" t="s">
        <v>1467</v>
      </c>
      <c r="Q331" s="5" t="s">
        <v>1506</v>
      </c>
      <c r="R331" s="5" t="s">
        <v>1532</v>
      </c>
      <c r="S331" s="5" t="s">
        <v>1508</v>
      </c>
      <c r="T331" s="5" t="s">
        <v>445</v>
      </c>
    </row>
    <row r="332" spans="6:20">
      <c r="F332" s="36" t="s">
        <v>293</v>
      </c>
      <c r="G332" s="5" t="s">
        <v>294</v>
      </c>
      <c r="I332" s="6">
        <v>4263000</v>
      </c>
      <c r="J332" s="62">
        <v>2900</v>
      </c>
      <c r="K332" s="62">
        <v>1470</v>
      </c>
      <c r="L332" s="62" t="s">
        <v>1521</v>
      </c>
      <c r="M332" s="100" t="s">
        <v>452</v>
      </c>
      <c r="N332" s="5" t="s">
        <v>464</v>
      </c>
      <c r="O332" s="34" t="s">
        <v>1526</v>
      </c>
      <c r="P332" s="5" t="s">
        <v>597</v>
      </c>
      <c r="Q332" s="5" t="s">
        <v>1527</v>
      </c>
      <c r="R332" s="5" t="s">
        <v>1533</v>
      </c>
      <c r="S332" s="5" t="s">
        <v>1529</v>
      </c>
      <c r="T332" s="5" t="s">
        <v>445</v>
      </c>
    </row>
    <row r="333" spans="6:20">
      <c r="F333" s="36" t="s">
        <v>293</v>
      </c>
      <c r="G333" s="5" t="s">
        <v>294</v>
      </c>
      <c r="I333" s="6">
        <v>1396500</v>
      </c>
      <c r="J333" s="62">
        <v>950</v>
      </c>
      <c r="K333" s="62">
        <v>1470</v>
      </c>
      <c r="L333" s="62" t="s">
        <v>1499</v>
      </c>
      <c r="M333" s="100" t="s">
        <v>452</v>
      </c>
      <c r="N333" s="5" t="s">
        <v>464</v>
      </c>
      <c r="O333" s="34" t="s">
        <v>1500</v>
      </c>
      <c r="P333" s="5" t="s">
        <v>1467</v>
      </c>
      <c r="Q333" s="5" t="s">
        <v>1501</v>
      </c>
      <c r="R333" s="5" t="s">
        <v>1534</v>
      </c>
      <c r="S333" s="5" t="s">
        <v>1503</v>
      </c>
      <c r="T333" s="5" t="s">
        <v>445</v>
      </c>
    </row>
    <row r="334" spans="6:20">
      <c r="F334" s="36" t="s">
        <v>293</v>
      </c>
      <c r="G334" s="5" t="s">
        <v>294</v>
      </c>
      <c r="I334" s="6">
        <v>2205000</v>
      </c>
      <c r="J334" s="62">
        <v>1500</v>
      </c>
      <c r="K334" s="62">
        <v>1470</v>
      </c>
      <c r="L334" s="62" t="s">
        <v>1499</v>
      </c>
      <c r="M334" s="100" t="s">
        <v>452</v>
      </c>
      <c r="N334" s="5" t="s">
        <v>464</v>
      </c>
      <c r="O334" s="34" t="s">
        <v>1500</v>
      </c>
      <c r="P334" s="5" t="s">
        <v>1467</v>
      </c>
      <c r="Q334" s="5" t="s">
        <v>1501</v>
      </c>
      <c r="R334" s="5" t="s">
        <v>1535</v>
      </c>
      <c r="S334" s="5" t="s">
        <v>1503</v>
      </c>
      <c r="T334" s="5" t="s">
        <v>445</v>
      </c>
    </row>
    <row r="335" spans="6:20">
      <c r="F335" s="36" t="s">
        <v>293</v>
      </c>
      <c r="G335" s="5" t="s">
        <v>294</v>
      </c>
      <c r="I335" s="6">
        <v>1295000</v>
      </c>
      <c r="J335" s="62">
        <v>875</v>
      </c>
      <c r="K335" s="62">
        <v>1480</v>
      </c>
      <c r="L335" s="62" t="s">
        <v>1471</v>
      </c>
      <c r="M335" s="100" t="s">
        <v>452</v>
      </c>
      <c r="N335" s="5" t="s">
        <v>464</v>
      </c>
      <c r="O335" s="34" t="s">
        <v>1509</v>
      </c>
      <c r="P335" s="5" t="s">
        <v>1467</v>
      </c>
      <c r="Q335" s="5" t="s">
        <v>1510</v>
      </c>
      <c r="R335" s="5" t="s">
        <v>1536</v>
      </c>
      <c r="S335" s="5" t="s">
        <v>1512</v>
      </c>
      <c r="T335" s="5" t="s">
        <v>445</v>
      </c>
    </row>
    <row r="336" spans="6:20">
      <c r="F336" s="36" t="s">
        <v>293</v>
      </c>
      <c r="G336" s="5" t="s">
        <v>294</v>
      </c>
      <c r="I336" s="6">
        <v>2072000</v>
      </c>
      <c r="J336" s="62">
        <v>1400</v>
      </c>
      <c r="K336" s="62">
        <v>1480</v>
      </c>
      <c r="L336" s="62" t="s">
        <v>1471</v>
      </c>
      <c r="M336" s="100" t="s">
        <v>452</v>
      </c>
      <c r="N336" s="5" t="s">
        <v>464</v>
      </c>
      <c r="O336" s="34" t="s">
        <v>1537</v>
      </c>
      <c r="P336" s="5" t="s">
        <v>1467</v>
      </c>
      <c r="Q336" s="5" t="s">
        <v>1538</v>
      </c>
      <c r="R336" s="5" t="s">
        <v>1539</v>
      </c>
      <c r="S336" s="5" t="s">
        <v>1540</v>
      </c>
      <c r="T336" s="5" t="s">
        <v>445</v>
      </c>
    </row>
    <row r="337" spans="6:20">
      <c r="F337" s="36" t="s">
        <v>293</v>
      </c>
      <c r="G337" s="5" t="s">
        <v>294</v>
      </c>
      <c r="I337" s="6">
        <v>-72520</v>
      </c>
      <c r="J337" s="62">
        <v>-49</v>
      </c>
      <c r="K337" s="62">
        <v>1480</v>
      </c>
      <c r="L337" s="62" t="s">
        <v>1465</v>
      </c>
      <c r="M337" s="100" t="s">
        <v>452</v>
      </c>
      <c r="N337" s="5" t="s">
        <v>464</v>
      </c>
      <c r="O337" s="34" t="s">
        <v>1489</v>
      </c>
      <c r="P337" s="5" t="s">
        <v>1467</v>
      </c>
      <c r="Q337" s="5" t="s">
        <v>1490</v>
      </c>
      <c r="R337" s="5" t="s">
        <v>1541</v>
      </c>
      <c r="S337" s="5" t="s">
        <v>1492</v>
      </c>
      <c r="T337" s="5" t="s">
        <v>445</v>
      </c>
    </row>
    <row r="338" spans="6:20">
      <c r="F338" s="36" t="s">
        <v>293</v>
      </c>
      <c r="G338" s="5" t="s">
        <v>294</v>
      </c>
      <c r="I338" s="6">
        <v>7878040</v>
      </c>
      <c r="J338" s="62">
        <v>5323</v>
      </c>
      <c r="K338" s="62">
        <v>1480</v>
      </c>
      <c r="L338" s="62" t="s">
        <v>1465</v>
      </c>
      <c r="M338" s="100" t="s">
        <v>452</v>
      </c>
      <c r="N338" s="5" t="s">
        <v>464</v>
      </c>
      <c r="O338" s="34" t="s">
        <v>1505</v>
      </c>
      <c r="P338" s="5" t="s">
        <v>1467</v>
      </c>
      <c r="Q338" s="5" t="s">
        <v>1506</v>
      </c>
      <c r="R338" s="5" t="s">
        <v>1542</v>
      </c>
      <c r="S338" s="5" t="s">
        <v>1508</v>
      </c>
      <c r="T338" s="5" t="s">
        <v>445</v>
      </c>
    </row>
    <row r="339" spans="6:20">
      <c r="F339" s="36" t="s">
        <v>293</v>
      </c>
      <c r="G339" s="5" t="s">
        <v>294</v>
      </c>
      <c r="I339" s="6">
        <v>-17760</v>
      </c>
      <c r="J339" s="62">
        <v>-12</v>
      </c>
      <c r="K339" s="62">
        <v>1480</v>
      </c>
      <c r="L339" s="62" t="s">
        <v>1465</v>
      </c>
      <c r="M339" s="100" t="s">
        <v>452</v>
      </c>
      <c r="N339" s="5" t="s">
        <v>464</v>
      </c>
      <c r="O339" s="34" t="s">
        <v>1489</v>
      </c>
      <c r="P339" s="5" t="s">
        <v>1467</v>
      </c>
      <c r="Q339" s="5" t="s">
        <v>1490</v>
      </c>
      <c r="R339" s="5" t="s">
        <v>1543</v>
      </c>
      <c r="S339" s="5" t="s">
        <v>1492</v>
      </c>
      <c r="T339" s="5" t="s">
        <v>445</v>
      </c>
    </row>
    <row r="340" spans="6:20">
      <c r="F340" s="36" t="s">
        <v>293</v>
      </c>
      <c r="G340" s="5" t="s">
        <v>294</v>
      </c>
      <c r="I340" s="6">
        <v>-17760</v>
      </c>
      <c r="J340" s="62">
        <v>-12</v>
      </c>
      <c r="K340" s="62">
        <v>1480</v>
      </c>
      <c r="L340" s="62" t="s">
        <v>1465</v>
      </c>
      <c r="M340" s="100" t="s">
        <v>452</v>
      </c>
      <c r="N340" s="5" t="s">
        <v>464</v>
      </c>
      <c r="O340" s="34" t="s">
        <v>1489</v>
      </c>
      <c r="P340" s="5" t="s">
        <v>1467</v>
      </c>
      <c r="Q340" s="5" t="s">
        <v>1490</v>
      </c>
      <c r="R340" s="5" t="s">
        <v>1544</v>
      </c>
      <c r="S340" s="5" t="s">
        <v>1492</v>
      </c>
      <c r="T340" s="5" t="s">
        <v>445</v>
      </c>
    </row>
    <row r="341" spans="6:20">
      <c r="F341" s="36" t="s">
        <v>293</v>
      </c>
      <c r="G341" s="5" t="s">
        <v>294</v>
      </c>
      <c r="I341" s="6">
        <v>-2960000</v>
      </c>
      <c r="J341" s="62">
        <v>-2000</v>
      </c>
      <c r="K341" s="62">
        <v>1480</v>
      </c>
      <c r="L341" s="62" t="s">
        <v>1471</v>
      </c>
      <c r="M341" s="100" t="s">
        <v>452</v>
      </c>
      <c r="N341" s="5" t="s">
        <v>464</v>
      </c>
      <c r="O341" s="34" t="s">
        <v>1472</v>
      </c>
      <c r="P341" s="5" t="s">
        <v>1467</v>
      </c>
      <c r="Q341" s="5" t="s">
        <v>1473</v>
      </c>
      <c r="R341" s="5" t="s">
        <v>1690</v>
      </c>
      <c r="S341" s="5" t="s">
        <v>1475</v>
      </c>
      <c r="T341" s="5" t="s">
        <v>445</v>
      </c>
    </row>
    <row r="342" spans="6:20">
      <c r="F342" s="36" t="s">
        <v>293</v>
      </c>
      <c r="G342" s="5" t="s">
        <v>294</v>
      </c>
      <c r="I342" s="6">
        <v>-2960000</v>
      </c>
      <c r="J342" s="62">
        <v>-2000</v>
      </c>
      <c r="K342" s="62">
        <v>1480</v>
      </c>
      <c r="L342" s="62" t="s">
        <v>1471</v>
      </c>
      <c r="M342" s="100" t="s">
        <v>452</v>
      </c>
      <c r="N342" s="5" t="s">
        <v>464</v>
      </c>
      <c r="O342" s="34" t="s">
        <v>1476</v>
      </c>
      <c r="P342" s="5" t="s">
        <v>1467</v>
      </c>
      <c r="Q342" s="5" t="s">
        <v>1477</v>
      </c>
      <c r="R342" s="5" t="s">
        <v>1690</v>
      </c>
      <c r="S342" s="5" t="s">
        <v>1478</v>
      </c>
      <c r="T342" s="5" t="s">
        <v>445</v>
      </c>
    </row>
    <row r="343" spans="6:20">
      <c r="F343" s="36" t="s">
        <v>293</v>
      </c>
      <c r="G343" s="5" t="s">
        <v>294</v>
      </c>
      <c r="I343" s="6">
        <v>2960000</v>
      </c>
      <c r="J343" s="62">
        <v>2000</v>
      </c>
      <c r="K343" s="62">
        <v>1480</v>
      </c>
      <c r="L343" s="62" t="s">
        <v>1471</v>
      </c>
      <c r="M343" s="100" t="s">
        <v>452</v>
      </c>
      <c r="N343" s="5" t="s">
        <v>464</v>
      </c>
      <c r="O343" s="34" t="s">
        <v>1479</v>
      </c>
      <c r="P343" s="5" t="s">
        <v>1467</v>
      </c>
      <c r="Q343" s="5" t="s">
        <v>1480</v>
      </c>
      <c r="R343" s="5" t="s">
        <v>1690</v>
      </c>
      <c r="S343" s="5" t="s">
        <v>1481</v>
      </c>
      <c r="T343" s="5" t="s">
        <v>445</v>
      </c>
    </row>
    <row r="344" spans="6:20">
      <c r="F344" s="36" t="s">
        <v>293</v>
      </c>
      <c r="G344" s="5" t="s">
        <v>294</v>
      </c>
      <c r="I344" s="6">
        <v>-444000</v>
      </c>
      <c r="J344" s="62">
        <v>-300</v>
      </c>
      <c r="K344" s="62">
        <v>1480</v>
      </c>
      <c r="L344" s="62" t="s">
        <v>1471</v>
      </c>
      <c r="M344" s="100" t="s">
        <v>452</v>
      </c>
      <c r="N344" s="5" t="s">
        <v>464</v>
      </c>
      <c r="O344" s="34" t="s">
        <v>1472</v>
      </c>
      <c r="P344" s="5" t="s">
        <v>1467</v>
      </c>
      <c r="Q344" s="5" t="s">
        <v>1473</v>
      </c>
      <c r="R344" s="5" t="s">
        <v>1691</v>
      </c>
      <c r="S344" s="5" t="s">
        <v>1475</v>
      </c>
      <c r="T344" s="5" t="s">
        <v>445</v>
      </c>
    </row>
    <row r="345" spans="6:20">
      <c r="F345" s="36" t="s">
        <v>293</v>
      </c>
      <c r="G345" s="5" t="s">
        <v>294</v>
      </c>
      <c r="I345" s="6">
        <v>-444000</v>
      </c>
      <c r="J345" s="62">
        <v>-300</v>
      </c>
      <c r="K345" s="62">
        <v>1480</v>
      </c>
      <c r="L345" s="62" t="s">
        <v>1471</v>
      </c>
      <c r="M345" s="100" t="s">
        <v>452</v>
      </c>
      <c r="N345" s="5" t="s">
        <v>464</v>
      </c>
      <c r="O345" s="34" t="s">
        <v>1476</v>
      </c>
      <c r="P345" s="5" t="s">
        <v>1467</v>
      </c>
      <c r="Q345" s="5" t="s">
        <v>1477</v>
      </c>
      <c r="R345" s="5" t="s">
        <v>1691</v>
      </c>
      <c r="S345" s="5" t="s">
        <v>1478</v>
      </c>
      <c r="T345" s="5" t="s">
        <v>445</v>
      </c>
    </row>
    <row r="346" spans="6:20">
      <c r="F346" s="36" t="s">
        <v>293</v>
      </c>
      <c r="G346" s="5" t="s">
        <v>294</v>
      </c>
      <c r="I346" s="6">
        <v>444000</v>
      </c>
      <c r="J346" s="62">
        <v>300</v>
      </c>
      <c r="K346" s="62">
        <v>1480</v>
      </c>
      <c r="L346" s="62" t="s">
        <v>1471</v>
      </c>
      <c r="M346" s="100" t="s">
        <v>452</v>
      </c>
      <c r="N346" s="5" t="s">
        <v>464</v>
      </c>
      <c r="O346" s="34" t="s">
        <v>1479</v>
      </c>
      <c r="P346" s="5" t="s">
        <v>1467</v>
      </c>
      <c r="Q346" s="5" t="s">
        <v>1480</v>
      </c>
      <c r="R346" s="5" t="s">
        <v>1691</v>
      </c>
      <c r="S346" s="5" t="s">
        <v>1481</v>
      </c>
      <c r="T346" s="5" t="s">
        <v>445</v>
      </c>
    </row>
    <row r="347" spans="6:20">
      <c r="F347" s="36" t="s">
        <v>293</v>
      </c>
      <c r="G347" s="5" t="s">
        <v>294</v>
      </c>
      <c r="I347" s="6">
        <v>-12136000</v>
      </c>
      <c r="J347" s="62">
        <v>-8200</v>
      </c>
      <c r="K347" s="62">
        <v>1480</v>
      </c>
      <c r="L347" s="62" t="s">
        <v>1471</v>
      </c>
      <c r="M347" s="100" t="s">
        <v>452</v>
      </c>
      <c r="N347" s="5" t="s">
        <v>464</v>
      </c>
      <c r="O347" s="34" t="s">
        <v>1472</v>
      </c>
      <c r="P347" s="5" t="s">
        <v>1467</v>
      </c>
      <c r="Q347" s="5" t="s">
        <v>1473</v>
      </c>
      <c r="R347" s="5" t="s">
        <v>1712</v>
      </c>
      <c r="S347" s="5" t="s">
        <v>1475</v>
      </c>
      <c r="T347" s="5" t="s">
        <v>445</v>
      </c>
    </row>
    <row r="348" spans="6:20">
      <c r="F348" s="36" t="s">
        <v>293</v>
      </c>
      <c r="G348" s="5" t="s">
        <v>294</v>
      </c>
      <c r="I348" s="6">
        <v>-12136000</v>
      </c>
      <c r="J348" s="62">
        <v>-8200</v>
      </c>
      <c r="K348" s="62">
        <v>1480</v>
      </c>
      <c r="L348" s="62" t="s">
        <v>1471</v>
      </c>
      <c r="M348" s="100" t="s">
        <v>452</v>
      </c>
      <c r="N348" s="5" t="s">
        <v>464</v>
      </c>
      <c r="O348" s="34" t="s">
        <v>1476</v>
      </c>
      <c r="P348" s="5" t="s">
        <v>1467</v>
      </c>
      <c r="Q348" s="5" t="s">
        <v>1477</v>
      </c>
      <c r="R348" s="5" t="s">
        <v>1712</v>
      </c>
      <c r="S348" s="5" t="s">
        <v>1478</v>
      </c>
      <c r="T348" s="5" t="s">
        <v>445</v>
      </c>
    </row>
    <row r="349" spans="6:20">
      <c r="F349" s="36" t="s">
        <v>293</v>
      </c>
      <c r="G349" s="5" t="s">
        <v>294</v>
      </c>
      <c r="I349" s="6">
        <v>12136000</v>
      </c>
      <c r="J349" s="62">
        <v>8200</v>
      </c>
      <c r="K349" s="62">
        <v>1480</v>
      </c>
      <c r="L349" s="62" t="s">
        <v>1471</v>
      </c>
      <c r="M349" s="100" t="s">
        <v>452</v>
      </c>
      <c r="N349" s="5" t="s">
        <v>464</v>
      </c>
      <c r="O349" s="34" t="s">
        <v>1479</v>
      </c>
      <c r="P349" s="5" t="s">
        <v>1467</v>
      </c>
      <c r="Q349" s="5" t="s">
        <v>1480</v>
      </c>
      <c r="R349" s="5" t="s">
        <v>1712</v>
      </c>
      <c r="S349" s="5" t="s">
        <v>1481</v>
      </c>
      <c r="T349" s="5" t="s">
        <v>445</v>
      </c>
    </row>
    <row r="350" spans="6:20">
      <c r="F350" s="36" t="s">
        <v>293</v>
      </c>
      <c r="G350" s="5" t="s">
        <v>294</v>
      </c>
      <c r="I350" s="6">
        <v>-15288000</v>
      </c>
      <c r="J350" s="62">
        <v>-10400</v>
      </c>
      <c r="K350" s="62">
        <v>1470</v>
      </c>
      <c r="L350" s="62" t="s">
        <v>1521</v>
      </c>
      <c r="M350" s="100" t="s">
        <v>452</v>
      </c>
      <c r="N350" s="5" t="s">
        <v>464</v>
      </c>
      <c r="O350" s="34" t="s">
        <v>1522</v>
      </c>
      <c r="P350" s="5" t="s">
        <v>597</v>
      </c>
      <c r="Q350" s="5" t="s">
        <v>1523</v>
      </c>
      <c r="R350" s="5" t="s">
        <v>1714</v>
      </c>
      <c r="S350" s="5" t="s">
        <v>1525</v>
      </c>
      <c r="T350" s="5" t="s">
        <v>445</v>
      </c>
    </row>
    <row r="351" spans="6:20">
      <c r="F351" s="36" t="s">
        <v>293</v>
      </c>
      <c r="G351" s="5" t="s">
        <v>294</v>
      </c>
      <c r="I351" s="6">
        <v>-2960000</v>
      </c>
      <c r="J351" s="62">
        <v>-2000</v>
      </c>
      <c r="K351" s="62">
        <v>1480</v>
      </c>
      <c r="L351" s="62" t="s">
        <v>1499</v>
      </c>
      <c r="M351" s="100" t="s">
        <v>452</v>
      </c>
      <c r="N351" s="5" t="s">
        <v>464</v>
      </c>
      <c r="O351" s="34" t="s">
        <v>1515</v>
      </c>
      <c r="P351" s="5" t="s">
        <v>1467</v>
      </c>
      <c r="Q351" s="5" t="s">
        <v>1516</v>
      </c>
      <c r="R351" s="5" t="s">
        <v>1733</v>
      </c>
      <c r="S351" s="5" t="s">
        <v>1518</v>
      </c>
      <c r="T351" s="5" t="s">
        <v>445</v>
      </c>
    </row>
    <row r="352" spans="6:20">
      <c r="F352" s="36" t="s">
        <v>293</v>
      </c>
      <c r="G352" s="5" t="s">
        <v>294</v>
      </c>
      <c r="I352" s="6">
        <v>-3448400</v>
      </c>
      <c r="J352" s="62">
        <v>-2330</v>
      </c>
      <c r="K352" s="62">
        <v>1480</v>
      </c>
      <c r="L352" s="62" t="s">
        <v>1499</v>
      </c>
      <c r="M352" s="100" t="s">
        <v>452</v>
      </c>
      <c r="N352" s="5" t="s">
        <v>464</v>
      </c>
      <c r="O352" s="34" t="s">
        <v>1515</v>
      </c>
      <c r="P352" s="5" t="s">
        <v>1467</v>
      </c>
      <c r="Q352" s="5" t="s">
        <v>1516</v>
      </c>
      <c r="R352" s="5" t="s">
        <v>1750</v>
      </c>
      <c r="S352" s="5" t="s">
        <v>1518</v>
      </c>
      <c r="T352" s="5" t="s">
        <v>445</v>
      </c>
    </row>
    <row r="353" spans="6:20">
      <c r="F353" s="36" t="s">
        <v>293</v>
      </c>
      <c r="G353" s="5" t="s">
        <v>294</v>
      </c>
      <c r="I353" s="6">
        <v>-23931.599999999999</v>
      </c>
      <c r="J353" s="62">
        <v>-16.170000000000002</v>
      </c>
      <c r="K353" s="62">
        <v>1480</v>
      </c>
      <c r="L353" s="62" t="s">
        <v>1465</v>
      </c>
      <c r="M353" s="100" t="s">
        <v>452</v>
      </c>
      <c r="N353" s="5" t="s">
        <v>464</v>
      </c>
      <c r="O353" s="34" t="s">
        <v>1489</v>
      </c>
      <c r="P353" s="5" t="s">
        <v>1467</v>
      </c>
      <c r="Q353" s="5" t="s">
        <v>1490</v>
      </c>
      <c r="R353" s="5" t="s">
        <v>1751</v>
      </c>
      <c r="S353" s="5" t="s">
        <v>1492</v>
      </c>
      <c r="T353" s="5" t="s">
        <v>445</v>
      </c>
    </row>
    <row r="354" spans="6:20">
      <c r="F354" s="36" t="s">
        <v>293</v>
      </c>
      <c r="G354" s="5" t="s">
        <v>294</v>
      </c>
      <c r="I354" s="6">
        <v>888000</v>
      </c>
      <c r="J354" s="62">
        <v>600</v>
      </c>
      <c r="K354" s="62">
        <v>1480</v>
      </c>
      <c r="L354" s="62" t="s">
        <v>1465</v>
      </c>
      <c r="M354" s="100" t="s">
        <v>1416</v>
      </c>
      <c r="N354" s="5" t="s">
        <v>464</v>
      </c>
      <c r="O354" s="34" t="s">
        <v>1803</v>
      </c>
      <c r="P354" s="5" t="s">
        <v>1794</v>
      </c>
      <c r="Q354" s="5" t="s">
        <v>1804</v>
      </c>
      <c r="R354" s="5" t="s">
        <v>1804</v>
      </c>
      <c r="S354" s="5" t="s">
        <v>1805</v>
      </c>
      <c r="T354" s="5" t="s">
        <v>445</v>
      </c>
    </row>
    <row r="355" spans="6:20">
      <c r="F355" s="36" t="s">
        <v>293</v>
      </c>
      <c r="G355" s="5" t="s">
        <v>294</v>
      </c>
      <c r="I355" s="6">
        <v>518000</v>
      </c>
      <c r="J355" s="62">
        <v>350</v>
      </c>
      <c r="K355" s="62">
        <v>1480</v>
      </c>
      <c r="L355" s="62" t="s">
        <v>1465</v>
      </c>
      <c r="M355" s="100" t="s">
        <v>1416</v>
      </c>
      <c r="N355" s="5" t="s">
        <v>464</v>
      </c>
      <c r="O355" s="34" t="s">
        <v>1806</v>
      </c>
      <c r="P355" s="5" t="s">
        <v>1794</v>
      </c>
      <c r="Q355" s="5" t="s">
        <v>1807</v>
      </c>
      <c r="R355" s="5" t="s">
        <v>1807</v>
      </c>
      <c r="S355" s="5" t="s">
        <v>1808</v>
      </c>
      <c r="T355" s="5" t="s">
        <v>445</v>
      </c>
    </row>
    <row r="356" spans="6:20">
      <c r="F356" s="36" t="s">
        <v>293</v>
      </c>
      <c r="G356" s="5" t="s">
        <v>294</v>
      </c>
      <c r="I356" s="6">
        <v>592000</v>
      </c>
      <c r="J356" s="62">
        <v>400</v>
      </c>
      <c r="K356" s="62">
        <v>1480</v>
      </c>
      <c r="L356" s="62" t="s">
        <v>1465</v>
      </c>
      <c r="M356" s="100" t="s">
        <v>1416</v>
      </c>
      <c r="N356" s="5" t="s">
        <v>464</v>
      </c>
      <c r="O356" s="34" t="s">
        <v>1809</v>
      </c>
      <c r="P356" s="5" t="s">
        <v>1794</v>
      </c>
      <c r="Q356" s="5" t="s">
        <v>1810</v>
      </c>
      <c r="R356" s="5" t="s">
        <v>1810</v>
      </c>
      <c r="S356" s="5" t="s">
        <v>1811</v>
      </c>
      <c r="T356" s="5" t="s">
        <v>445</v>
      </c>
    </row>
    <row r="357" spans="6:20">
      <c r="F357" s="36" t="s">
        <v>293</v>
      </c>
      <c r="G357" s="5" t="s">
        <v>294</v>
      </c>
      <c r="I357" s="6">
        <v>296000</v>
      </c>
      <c r="J357" s="62">
        <v>200</v>
      </c>
      <c r="K357" s="62">
        <v>1480</v>
      </c>
      <c r="L357" s="62" t="s">
        <v>1465</v>
      </c>
      <c r="M357" s="100" t="s">
        <v>1416</v>
      </c>
      <c r="N357" s="5" t="s">
        <v>464</v>
      </c>
      <c r="O357" s="34" t="s">
        <v>1812</v>
      </c>
      <c r="P357" s="5" t="s">
        <v>1794</v>
      </c>
      <c r="Q357" s="5" t="s">
        <v>1813</v>
      </c>
      <c r="R357" s="5" t="s">
        <v>1813</v>
      </c>
      <c r="S357" s="5" t="s">
        <v>1814</v>
      </c>
      <c r="T357" s="5" t="s">
        <v>445</v>
      </c>
    </row>
    <row r="358" spans="6:20">
      <c r="F358" s="36" t="s">
        <v>293</v>
      </c>
      <c r="G358" s="5" t="s">
        <v>294</v>
      </c>
      <c r="I358" s="6">
        <v>-1480000</v>
      </c>
      <c r="J358" s="62">
        <v>-1000</v>
      </c>
      <c r="K358" s="62">
        <v>1480</v>
      </c>
      <c r="L358" s="62" t="s">
        <v>1717</v>
      </c>
      <c r="M358" s="100" t="s">
        <v>452</v>
      </c>
      <c r="N358" s="5" t="s">
        <v>442</v>
      </c>
      <c r="O358" s="34" t="s">
        <v>1736</v>
      </c>
      <c r="P358" s="5" t="s">
        <v>1467</v>
      </c>
      <c r="Q358" s="5" t="s">
        <v>1737</v>
      </c>
      <c r="R358" s="5" t="s">
        <v>1738</v>
      </c>
      <c r="S358" s="5" t="s">
        <v>1739</v>
      </c>
      <c r="T358" s="5" t="s">
        <v>445</v>
      </c>
    </row>
    <row r="359" spans="6:20">
      <c r="F359" s="36" t="s">
        <v>293</v>
      </c>
      <c r="G359" s="5" t="s">
        <v>294</v>
      </c>
      <c r="I359" s="6">
        <v>-13199997.300000001</v>
      </c>
      <c r="J359" s="62">
        <v>-8979.59</v>
      </c>
      <c r="K359" s="62">
        <v>1470</v>
      </c>
      <c r="L359" s="62" t="s">
        <v>1521</v>
      </c>
      <c r="M359" s="100" t="s">
        <v>452</v>
      </c>
      <c r="N359" s="5" t="s">
        <v>442</v>
      </c>
      <c r="O359" s="34" t="s">
        <v>1821</v>
      </c>
      <c r="P359" s="5" t="s">
        <v>597</v>
      </c>
      <c r="Q359" s="5" t="s">
        <v>1822</v>
      </c>
      <c r="R359" s="5" t="s">
        <v>1822</v>
      </c>
      <c r="S359" s="5" t="s">
        <v>1823</v>
      </c>
      <c r="T359" s="5" t="s">
        <v>445</v>
      </c>
    </row>
    <row r="360" spans="6:20">
      <c r="F360" s="36" t="s">
        <v>293</v>
      </c>
      <c r="G360" s="5" t="s">
        <v>294</v>
      </c>
      <c r="I360" s="6">
        <v>-600006.80000000005</v>
      </c>
      <c r="J360" s="62">
        <v>-405.41</v>
      </c>
      <c r="K360" s="62">
        <v>1480</v>
      </c>
      <c r="L360" s="62" t="s">
        <v>1499</v>
      </c>
      <c r="M360" s="100" t="s">
        <v>452</v>
      </c>
      <c r="N360" s="5" t="s">
        <v>442</v>
      </c>
      <c r="O360" s="34" t="s">
        <v>1824</v>
      </c>
      <c r="P360" s="5" t="s">
        <v>1467</v>
      </c>
      <c r="Q360" s="5" t="s">
        <v>1825</v>
      </c>
      <c r="R360" s="5" t="s">
        <v>1825</v>
      </c>
      <c r="S360" s="5" t="s">
        <v>1826</v>
      </c>
      <c r="T360" s="5" t="s">
        <v>445</v>
      </c>
    </row>
    <row r="361" spans="6:20">
      <c r="F361" s="36" t="s">
        <v>293</v>
      </c>
      <c r="G361" s="5" t="s">
        <v>294</v>
      </c>
      <c r="I361" s="6">
        <v>-1400006</v>
      </c>
      <c r="J361" s="62">
        <v>-945.95</v>
      </c>
      <c r="K361" s="62">
        <v>1480</v>
      </c>
      <c r="L361" s="62" t="s">
        <v>1717</v>
      </c>
      <c r="M361" s="100" t="s">
        <v>452</v>
      </c>
      <c r="N361" s="5" t="s">
        <v>442</v>
      </c>
      <c r="O361" s="34" t="s">
        <v>1827</v>
      </c>
      <c r="P361" s="5" t="s">
        <v>1467</v>
      </c>
      <c r="Q361" s="5" t="s">
        <v>1828</v>
      </c>
      <c r="R361" s="5" t="s">
        <v>1828</v>
      </c>
      <c r="S361" s="5" t="s">
        <v>1829</v>
      </c>
      <c r="T361" s="5" t="s">
        <v>445</v>
      </c>
    </row>
    <row r="362" spans="6:20">
      <c r="F362" s="36" t="s">
        <v>293</v>
      </c>
      <c r="G362" s="5" t="s">
        <v>294</v>
      </c>
      <c r="I362" s="6">
        <v>-10899992.800000001</v>
      </c>
      <c r="J362" s="62">
        <v>-7364.86</v>
      </c>
      <c r="K362" s="62">
        <v>1480</v>
      </c>
      <c r="L362" s="62" t="s">
        <v>1471</v>
      </c>
      <c r="M362" s="100" t="s">
        <v>452</v>
      </c>
      <c r="N362" s="5" t="s">
        <v>442</v>
      </c>
      <c r="O362" s="34" t="s">
        <v>1830</v>
      </c>
      <c r="P362" s="5" t="s">
        <v>1467</v>
      </c>
      <c r="Q362" s="5" t="s">
        <v>1831</v>
      </c>
      <c r="R362" s="5" t="s">
        <v>1831</v>
      </c>
      <c r="S362" s="5" t="s">
        <v>1832</v>
      </c>
      <c r="T362" s="5" t="s">
        <v>445</v>
      </c>
    </row>
    <row r="363" spans="6:20">
      <c r="F363" s="36" t="s">
        <v>295</v>
      </c>
      <c r="G363" s="5" t="s">
        <v>296</v>
      </c>
      <c r="I363" s="6">
        <v>-140000</v>
      </c>
      <c r="J363" s="62">
        <v>-94.594594594594597</v>
      </c>
      <c r="K363" s="62">
        <v>1480</v>
      </c>
      <c r="L363" s="62" t="s">
        <v>1545</v>
      </c>
      <c r="M363" s="100" t="s">
        <v>452</v>
      </c>
      <c r="N363" s="5" t="s">
        <v>464</v>
      </c>
      <c r="O363" s="34" t="s">
        <v>1546</v>
      </c>
      <c r="P363" s="5" t="s">
        <v>1467</v>
      </c>
      <c r="Q363" s="5" t="s">
        <v>1547</v>
      </c>
      <c r="R363" s="5" t="s">
        <v>1548</v>
      </c>
      <c r="S363" s="5" t="s">
        <v>1549</v>
      </c>
      <c r="T363" s="5" t="s">
        <v>445</v>
      </c>
    </row>
    <row r="364" spans="6:20">
      <c r="F364" s="36" t="s">
        <v>295</v>
      </c>
      <c r="G364" s="5" t="s">
        <v>296</v>
      </c>
      <c r="I364" s="6">
        <v>-36400</v>
      </c>
      <c r="J364" s="62">
        <v>-24.761904761904798</v>
      </c>
      <c r="K364" s="62">
        <v>1470</v>
      </c>
      <c r="L364" s="62" t="s">
        <v>1550</v>
      </c>
      <c r="M364" s="100" t="s">
        <v>452</v>
      </c>
      <c r="N364" s="5" t="s">
        <v>464</v>
      </c>
      <c r="O364" s="34" t="s">
        <v>1551</v>
      </c>
      <c r="P364" s="5" t="s">
        <v>597</v>
      </c>
      <c r="Q364" s="5" t="s">
        <v>1552</v>
      </c>
      <c r="R364" s="5" t="s">
        <v>1553</v>
      </c>
      <c r="S364" s="5" t="s">
        <v>1554</v>
      </c>
      <c r="T364" s="5" t="s">
        <v>445</v>
      </c>
    </row>
    <row r="365" spans="6:20">
      <c r="F365" s="36" t="s">
        <v>295</v>
      </c>
      <c r="G365" s="5" t="s">
        <v>296</v>
      </c>
      <c r="I365" s="6">
        <v>-8000</v>
      </c>
      <c r="J365" s="62">
        <v>-5.4054054054054097</v>
      </c>
      <c r="K365" s="62">
        <v>1480</v>
      </c>
      <c r="L365" s="62" t="s">
        <v>1545</v>
      </c>
      <c r="M365" s="100" t="s">
        <v>452</v>
      </c>
      <c r="N365" s="5" t="s">
        <v>464</v>
      </c>
      <c r="O365" s="34" t="s">
        <v>1546</v>
      </c>
      <c r="P365" s="5" t="s">
        <v>1467</v>
      </c>
      <c r="Q365" s="5" t="s">
        <v>1547</v>
      </c>
      <c r="R365" s="5" t="s">
        <v>1555</v>
      </c>
      <c r="S365" s="5" t="s">
        <v>1549</v>
      </c>
      <c r="T365" s="5" t="s">
        <v>445</v>
      </c>
    </row>
    <row r="366" spans="6:20">
      <c r="F366" s="36" t="s">
        <v>295</v>
      </c>
      <c r="G366" s="5" t="s">
        <v>296</v>
      </c>
      <c r="I366" s="6">
        <v>-8000</v>
      </c>
      <c r="J366" s="62">
        <v>-5.4054054054054097</v>
      </c>
      <c r="K366" s="62">
        <v>1480</v>
      </c>
      <c r="L366" s="62" t="s">
        <v>1545</v>
      </c>
      <c r="M366" s="100" t="s">
        <v>452</v>
      </c>
      <c r="N366" s="5" t="s">
        <v>464</v>
      </c>
      <c r="O366" s="34" t="s">
        <v>1546</v>
      </c>
      <c r="P366" s="5" t="s">
        <v>1467</v>
      </c>
      <c r="Q366" s="5" t="s">
        <v>1547</v>
      </c>
      <c r="R366" s="5" t="s">
        <v>1555</v>
      </c>
      <c r="S366" s="5" t="s">
        <v>1549</v>
      </c>
      <c r="T366" s="5" t="s">
        <v>445</v>
      </c>
    </row>
    <row r="367" spans="6:20">
      <c r="F367" s="36" t="s">
        <v>295</v>
      </c>
      <c r="G367" s="5" t="s">
        <v>296</v>
      </c>
      <c r="I367" s="6">
        <v>-50000</v>
      </c>
      <c r="J367" s="62">
        <v>-34.013605442176903</v>
      </c>
      <c r="K367" s="62">
        <v>1470</v>
      </c>
      <c r="L367" s="62" t="s">
        <v>1550</v>
      </c>
      <c r="M367" s="100" t="s">
        <v>452</v>
      </c>
      <c r="N367" s="5" t="s">
        <v>464</v>
      </c>
      <c r="O367" s="34" t="s">
        <v>1551</v>
      </c>
      <c r="P367" s="5" t="s">
        <v>597</v>
      </c>
      <c r="Q367" s="5" t="s">
        <v>1552</v>
      </c>
      <c r="R367" s="5" t="s">
        <v>1556</v>
      </c>
      <c r="S367" s="5" t="s">
        <v>1554</v>
      </c>
      <c r="T367" s="5" t="s">
        <v>445</v>
      </c>
    </row>
    <row r="368" spans="6:20">
      <c r="F368" s="36" t="s">
        <v>295</v>
      </c>
      <c r="G368" s="5" t="s">
        <v>296</v>
      </c>
      <c r="I368" s="6">
        <v>-49000</v>
      </c>
      <c r="J368" s="62">
        <v>-33.3333333333333</v>
      </c>
      <c r="K368" s="62">
        <v>1470</v>
      </c>
      <c r="L368" s="62" t="s">
        <v>1550</v>
      </c>
      <c r="M368" s="100" t="s">
        <v>452</v>
      </c>
      <c r="N368" s="5" t="s">
        <v>464</v>
      </c>
      <c r="O368" s="34" t="s">
        <v>1551</v>
      </c>
      <c r="P368" s="5" t="s">
        <v>597</v>
      </c>
      <c r="Q368" s="5" t="s">
        <v>1552</v>
      </c>
      <c r="R368" s="5" t="s">
        <v>1557</v>
      </c>
      <c r="S368" s="5" t="s">
        <v>1554</v>
      </c>
      <c r="T368" s="5" t="s">
        <v>445</v>
      </c>
    </row>
    <row r="369" spans="6:20">
      <c r="F369" s="36" t="s">
        <v>295</v>
      </c>
      <c r="G369" s="5" t="s">
        <v>296</v>
      </c>
      <c r="I369" s="6">
        <v>-53000</v>
      </c>
      <c r="J369" s="62">
        <v>-36.054421768707499</v>
      </c>
      <c r="K369" s="62">
        <v>1470</v>
      </c>
      <c r="L369" s="62" t="s">
        <v>1550</v>
      </c>
      <c r="M369" s="100" t="s">
        <v>452</v>
      </c>
      <c r="N369" s="5" t="s">
        <v>464</v>
      </c>
      <c r="O369" s="34" t="s">
        <v>1551</v>
      </c>
      <c r="P369" s="5" t="s">
        <v>597</v>
      </c>
      <c r="Q369" s="5" t="s">
        <v>1552</v>
      </c>
      <c r="R369" s="5" t="s">
        <v>1558</v>
      </c>
      <c r="S369" s="5" t="s">
        <v>1554</v>
      </c>
      <c r="T369" s="5" t="s">
        <v>445</v>
      </c>
    </row>
    <row r="370" spans="6:20">
      <c r="F370" s="36" t="s">
        <v>295</v>
      </c>
      <c r="G370" s="5" t="s">
        <v>296</v>
      </c>
      <c r="I370" s="6">
        <v>-72000</v>
      </c>
      <c r="J370" s="62">
        <v>-48.979591836734699</v>
      </c>
      <c r="K370" s="62">
        <v>1470</v>
      </c>
      <c r="L370" s="62" t="s">
        <v>1550</v>
      </c>
      <c r="M370" s="100" t="s">
        <v>452</v>
      </c>
      <c r="N370" s="5" t="s">
        <v>464</v>
      </c>
      <c r="O370" s="34" t="s">
        <v>1551</v>
      </c>
      <c r="P370" s="5" t="s">
        <v>597</v>
      </c>
      <c r="Q370" s="5" t="s">
        <v>1552</v>
      </c>
      <c r="R370" s="5" t="s">
        <v>1559</v>
      </c>
      <c r="S370" s="5" t="s">
        <v>1554</v>
      </c>
      <c r="T370" s="5" t="s">
        <v>445</v>
      </c>
    </row>
    <row r="371" spans="6:20">
      <c r="F371" s="36" t="s">
        <v>295</v>
      </c>
      <c r="G371" s="5" t="s">
        <v>296</v>
      </c>
      <c r="I371" s="6">
        <v>-15000</v>
      </c>
      <c r="J371" s="62">
        <v>-10.1351351351351</v>
      </c>
      <c r="K371" s="62">
        <v>1480</v>
      </c>
      <c r="L371" s="62" t="s">
        <v>1545</v>
      </c>
      <c r="M371" s="100" t="s">
        <v>452</v>
      </c>
      <c r="N371" s="5" t="s">
        <v>464</v>
      </c>
      <c r="O371" s="34" t="s">
        <v>1546</v>
      </c>
      <c r="P371" s="5" t="s">
        <v>1467</v>
      </c>
      <c r="Q371" s="5" t="s">
        <v>1547</v>
      </c>
      <c r="R371" s="5" t="s">
        <v>1560</v>
      </c>
      <c r="S371" s="5" t="s">
        <v>1549</v>
      </c>
      <c r="T371" s="5" t="s">
        <v>445</v>
      </c>
    </row>
    <row r="372" spans="6:20">
      <c r="F372" s="36" t="s">
        <v>295</v>
      </c>
      <c r="G372" s="5" t="s">
        <v>296</v>
      </c>
      <c r="I372" s="6">
        <v>-20900</v>
      </c>
      <c r="J372" s="62">
        <v>-14.1216216216216</v>
      </c>
      <c r="K372" s="62">
        <v>1480</v>
      </c>
      <c r="L372" s="62" t="s">
        <v>1465</v>
      </c>
      <c r="M372" s="100" t="s">
        <v>452</v>
      </c>
      <c r="N372" s="5" t="s">
        <v>464</v>
      </c>
      <c r="O372" s="34" t="s">
        <v>1561</v>
      </c>
      <c r="P372" s="5" t="s">
        <v>1467</v>
      </c>
      <c r="Q372" s="5" t="s">
        <v>1562</v>
      </c>
      <c r="R372" s="5" t="s">
        <v>1563</v>
      </c>
      <c r="S372" s="5" t="s">
        <v>1564</v>
      </c>
      <c r="T372" s="5" t="s">
        <v>445</v>
      </c>
    </row>
    <row r="373" spans="6:20">
      <c r="F373" s="36" t="s">
        <v>295</v>
      </c>
      <c r="G373" s="5" t="s">
        <v>296</v>
      </c>
      <c r="I373" s="6">
        <v>-280000</v>
      </c>
      <c r="J373" s="62">
        <v>-189.18918918918899</v>
      </c>
      <c r="K373" s="62">
        <v>1480</v>
      </c>
      <c r="L373" s="62" t="s">
        <v>1545</v>
      </c>
      <c r="M373" s="100" t="s">
        <v>452</v>
      </c>
      <c r="N373" s="5" t="s">
        <v>464</v>
      </c>
      <c r="O373" s="34" t="s">
        <v>1546</v>
      </c>
      <c r="P373" s="5" t="s">
        <v>1467</v>
      </c>
      <c r="Q373" s="5" t="s">
        <v>1547</v>
      </c>
      <c r="R373" s="5" t="s">
        <v>1565</v>
      </c>
      <c r="S373" s="5" t="s">
        <v>1549</v>
      </c>
      <c r="T373" s="5" t="s">
        <v>445</v>
      </c>
    </row>
    <row r="374" spans="6:20">
      <c r="F374" s="36" t="s">
        <v>295</v>
      </c>
      <c r="G374" s="5" t="s">
        <v>296</v>
      </c>
      <c r="I374" s="6">
        <v>-20000</v>
      </c>
      <c r="J374" s="62">
        <v>-13.5135135135135</v>
      </c>
      <c r="K374" s="62">
        <v>1480</v>
      </c>
      <c r="L374" s="62" t="s">
        <v>1545</v>
      </c>
      <c r="M374" s="100" t="s">
        <v>452</v>
      </c>
      <c r="N374" s="5" t="s">
        <v>464</v>
      </c>
      <c r="O374" s="34" t="s">
        <v>1546</v>
      </c>
      <c r="P374" s="5" t="s">
        <v>1467</v>
      </c>
      <c r="Q374" s="5" t="s">
        <v>1547</v>
      </c>
      <c r="R374" s="5" t="s">
        <v>1566</v>
      </c>
      <c r="S374" s="5" t="s">
        <v>1549</v>
      </c>
      <c r="T374" s="5" t="s">
        <v>445</v>
      </c>
    </row>
    <row r="375" spans="6:20">
      <c r="F375" s="36" t="s">
        <v>295</v>
      </c>
      <c r="G375" s="5" t="s">
        <v>296</v>
      </c>
      <c r="I375" s="6">
        <v>-24000</v>
      </c>
      <c r="J375" s="62">
        <v>-16.326530612244898</v>
      </c>
      <c r="K375" s="62">
        <v>1470</v>
      </c>
      <c r="L375" s="62" t="s">
        <v>1550</v>
      </c>
      <c r="M375" s="100" t="s">
        <v>452</v>
      </c>
      <c r="N375" s="5" t="s">
        <v>464</v>
      </c>
      <c r="O375" s="34" t="s">
        <v>1551</v>
      </c>
      <c r="P375" s="5" t="s">
        <v>597</v>
      </c>
      <c r="Q375" s="5" t="s">
        <v>1552</v>
      </c>
      <c r="R375" s="5" t="s">
        <v>1567</v>
      </c>
      <c r="S375" s="5" t="s">
        <v>1554</v>
      </c>
      <c r="T375" s="5" t="s">
        <v>445</v>
      </c>
    </row>
    <row r="376" spans="6:20">
      <c r="F376" s="36" t="s">
        <v>295</v>
      </c>
      <c r="G376" s="5" t="s">
        <v>296</v>
      </c>
      <c r="I376" s="6">
        <v>-80000</v>
      </c>
      <c r="J376" s="62">
        <v>-54.054054054054099</v>
      </c>
      <c r="K376" s="62">
        <v>1480</v>
      </c>
      <c r="L376" s="62" t="s">
        <v>1545</v>
      </c>
      <c r="M376" s="100" t="s">
        <v>452</v>
      </c>
      <c r="N376" s="5" t="s">
        <v>464</v>
      </c>
      <c r="O376" s="34" t="s">
        <v>1546</v>
      </c>
      <c r="P376" s="5" t="s">
        <v>1467</v>
      </c>
      <c r="Q376" s="5" t="s">
        <v>1547</v>
      </c>
      <c r="R376" s="5" t="s">
        <v>1568</v>
      </c>
      <c r="S376" s="5" t="s">
        <v>1549</v>
      </c>
      <c r="T376" s="5" t="s">
        <v>445</v>
      </c>
    </row>
    <row r="377" spans="6:20">
      <c r="F377" s="36" t="s">
        <v>295</v>
      </c>
      <c r="G377" s="5" t="s">
        <v>296</v>
      </c>
      <c r="I377" s="6">
        <v>-20000</v>
      </c>
      <c r="J377" s="62">
        <v>-13.5135135135135</v>
      </c>
      <c r="K377" s="62">
        <v>1480</v>
      </c>
      <c r="L377" s="62" t="s">
        <v>1545</v>
      </c>
      <c r="M377" s="100" t="s">
        <v>452</v>
      </c>
      <c r="N377" s="5" t="s">
        <v>464</v>
      </c>
      <c r="O377" s="34" t="s">
        <v>1546</v>
      </c>
      <c r="P377" s="5" t="s">
        <v>1467</v>
      </c>
      <c r="Q377" s="5" t="s">
        <v>1547</v>
      </c>
      <c r="R377" s="5" t="s">
        <v>1569</v>
      </c>
      <c r="S377" s="5" t="s">
        <v>1549</v>
      </c>
      <c r="T377" s="5" t="s">
        <v>445</v>
      </c>
    </row>
    <row r="378" spans="6:20">
      <c r="F378" s="36" t="s">
        <v>295</v>
      </c>
      <c r="G378" s="5" t="s">
        <v>296</v>
      </c>
      <c r="I378" s="6">
        <v>-79000</v>
      </c>
      <c r="J378" s="62">
        <v>-53.3783783783784</v>
      </c>
      <c r="K378" s="62">
        <v>1480</v>
      </c>
      <c r="L378" s="62" t="s">
        <v>1545</v>
      </c>
      <c r="M378" s="100" t="s">
        <v>452</v>
      </c>
      <c r="N378" s="5" t="s">
        <v>464</v>
      </c>
      <c r="O378" s="34" t="s">
        <v>1546</v>
      </c>
      <c r="P378" s="5" t="s">
        <v>1467</v>
      </c>
      <c r="Q378" s="5" t="s">
        <v>1547</v>
      </c>
      <c r="R378" s="5" t="s">
        <v>1570</v>
      </c>
      <c r="S378" s="5" t="s">
        <v>1549</v>
      </c>
      <c r="T378" s="5" t="s">
        <v>445</v>
      </c>
    </row>
    <row r="379" spans="6:20">
      <c r="F379" s="36" t="s">
        <v>295</v>
      </c>
      <c r="G379" s="5" t="s">
        <v>296</v>
      </c>
      <c r="I379" s="6">
        <v>-67100</v>
      </c>
      <c r="J379" s="62">
        <v>-45.337837837837803</v>
      </c>
      <c r="K379" s="62">
        <v>1480</v>
      </c>
      <c r="L379" s="62" t="s">
        <v>1545</v>
      </c>
      <c r="M379" s="100" t="s">
        <v>452</v>
      </c>
      <c r="N379" s="5" t="s">
        <v>464</v>
      </c>
      <c r="O379" s="34" t="s">
        <v>1546</v>
      </c>
      <c r="P379" s="5" t="s">
        <v>1467</v>
      </c>
      <c r="Q379" s="5" t="s">
        <v>1547</v>
      </c>
      <c r="R379" s="5" t="s">
        <v>1571</v>
      </c>
      <c r="S379" s="5" t="s">
        <v>1549</v>
      </c>
      <c r="T379" s="5" t="s">
        <v>445</v>
      </c>
    </row>
    <row r="380" spans="6:20">
      <c r="F380" s="36" t="s">
        <v>295</v>
      </c>
      <c r="G380" s="5" t="s">
        <v>296</v>
      </c>
      <c r="I380" s="6">
        <v>-301790</v>
      </c>
      <c r="J380" s="62">
        <v>-203.91216216216199</v>
      </c>
      <c r="K380" s="62">
        <v>1480</v>
      </c>
      <c r="L380" s="62" t="s">
        <v>1545</v>
      </c>
      <c r="M380" s="100" t="s">
        <v>452</v>
      </c>
      <c r="N380" s="5" t="s">
        <v>464</v>
      </c>
      <c r="O380" s="34" t="s">
        <v>1546</v>
      </c>
      <c r="P380" s="5" t="s">
        <v>1467</v>
      </c>
      <c r="Q380" s="5" t="s">
        <v>1547</v>
      </c>
      <c r="R380" s="5" t="s">
        <v>1571</v>
      </c>
      <c r="S380" s="5" t="s">
        <v>1549</v>
      </c>
      <c r="T380" s="5" t="s">
        <v>445</v>
      </c>
    </row>
    <row r="381" spans="6:20">
      <c r="F381" s="36" t="s">
        <v>295</v>
      </c>
      <c r="G381" s="5" t="s">
        <v>296</v>
      </c>
      <c r="I381" s="6">
        <v>-174390</v>
      </c>
      <c r="J381" s="62">
        <v>-117.831081081081</v>
      </c>
      <c r="K381" s="62">
        <v>1480</v>
      </c>
      <c r="L381" s="62" t="s">
        <v>1545</v>
      </c>
      <c r="M381" s="100" t="s">
        <v>452</v>
      </c>
      <c r="N381" s="5" t="s">
        <v>464</v>
      </c>
      <c r="O381" s="34" t="s">
        <v>1546</v>
      </c>
      <c r="P381" s="5" t="s">
        <v>1467</v>
      </c>
      <c r="Q381" s="5" t="s">
        <v>1547</v>
      </c>
      <c r="R381" s="5" t="s">
        <v>1571</v>
      </c>
      <c r="S381" s="5" t="s">
        <v>1549</v>
      </c>
      <c r="T381" s="5" t="s">
        <v>445</v>
      </c>
    </row>
    <row r="382" spans="6:20">
      <c r="F382" s="36" t="s">
        <v>295</v>
      </c>
      <c r="G382" s="5" t="s">
        <v>296</v>
      </c>
      <c r="I382" s="6">
        <v>-41200</v>
      </c>
      <c r="J382" s="62">
        <v>-28.0272108843537</v>
      </c>
      <c r="K382" s="62">
        <v>1470</v>
      </c>
      <c r="L382" s="62" t="s">
        <v>1550</v>
      </c>
      <c r="M382" s="100" t="s">
        <v>452</v>
      </c>
      <c r="N382" s="5" t="s">
        <v>464</v>
      </c>
      <c r="O382" s="34" t="s">
        <v>1551</v>
      </c>
      <c r="P382" s="5" t="s">
        <v>597</v>
      </c>
      <c r="Q382" s="5" t="s">
        <v>1552</v>
      </c>
      <c r="R382" s="5" t="s">
        <v>1024</v>
      </c>
      <c r="S382" s="5" t="s">
        <v>1554</v>
      </c>
      <c r="T382" s="5" t="s">
        <v>445</v>
      </c>
    </row>
    <row r="383" spans="6:20">
      <c r="F383" s="36" t="s">
        <v>295</v>
      </c>
      <c r="G383" s="5" t="s">
        <v>296</v>
      </c>
      <c r="I383" s="6">
        <v>-80000</v>
      </c>
      <c r="J383" s="62">
        <v>-54.421768707482997</v>
      </c>
      <c r="K383" s="62">
        <v>1470</v>
      </c>
      <c r="L383" s="62" t="s">
        <v>1550</v>
      </c>
      <c r="M383" s="100" t="s">
        <v>452</v>
      </c>
      <c r="N383" s="5" t="s">
        <v>464</v>
      </c>
      <c r="O383" s="34" t="s">
        <v>1551</v>
      </c>
      <c r="P383" s="5" t="s">
        <v>597</v>
      </c>
      <c r="Q383" s="5" t="s">
        <v>1552</v>
      </c>
      <c r="R383" s="5" t="s">
        <v>1024</v>
      </c>
      <c r="S383" s="5" t="s">
        <v>1554</v>
      </c>
      <c r="T383" s="5" t="s">
        <v>445</v>
      </c>
    </row>
    <row r="384" spans="6:20">
      <c r="F384" s="36" t="s">
        <v>295</v>
      </c>
      <c r="G384" s="5" t="s">
        <v>296</v>
      </c>
      <c r="I384" s="6">
        <v>-54000</v>
      </c>
      <c r="J384" s="62">
        <v>-36.486486486486498</v>
      </c>
      <c r="K384" s="62">
        <v>1480</v>
      </c>
      <c r="L384" s="62" t="s">
        <v>1545</v>
      </c>
      <c r="M384" s="100" t="s">
        <v>452</v>
      </c>
      <c r="N384" s="5" t="s">
        <v>464</v>
      </c>
      <c r="O384" s="34" t="s">
        <v>1546</v>
      </c>
      <c r="P384" s="5" t="s">
        <v>1467</v>
      </c>
      <c r="Q384" s="5" t="s">
        <v>1547</v>
      </c>
      <c r="R384" s="5" t="s">
        <v>1572</v>
      </c>
      <c r="S384" s="5" t="s">
        <v>1549</v>
      </c>
      <c r="T384" s="5" t="s">
        <v>445</v>
      </c>
    </row>
    <row r="385" spans="6:20">
      <c r="F385" s="36" t="s">
        <v>295</v>
      </c>
      <c r="G385" s="5" t="s">
        <v>296</v>
      </c>
      <c r="I385" s="6">
        <v>-80000</v>
      </c>
      <c r="J385" s="62">
        <v>-54.054054054054099</v>
      </c>
      <c r="K385" s="62">
        <v>1480</v>
      </c>
      <c r="L385" s="62" t="s">
        <v>1545</v>
      </c>
      <c r="M385" s="100" t="s">
        <v>452</v>
      </c>
      <c r="N385" s="5" t="s">
        <v>464</v>
      </c>
      <c r="O385" s="34" t="s">
        <v>1546</v>
      </c>
      <c r="P385" s="5" t="s">
        <v>1467</v>
      </c>
      <c r="Q385" s="5" t="s">
        <v>1547</v>
      </c>
      <c r="R385" s="5" t="s">
        <v>1573</v>
      </c>
      <c r="S385" s="5" t="s">
        <v>1549</v>
      </c>
      <c r="T385" s="5" t="s">
        <v>445</v>
      </c>
    </row>
    <row r="386" spans="6:20">
      <c r="F386" s="36" t="s">
        <v>295</v>
      </c>
      <c r="G386" s="5" t="s">
        <v>296</v>
      </c>
      <c r="I386" s="6">
        <v>-10584</v>
      </c>
      <c r="J386" s="62">
        <v>-7.1513513513513498</v>
      </c>
      <c r="K386" s="62">
        <v>1480</v>
      </c>
      <c r="L386" s="62" t="s">
        <v>1545</v>
      </c>
      <c r="M386" s="100" t="s">
        <v>452</v>
      </c>
      <c r="N386" s="5" t="s">
        <v>464</v>
      </c>
      <c r="O386" s="34" t="s">
        <v>1546</v>
      </c>
      <c r="P386" s="5" t="s">
        <v>1467</v>
      </c>
      <c r="Q386" s="5" t="s">
        <v>1547</v>
      </c>
      <c r="R386" s="5" t="s">
        <v>1574</v>
      </c>
      <c r="S386" s="5" t="s">
        <v>1549</v>
      </c>
      <c r="T386" s="5" t="s">
        <v>445</v>
      </c>
    </row>
    <row r="387" spans="6:20">
      <c r="F387" s="36" t="s">
        <v>295</v>
      </c>
      <c r="G387" s="5" t="s">
        <v>296</v>
      </c>
      <c r="I387" s="6">
        <v>-27936</v>
      </c>
      <c r="J387" s="62">
        <v>-18.875675675675701</v>
      </c>
      <c r="K387" s="62">
        <v>1480</v>
      </c>
      <c r="L387" s="62" t="s">
        <v>1545</v>
      </c>
      <c r="M387" s="100" t="s">
        <v>452</v>
      </c>
      <c r="N387" s="5" t="s">
        <v>464</v>
      </c>
      <c r="O387" s="34" t="s">
        <v>1546</v>
      </c>
      <c r="P387" s="5" t="s">
        <v>1467</v>
      </c>
      <c r="Q387" s="5" t="s">
        <v>1547</v>
      </c>
      <c r="R387" s="5" t="s">
        <v>1575</v>
      </c>
      <c r="S387" s="5" t="s">
        <v>1549</v>
      </c>
      <c r="T387" s="5" t="s">
        <v>445</v>
      </c>
    </row>
    <row r="388" spans="6:20">
      <c r="F388" s="36" t="s">
        <v>295</v>
      </c>
      <c r="G388" s="5" t="s">
        <v>296</v>
      </c>
      <c r="I388" s="6">
        <v>-43700</v>
      </c>
      <c r="J388" s="62">
        <v>-29.527027027027</v>
      </c>
      <c r="K388" s="62">
        <v>1480</v>
      </c>
      <c r="L388" s="62" t="s">
        <v>1545</v>
      </c>
      <c r="M388" s="100" t="s">
        <v>452</v>
      </c>
      <c r="N388" s="5" t="s">
        <v>464</v>
      </c>
      <c r="O388" s="34" t="s">
        <v>1546</v>
      </c>
      <c r="P388" s="5" t="s">
        <v>1467</v>
      </c>
      <c r="Q388" s="5" t="s">
        <v>1547</v>
      </c>
      <c r="R388" s="5" t="s">
        <v>1576</v>
      </c>
      <c r="S388" s="5" t="s">
        <v>1549</v>
      </c>
      <c r="T388" s="5" t="s">
        <v>445</v>
      </c>
    </row>
    <row r="389" spans="6:20">
      <c r="F389" s="36" t="s">
        <v>295</v>
      </c>
      <c r="G389" s="5" t="s">
        <v>296</v>
      </c>
      <c r="I389" s="6">
        <v>-18100</v>
      </c>
      <c r="J389" s="62">
        <v>-12.312925170068</v>
      </c>
      <c r="K389" s="62">
        <v>1470</v>
      </c>
      <c r="L389" s="62" t="s">
        <v>1550</v>
      </c>
      <c r="M389" s="100" t="s">
        <v>452</v>
      </c>
      <c r="N389" s="5" t="s">
        <v>464</v>
      </c>
      <c r="O389" s="34" t="s">
        <v>1551</v>
      </c>
      <c r="P389" s="5" t="s">
        <v>597</v>
      </c>
      <c r="Q389" s="5" t="s">
        <v>1552</v>
      </c>
      <c r="R389" s="5" t="s">
        <v>1577</v>
      </c>
      <c r="S389" s="5" t="s">
        <v>1554</v>
      </c>
      <c r="T389" s="5" t="s">
        <v>445</v>
      </c>
    </row>
    <row r="390" spans="6:20">
      <c r="F390" s="36" t="s">
        <v>295</v>
      </c>
      <c r="G390" s="5" t="s">
        <v>296</v>
      </c>
      <c r="I390" s="6">
        <v>-64440</v>
      </c>
      <c r="J390" s="62">
        <v>-43.540540540540498</v>
      </c>
      <c r="K390" s="62">
        <v>1480</v>
      </c>
      <c r="L390" s="62" t="s">
        <v>1545</v>
      </c>
      <c r="M390" s="100" t="s">
        <v>452</v>
      </c>
      <c r="N390" s="5" t="s">
        <v>464</v>
      </c>
      <c r="O390" s="34" t="s">
        <v>1546</v>
      </c>
      <c r="P390" s="5" t="s">
        <v>1467</v>
      </c>
      <c r="Q390" s="5" t="s">
        <v>1547</v>
      </c>
      <c r="R390" s="5" t="s">
        <v>1577</v>
      </c>
      <c r="S390" s="5" t="s">
        <v>1549</v>
      </c>
      <c r="T390" s="5" t="s">
        <v>445</v>
      </c>
    </row>
    <row r="391" spans="6:20">
      <c r="F391" s="36" t="s">
        <v>295</v>
      </c>
      <c r="G391" s="5" t="s">
        <v>296</v>
      </c>
      <c r="I391" s="6">
        <v>-52051</v>
      </c>
      <c r="J391" s="62">
        <v>-35.169594594594599</v>
      </c>
      <c r="K391" s="62">
        <v>1480</v>
      </c>
      <c r="L391" s="62" t="s">
        <v>1545</v>
      </c>
      <c r="M391" s="100" t="s">
        <v>452</v>
      </c>
      <c r="N391" s="5" t="s">
        <v>464</v>
      </c>
      <c r="O391" s="34" t="s">
        <v>1546</v>
      </c>
      <c r="P391" s="5" t="s">
        <v>1467</v>
      </c>
      <c r="Q391" s="5" t="s">
        <v>1547</v>
      </c>
      <c r="R391" s="5" t="s">
        <v>1578</v>
      </c>
      <c r="S391" s="5" t="s">
        <v>1549</v>
      </c>
      <c r="T391" s="5" t="s">
        <v>445</v>
      </c>
    </row>
    <row r="392" spans="6:20">
      <c r="F392" s="36" t="s">
        <v>295</v>
      </c>
      <c r="G392" s="5" t="s">
        <v>296</v>
      </c>
      <c r="I392" s="6">
        <v>-37000</v>
      </c>
      <c r="J392" s="62">
        <v>-25</v>
      </c>
      <c r="K392" s="62">
        <v>1480</v>
      </c>
      <c r="L392" s="62" t="s">
        <v>1545</v>
      </c>
      <c r="M392" s="100" t="s">
        <v>452</v>
      </c>
      <c r="N392" s="5" t="s">
        <v>464</v>
      </c>
      <c r="O392" s="34" t="s">
        <v>1546</v>
      </c>
      <c r="P392" s="5" t="s">
        <v>1467</v>
      </c>
      <c r="Q392" s="5" t="s">
        <v>1547</v>
      </c>
      <c r="R392" s="5" t="s">
        <v>769</v>
      </c>
      <c r="S392" s="5" t="s">
        <v>1549</v>
      </c>
      <c r="T392" s="5" t="s">
        <v>445</v>
      </c>
    </row>
    <row r="393" spans="6:20">
      <c r="F393" s="36" t="s">
        <v>295</v>
      </c>
      <c r="G393" s="5" t="s">
        <v>296</v>
      </c>
      <c r="I393" s="6">
        <v>-6000</v>
      </c>
      <c r="J393" s="62">
        <v>-4.0816326530612201</v>
      </c>
      <c r="K393" s="62">
        <v>1470</v>
      </c>
      <c r="L393" s="62" t="s">
        <v>1550</v>
      </c>
      <c r="M393" s="100" t="s">
        <v>452</v>
      </c>
      <c r="N393" s="5" t="s">
        <v>464</v>
      </c>
      <c r="O393" s="34" t="s">
        <v>1551</v>
      </c>
      <c r="P393" s="5" t="s">
        <v>597</v>
      </c>
      <c r="Q393" s="5" t="s">
        <v>1552</v>
      </c>
      <c r="R393" s="5" t="s">
        <v>1579</v>
      </c>
      <c r="S393" s="5" t="s">
        <v>1554</v>
      </c>
      <c r="T393" s="5" t="s">
        <v>445</v>
      </c>
    </row>
    <row r="394" spans="6:20">
      <c r="F394" s="36" t="s">
        <v>295</v>
      </c>
      <c r="G394" s="5" t="s">
        <v>296</v>
      </c>
      <c r="I394" s="6">
        <v>-6400</v>
      </c>
      <c r="J394" s="62">
        <v>-4.3537414965986398</v>
      </c>
      <c r="K394" s="62">
        <v>1470</v>
      </c>
      <c r="L394" s="62" t="s">
        <v>1550</v>
      </c>
      <c r="M394" s="100" t="s">
        <v>452</v>
      </c>
      <c r="N394" s="5" t="s">
        <v>464</v>
      </c>
      <c r="O394" s="34" t="s">
        <v>1551</v>
      </c>
      <c r="P394" s="5" t="s">
        <v>597</v>
      </c>
      <c r="Q394" s="5" t="s">
        <v>1552</v>
      </c>
      <c r="R394" s="5" t="s">
        <v>1580</v>
      </c>
      <c r="S394" s="5" t="s">
        <v>1554</v>
      </c>
      <c r="T394" s="5" t="s">
        <v>445</v>
      </c>
    </row>
    <row r="395" spans="6:20">
      <c r="F395" s="36" t="s">
        <v>295</v>
      </c>
      <c r="G395" s="5" t="s">
        <v>296</v>
      </c>
      <c r="I395" s="6">
        <v>-17500</v>
      </c>
      <c r="J395" s="62">
        <v>-11.8243243243243</v>
      </c>
      <c r="K395" s="62">
        <v>1480</v>
      </c>
      <c r="L395" s="62" t="s">
        <v>1465</v>
      </c>
      <c r="M395" s="100" t="s">
        <v>452</v>
      </c>
      <c r="N395" s="5" t="s">
        <v>464</v>
      </c>
      <c r="O395" s="34" t="s">
        <v>1561</v>
      </c>
      <c r="P395" s="5" t="s">
        <v>1467</v>
      </c>
      <c r="Q395" s="5" t="s">
        <v>1562</v>
      </c>
      <c r="R395" s="5" t="s">
        <v>837</v>
      </c>
      <c r="S395" s="5" t="s">
        <v>1564</v>
      </c>
      <c r="T395" s="5" t="s">
        <v>445</v>
      </c>
    </row>
    <row r="396" spans="6:20">
      <c r="F396" s="36" t="s">
        <v>295</v>
      </c>
      <c r="G396" s="5" t="s">
        <v>296</v>
      </c>
      <c r="I396" s="6">
        <v>-22400</v>
      </c>
      <c r="J396" s="62">
        <v>-15.1351351351351</v>
      </c>
      <c r="K396" s="62">
        <v>1480</v>
      </c>
      <c r="L396" s="62" t="s">
        <v>1465</v>
      </c>
      <c r="M396" s="100" t="s">
        <v>452</v>
      </c>
      <c r="N396" s="5" t="s">
        <v>464</v>
      </c>
      <c r="O396" s="34" t="s">
        <v>1561</v>
      </c>
      <c r="P396" s="5" t="s">
        <v>1467</v>
      </c>
      <c r="Q396" s="5" t="s">
        <v>1562</v>
      </c>
      <c r="R396" s="5" t="s">
        <v>1581</v>
      </c>
      <c r="S396" s="5" t="s">
        <v>1564</v>
      </c>
      <c r="T396" s="5" t="s">
        <v>445</v>
      </c>
    </row>
    <row r="397" spans="6:20">
      <c r="F397" s="36" t="s">
        <v>295</v>
      </c>
      <c r="G397" s="5" t="s">
        <v>296</v>
      </c>
      <c r="I397" s="6">
        <v>-18700</v>
      </c>
      <c r="J397" s="62">
        <v>-12.721088435374099</v>
      </c>
      <c r="K397" s="62">
        <v>1470</v>
      </c>
      <c r="L397" s="62" t="s">
        <v>1550</v>
      </c>
      <c r="M397" s="100" t="s">
        <v>452</v>
      </c>
      <c r="N397" s="5" t="s">
        <v>464</v>
      </c>
      <c r="O397" s="34" t="s">
        <v>1551</v>
      </c>
      <c r="P397" s="5" t="s">
        <v>597</v>
      </c>
      <c r="Q397" s="5" t="s">
        <v>1552</v>
      </c>
      <c r="R397" s="5" t="s">
        <v>1063</v>
      </c>
      <c r="S397" s="5" t="s">
        <v>1554</v>
      </c>
      <c r="T397" s="5" t="s">
        <v>445</v>
      </c>
    </row>
    <row r="398" spans="6:20">
      <c r="F398" s="36" t="s">
        <v>295</v>
      </c>
      <c r="G398" s="5" t="s">
        <v>296</v>
      </c>
      <c r="I398" s="6">
        <v>-24350</v>
      </c>
      <c r="J398" s="62">
        <v>-16.452702702702702</v>
      </c>
      <c r="K398" s="62">
        <v>1480</v>
      </c>
      <c r="L398" s="62" t="s">
        <v>1465</v>
      </c>
      <c r="M398" s="100" t="s">
        <v>452</v>
      </c>
      <c r="N398" s="5" t="s">
        <v>464</v>
      </c>
      <c r="O398" s="34" t="s">
        <v>1561</v>
      </c>
      <c r="P398" s="5" t="s">
        <v>1467</v>
      </c>
      <c r="Q398" s="5" t="s">
        <v>1562</v>
      </c>
      <c r="R398" s="5" t="s">
        <v>1582</v>
      </c>
      <c r="S398" s="5" t="s">
        <v>1564</v>
      </c>
      <c r="T398" s="5" t="s">
        <v>445</v>
      </c>
    </row>
    <row r="399" spans="6:20">
      <c r="F399" s="36" t="s">
        <v>295</v>
      </c>
      <c r="G399" s="5" t="s">
        <v>296</v>
      </c>
      <c r="I399" s="6">
        <v>-37000</v>
      </c>
      <c r="J399" s="62">
        <v>-25.170068027210899</v>
      </c>
      <c r="K399" s="62">
        <v>1470</v>
      </c>
      <c r="L399" s="62" t="s">
        <v>1550</v>
      </c>
      <c r="M399" s="100" t="s">
        <v>452</v>
      </c>
      <c r="N399" s="5" t="s">
        <v>464</v>
      </c>
      <c r="O399" s="34" t="s">
        <v>1551</v>
      </c>
      <c r="P399" s="5" t="s">
        <v>597</v>
      </c>
      <c r="Q399" s="5" t="s">
        <v>1552</v>
      </c>
      <c r="R399" s="5" t="s">
        <v>1583</v>
      </c>
      <c r="S399" s="5" t="s">
        <v>1554</v>
      </c>
      <c r="T399" s="5" t="s">
        <v>445</v>
      </c>
    </row>
    <row r="400" spans="6:20">
      <c r="F400" s="36" t="s">
        <v>295</v>
      </c>
      <c r="G400" s="5" t="s">
        <v>296</v>
      </c>
      <c r="I400" s="6">
        <v>-38000</v>
      </c>
      <c r="J400" s="62">
        <v>-25.850340136054399</v>
      </c>
      <c r="K400" s="62">
        <v>1470</v>
      </c>
      <c r="L400" s="62" t="s">
        <v>1550</v>
      </c>
      <c r="M400" s="100" t="s">
        <v>452</v>
      </c>
      <c r="N400" s="5" t="s">
        <v>464</v>
      </c>
      <c r="O400" s="34" t="s">
        <v>1551</v>
      </c>
      <c r="P400" s="5" t="s">
        <v>597</v>
      </c>
      <c r="Q400" s="5" t="s">
        <v>1552</v>
      </c>
      <c r="R400" s="5" t="s">
        <v>1584</v>
      </c>
      <c r="S400" s="5" t="s">
        <v>1554</v>
      </c>
      <c r="T400" s="5" t="s">
        <v>445</v>
      </c>
    </row>
    <row r="401" spans="6:20">
      <c r="F401" s="36" t="s">
        <v>295</v>
      </c>
      <c r="G401" s="5" t="s">
        <v>296</v>
      </c>
      <c r="I401" s="6">
        <v>-78000</v>
      </c>
      <c r="J401" s="62">
        <v>-53.061224489795897</v>
      </c>
      <c r="K401" s="62">
        <v>1470</v>
      </c>
      <c r="L401" s="62" t="s">
        <v>1550</v>
      </c>
      <c r="M401" s="100" t="s">
        <v>452</v>
      </c>
      <c r="N401" s="5" t="s">
        <v>464</v>
      </c>
      <c r="O401" s="34" t="s">
        <v>1551</v>
      </c>
      <c r="P401" s="5" t="s">
        <v>597</v>
      </c>
      <c r="Q401" s="5" t="s">
        <v>1552</v>
      </c>
      <c r="R401" s="5" t="s">
        <v>663</v>
      </c>
      <c r="S401" s="5" t="s">
        <v>1554</v>
      </c>
      <c r="T401" s="5" t="s">
        <v>445</v>
      </c>
    </row>
    <row r="402" spans="6:20">
      <c r="F402" s="36" t="s">
        <v>295</v>
      </c>
      <c r="G402" s="5" t="s">
        <v>296</v>
      </c>
      <c r="I402" s="6">
        <v>-618694</v>
      </c>
      <c r="J402" s="62">
        <v>-420.880272108844</v>
      </c>
      <c r="K402" s="62">
        <v>1470</v>
      </c>
      <c r="L402" s="62" t="s">
        <v>1550</v>
      </c>
      <c r="M402" s="100" t="s">
        <v>452</v>
      </c>
      <c r="N402" s="5" t="s">
        <v>464</v>
      </c>
      <c r="O402" s="34" t="s">
        <v>1551</v>
      </c>
      <c r="P402" s="5" t="s">
        <v>597</v>
      </c>
      <c r="Q402" s="5" t="s">
        <v>1552</v>
      </c>
      <c r="R402" s="5" t="s">
        <v>663</v>
      </c>
      <c r="S402" s="5" t="s">
        <v>1554</v>
      </c>
      <c r="T402" s="5" t="s">
        <v>445</v>
      </c>
    </row>
    <row r="403" spans="6:20">
      <c r="F403" s="36" t="s">
        <v>295</v>
      </c>
      <c r="G403" s="5" t="s">
        <v>296</v>
      </c>
      <c r="I403" s="6">
        <v>-41673</v>
      </c>
      <c r="J403" s="62">
        <v>-28.348979591836699</v>
      </c>
      <c r="K403" s="62">
        <v>1470</v>
      </c>
      <c r="L403" s="62" t="s">
        <v>1550</v>
      </c>
      <c r="M403" s="100" t="s">
        <v>452</v>
      </c>
      <c r="N403" s="5" t="s">
        <v>464</v>
      </c>
      <c r="O403" s="34" t="s">
        <v>1551</v>
      </c>
      <c r="P403" s="5" t="s">
        <v>597</v>
      </c>
      <c r="Q403" s="5" t="s">
        <v>1552</v>
      </c>
      <c r="R403" s="5" t="s">
        <v>663</v>
      </c>
      <c r="S403" s="5" t="s">
        <v>1554</v>
      </c>
      <c r="T403" s="5" t="s">
        <v>445</v>
      </c>
    </row>
    <row r="404" spans="6:20">
      <c r="F404" s="36" t="s">
        <v>295</v>
      </c>
      <c r="G404" s="5" t="s">
        <v>296</v>
      </c>
      <c r="I404" s="6">
        <v>-34861</v>
      </c>
      <c r="J404" s="62">
        <v>-23.714965986394599</v>
      </c>
      <c r="K404" s="62">
        <v>1470</v>
      </c>
      <c r="L404" s="62" t="s">
        <v>1550</v>
      </c>
      <c r="M404" s="100" t="s">
        <v>452</v>
      </c>
      <c r="N404" s="5" t="s">
        <v>464</v>
      </c>
      <c r="O404" s="34" t="s">
        <v>1551</v>
      </c>
      <c r="P404" s="5" t="s">
        <v>597</v>
      </c>
      <c r="Q404" s="5" t="s">
        <v>1552</v>
      </c>
      <c r="R404" s="5" t="s">
        <v>1585</v>
      </c>
      <c r="S404" s="5" t="s">
        <v>1554</v>
      </c>
      <c r="T404" s="5" t="s">
        <v>445</v>
      </c>
    </row>
    <row r="405" spans="6:20">
      <c r="F405" s="36" t="s">
        <v>295</v>
      </c>
      <c r="G405" s="5" t="s">
        <v>296</v>
      </c>
      <c r="I405" s="6">
        <v>-124948</v>
      </c>
      <c r="J405" s="62">
        <v>-84.998639455782296</v>
      </c>
      <c r="K405" s="62">
        <v>1470</v>
      </c>
      <c r="L405" s="62" t="s">
        <v>1550</v>
      </c>
      <c r="M405" s="100" t="s">
        <v>452</v>
      </c>
      <c r="N405" s="5" t="s">
        <v>464</v>
      </c>
      <c r="O405" s="34" t="s">
        <v>1551</v>
      </c>
      <c r="P405" s="5" t="s">
        <v>597</v>
      </c>
      <c r="Q405" s="5" t="s">
        <v>1552</v>
      </c>
      <c r="R405" s="5" t="s">
        <v>1586</v>
      </c>
      <c r="S405" s="5" t="s">
        <v>1554</v>
      </c>
      <c r="T405" s="5" t="s">
        <v>445</v>
      </c>
    </row>
    <row r="406" spans="6:20">
      <c r="F406" s="36" t="s">
        <v>295</v>
      </c>
      <c r="G406" s="5" t="s">
        <v>296</v>
      </c>
      <c r="I406" s="6">
        <v>-30898</v>
      </c>
      <c r="J406" s="62">
        <v>-21.019047619047601</v>
      </c>
      <c r="K406" s="62">
        <v>1470</v>
      </c>
      <c r="L406" s="62" t="s">
        <v>1550</v>
      </c>
      <c r="M406" s="100" t="s">
        <v>452</v>
      </c>
      <c r="N406" s="5" t="s">
        <v>464</v>
      </c>
      <c r="O406" s="34" t="s">
        <v>1551</v>
      </c>
      <c r="P406" s="5" t="s">
        <v>597</v>
      </c>
      <c r="Q406" s="5" t="s">
        <v>1552</v>
      </c>
      <c r="R406" s="5" t="s">
        <v>1587</v>
      </c>
      <c r="S406" s="5" t="s">
        <v>1554</v>
      </c>
      <c r="T406" s="5" t="s">
        <v>445</v>
      </c>
    </row>
    <row r="407" spans="6:20">
      <c r="F407" s="36" t="s">
        <v>295</v>
      </c>
      <c r="G407" s="5" t="s">
        <v>296</v>
      </c>
      <c r="I407" s="6">
        <v>-16500</v>
      </c>
      <c r="J407" s="62">
        <v>-11.2244897959184</v>
      </c>
      <c r="K407" s="62">
        <v>1470</v>
      </c>
      <c r="L407" s="62" t="s">
        <v>1550</v>
      </c>
      <c r="M407" s="100" t="s">
        <v>452</v>
      </c>
      <c r="N407" s="5" t="s">
        <v>464</v>
      </c>
      <c r="O407" s="34" t="s">
        <v>1551</v>
      </c>
      <c r="P407" s="5" t="s">
        <v>597</v>
      </c>
      <c r="Q407" s="5" t="s">
        <v>1552</v>
      </c>
      <c r="R407" s="5" t="s">
        <v>1588</v>
      </c>
      <c r="S407" s="5" t="s">
        <v>1554</v>
      </c>
      <c r="T407" s="5" t="s">
        <v>445</v>
      </c>
    </row>
    <row r="408" spans="6:20">
      <c r="F408" s="36" t="s">
        <v>295</v>
      </c>
      <c r="G408" s="5" t="s">
        <v>296</v>
      </c>
      <c r="I408" s="6">
        <v>-12420</v>
      </c>
      <c r="J408" s="62">
        <v>-8.3918918918918894</v>
      </c>
      <c r="K408" s="62">
        <v>1480</v>
      </c>
      <c r="L408" s="62" t="s">
        <v>1545</v>
      </c>
      <c r="M408" s="100" t="s">
        <v>452</v>
      </c>
      <c r="N408" s="5" t="s">
        <v>464</v>
      </c>
      <c r="O408" s="34" t="s">
        <v>1546</v>
      </c>
      <c r="P408" s="5" t="s">
        <v>1467</v>
      </c>
      <c r="Q408" s="5" t="s">
        <v>1547</v>
      </c>
      <c r="R408" s="5" t="s">
        <v>1589</v>
      </c>
      <c r="S408" s="5" t="s">
        <v>1549</v>
      </c>
      <c r="T408" s="5" t="s">
        <v>445</v>
      </c>
    </row>
    <row r="409" spans="6:20">
      <c r="F409" s="36" t="s">
        <v>295</v>
      </c>
      <c r="G409" s="5" t="s">
        <v>296</v>
      </c>
      <c r="I409" s="6">
        <v>-46465</v>
      </c>
      <c r="J409" s="62">
        <v>-31.395270270270299</v>
      </c>
      <c r="K409" s="62">
        <v>1480</v>
      </c>
      <c r="L409" s="62" t="s">
        <v>1545</v>
      </c>
      <c r="M409" s="100" t="s">
        <v>452</v>
      </c>
      <c r="N409" s="5" t="s">
        <v>464</v>
      </c>
      <c r="O409" s="34" t="s">
        <v>1546</v>
      </c>
      <c r="P409" s="5" t="s">
        <v>1467</v>
      </c>
      <c r="Q409" s="5" t="s">
        <v>1547</v>
      </c>
      <c r="R409" s="5" t="s">
        <v>1590</v>
      </c>
      <c r="S409" s="5" t="s">
        <v>1549</v>
      </c>
      <c r="T409" s="5" t="s">
        <v>445</v>
      </c>
    </row>
    <row r="410" spans="6:20">
      <c r="F410" s="36" t="s">
        <v>295</v>
      </c>
      <c r="G410" s="5" t="s">
        <v>296</v>
      </c>
      <c r="I410" s="6">
        <v>-34000</v>
      </c>
      <c r="J410" s="62">
        <v>-23.1292517006803</v>
      </c>
      <c r="K410" s="62">
        <v>1470</v>
      </c>
      <c r="L410" s="62" t="s">
        <v>1550</v>
      </c>
      <c r="M410" s="100" t="s">
        <v>452</v>
      </c>
      <c r="N410" s="5" t="s">
        <v>464</v>
      </c>
      <c r="O410" s="34" t="s">
        <v>1551</v>
      </c>
      <c r="P410" s="5" t="s">
        <v>597</v>
      </c>
      <c r="Q410" s="5" t="s">
        <v>1552</v>
      </c>
      <c r="R410" s="5" t="s">
        <v>1591</v>
      </c>
      <c r="S410" s="5" t="s">
        <v>1554</v>
      </c>
      <c r="T410" s="5" t="s">
        <v>445</v>
      </c>
    </row>
    <row r="411" spans="6:20">
      <c r="F411" s="36" t="s">
        <v>295</v>
      </c>
      <c r="G411" s="5" t="s">
        <v>296</v>
      </c>
      <c r="I411" s="6">
        <v>-30000</v>
      </c>
      <c r="J411" s="62">
        <v>-20.270270270270299</v>
      </c>
      <c r="K411" s="62">
        <v>1480</v>
      </c>
      <c r="L411" s="62" t="s">
        <v>1545</v>
      </c>
      <c r="M411" s="100" t="s">
        <v>452</v>
      </c>
      <c r="N411" s="5" t="s">
        <v>464</v>
      </c>
      <c r="O411" s="34" t="s">
        <v>1546</v>
      </c>
      <c r="P411" s="5" t="s">
        <v>1467</v>
      </c>
      <c r="Q411" s="5" t="s">
        <v>1547</v>
      </c>
      <c r="R411" s="5" t="s">
        <v>1592</v>
      </c>
      <c r="S411" s="5" t="s">
        <v>1549</v>
      </c>
      <c r="T411" s="5" t="s">
        <v>445</v>
      </c>
    </row>
    <row r="412" spans="6:20">
      <c r="F412" s="36" t="s">
        <v>295</v>
      </c>
      <c r="G412" s="5" t="s">
        <v>296</v>
      </c>
      <c r="I412" s="6">
        <v>-102200</v>
      </c>
      <c r="J412" s="62">
        <v>-69.054054054054006</v>
      </c>
      <c r="K412" s="62">
        <v>1480</v>
      </c>
      <c r="L412" s="62" t="s">
        <v>1545</v>
      </c>
      <c r="M412" s="100" t="s">
        <v>452</v>
      </c>
      <c r="N412" s="5" t="s">
        <v>464</v>
      </c>
      <c r="O412" s="34" t="s">
        <v>1546</v>
      </c>
      <c r="P412" s="5" t="s">
        <v>1467</v>
      </c>
      <c r="Q412" s="5" t="s">
        <v>1547</v>
      </c>
      <c r="R412" s="5" t="s">
        <v>1593</v>
      </c>
      <c r="S412" s="5" t="s">
        <v>1549</v>
      </c>
      <c r="T412" s="5" t="s">
        <v>445</v>
      </c>
    </row>
    <row r="413" spans="6:20">
      <c r="F413" s="36" t="s">
        <v>295</v>
      </c>
      <c r="G413" s="5" t="s">
        <v>296</v>
      </c>
      <c r="I413" s="6">
        <v>-162008</v>
      </c>
      <c r="J413" s="62">
        <v>-110.209523809524</v>
      </c>
      <c r="K413" s="62">
        <v>1470</v>
      </c>
      <c r="L413" s="62" t="s">
        <v>1550</v>
      </c>
      <c r="M413" s="100" t="s">
        <v>452</v>
      </c>
      <c r="N413" s="5" t="s">
        <v>464</v>
      </c>
      <c r="O413" s="34" t="s">
        <v>1551</v>
      </c>
      <c r="P413" s="5" t="s">
        <v>597</v>
      </c>
      <c r="Q413" s="5" t="s">
        <v>1552</v>
      </c>
      <c r="R413" s="5" t="s">
        <v>1594</v>
      </c>
      <c r="S413" s="5" t="s">
        <v>1554</v>
      </c>
      <c r="T413" s="5" t="s">
        <v>445</v>
      </c>
    </row>
    <row r="414" spans="6:20">
      <c r="F414" s="36" t="s">
        <v>295</v>
      </c>
      <c r="G414" s="5" t="s">
        <v>296</v>
      </c>
      <c r="I414" s="6">
        <v>-1008453</v>
      </c>
      <c r="J414" s="62">
        <v>-686.02244897959201</v>
      </c>
      <c r="K414" s="62">
        <v>1470</v>
      </c>
      <c r="L414" s="62" t="s">
        <v>1550</v>
      </c>
      <c r="M414" s="100" t="s">
        <v>452</v>
      </c>
      <c r="N414" s="5" t="s">
        <v>464</v>
      </c>
      <c r="O414" s="34" t="s">
        <v>1551</v>
      </c>
      <c r="P414" s="5" t="s">
        <v>597</v>
      </c>
      <c r="Q414" s="5" t="s">
        <v>1552</v>
      </c>
      <c r="R414" s="5" t="s">
        <v>1595</v>
      </c>
      <c r="S414" s="5" t="s">
        <v>1554</v>
      </c>
      <c r="T414" s="5" t="s">
        <v>445</v>
      </c>
    </row>
    <row r="415" spans="6:20">
      <c r="F415" s="36" t="s">
        <v>295</v>
      </c>
      <c r="G415" s="5" t="s">
        <v>296</v>
      </c>
      <c r="I415" s="6">
        <v>-62955</v>
      </c>
      <c r="J415" s="62">
        <v>-42.826530612244902</v>
      </c>
      <c r="K415" s="62">
        <v>1470</v>
      </c>
      <c r="L415" s="62" t="s">
        <v>1550</v>
      </c>
      <c r="M415" s="100" t="s">
        <v>452</v>
      </c>
      <c r="N415" s="5" t="s">
        <v>464</v>
      </c>
      <c r="O415" s="34" t="s">
        <v>1551</v>
      </c>
      <c r="P415" s="5" t="s">
        <v>597</v>
      </c>
      <c r="Q415" s="5" t="s">
        <v>1552</v>
      </c>
      <c r="R415" s="5" t="s">
        <v>1596</v>
      </c>
      <c r="S415" s="5" t="s">
        <v>1554</v>
      </c>
      <c r="T415" s="5" t="s">
        <v>445</v>
      </c>
    </row>
    <row r="416" spans="6:20">
      <c r="F416" s="36" t="s">
        <v>295</v>
      </c>
      <c r="G416" s="5" t="s">
        <v>296</v>
      </c>
      <c r="I416" s="6">
        <v>-41000</v>
      </c>
      <c r="J416" s="62">
        <v>-27.702702702702702</v>
      </c>
      <c r="K416" s="62">
        <v>1480</v>
      </c>
      <c r="L416" s="62" t="s">
        <v>1545</v>
      </c>
      <c r="M416" s="100" t="s">
        <v>452</v>
      </c>
      <c r="N416" s="5" t="s">
        <v>464</v>
      </c>
      <c r="O416" s="34" t="s">
        <v>1546</v>
      </c>
      <c r="P416" s="5" t="s">
        <v>1467</v>
      </c>
      <c r="Q416" s="5" t="s">
        <v>1547</v>
      </c>
      <c r="R416" s="5" t="s">
        <v>1597</v>
      </c>
      <c r="S416" s="5" t="s">
        <v>1549</v>
      </c>
      <c r="T416" s="5" t="s">
        <v>445</v>
      </c>
    </row>
    <row r="417" spans="6:20">
      <c r="F417" s="36" t="s">
        <v>295</v>
      </c>
      <c r="G417" s="5" t="s">
        <v>296</v>
      </c>
      <c r="I417" s="6">
        <v>-4000</v>
      </c>
      <c r="J417" s="62">
        <v>-2.72108843537415</v>
      </c>
      <c r="K417" s="62">
        <v>1470</v>
      </c>
      <c r="L417" s="62" t="s">
        <v>1550</v>
      </c>
      <c r="M417" s="100" t="s">
        <v>452</v>
      </c>
      <c r="N417" s="5" t="s">
        <v>464</v>
      </c>
      <c r="O417" s="34" t="s">
        <v>1551</v>
      </c>
      <c r="P417" s="5" t="s">
        <v>597</v>
      </c>
      <c r="Q417" s="5" t="s">
        <v>1552</v>
      </c>
      <c r="R417" s="5" t="s">
        <v>641</v>
      </c>
      <c r="S417" s="5" t="s">
        <v>1554</v>
      </c>
      <c r="T417" s="5" t="s">
        <v>445</v>
      </c>
    </row>
    <row r="418" spans="6:20">
      <c r="F418" s="36" t="s">
        <v>295</v>
      </c>
      <c r="G418" s="5" t="s">
        <v>296</v>
      </c>
      <c r="I418" s="6">
        <v>-34000</v>
      </c>
      <c r="J418" s="62">
        <v>-23.1292517006803</v>
      </c>
      <c r="K418" s="62">
        <v>1470</v>
      </c>
      <c r="L418" s="62" t="s">
        <v>1550</v>
      </c>
      <c r="M418" s="100" t="s">
        <v>452</v>
      </c>
      <c r="N418" s="5" t="s">
        <v>464</v>
      </c>
      <c r="O418" s="34" t="s">
        <v>1551</v>
      </c>
      <c r="P418" s="5" t="s">
        <v>597</v>
      </c>
      <c r="Q418" s="5" t="s">
        <v>1552</v>
      </c>
      <c r="R418" s="5" t="s">
        <v>1598</v>
      </c>
      <c r="S418" s="5" t="s">
        <v>1554</v>
      </c>
      <c r="T418" s="5" t="s">
        <v>445</v>
      </c>
    </row>
    <row r="419" spans="6:20">
      <c r="F419" s="36" t="s">
        <v>295</v>
      </c>
      <c r="G419" s="5" t="s">
        <v>296</v>
      </c>
      <c r="I419" s="6">
        <v>-18000</v>
      </c>
      <c r="J419" s="62">
        <v>-12.244897959183699</v>
      </c>
      <c r="K419" s="62">
        <v>1470</v>
      </c>
      <c r="L419" s="62" t="s">
        <v>1550</v>
      </c>
      <c r="M419" s="100" t="s">
        <v>452</v>
      </c>
      <c r="N419" s="5" t="s">
        <v>464</v>
      </c>
      <c r="O419" s="34" t="s">
        <v>1551</v>
      </c>
      <c r="P419" s="5" t="s">
        <v>597</v>
      </c>
      <c r="Q419" s="5" t="s">
        <v>1552</v>
      </c>
      <c r="R419" s="5" t="s">
        <v>1021</v>
      </c>
      <c r="S419" s="5" t="s">
        <v>1554</v>
      </c>
      <c r="T419" s="5" t="s">
        <v>445</v>
      </c>
    </row>
    <row r="420" spans="6:20">
      <c r="F420" s="36" t="s">
        <v>295</v>
      </c>
      <c r="G420" s="5" t="s">
        <v>296</v>
      </c>
      <c r="I420" s="6">
        <v>-36000</v>
      </c>
      <c r="J420" s="62">
        <v>-24.324324324324301</v>
      </c>
      <c r="K420" s="62">
        <v>1480</v>
      </c>
      <c r="L420" s="62" t="s">
        <v>1545</v>
      </c>
      <c r="M420" s="100" t="s">
        <v>452</v>
      </c>
      <c r="N420" s="5" t="s">
        <v>464</v>
      </c>
      <c r="O420" s="34" t="s">
        <v>1546</v>
      </c>
      <c r="P420" s="5" t="s">
        <v>1467</v>
      </c>
      <c r="Q420" s="5" t="s">
        <v>1547</v>
      </c>
      <c r="R420" s="5" t="s">
        <v>1599</v>
      </c>
      <c r="S420" s="5" t="s">
        <v>1549</v>
      </c>
      <c r="T420" s="5" t="s">
        <v>445</v>
      </c>
    </row>
    <row r="421" spans="6:20">
      <c r="F421" s="36" t="s">
        <v>295</v>
      </c>
      <c r="G421" s="5" t="s">
        <v>296</v>
      </c>
      <c r="I421" s="6">
        <v>-21000</v>
      </c>
      <c r="J421" s="62">
        <v>-14.285714285714301</v>
      </c>
      <c r="K421" s="62">
        <v>1470</v>
      </c>
      <c r="L421" s="62" t="s">
        <v>1550</v>
      </c>
      <c r="M421" s="100" t="s">
        <v>452</v>
      </c>
      <c r="N421" s="5" t="s">
        <v>464</v>
      </c>
      <c r="O421" s="34" t="s">
        <v>1551</v>
      </c>
      <c r="P421" s="5" t="s">
        <v>597</v>
      </c>
      <c r="Q421" s="5" t="s">
        <v>1552</v>
      </c>
      <c r="R421" s="5" t="s">
        <v>764</v>
      </c>
      <c r="S421" s="5" t="s">
        <v>1554</v>
      </c>
      <c r="T421" s="5" t="s">
        <v>445</v>
      </c>
    </row>
    <row r="422" spans="6:20">
      <c r="F422" s="36" t="s">
        <v>295</v>
      </c>
      <c r="G422" s="5" t="s">
        <v>296</v>
      </c>
      <c r="I422" s="6">
        <v>-56000</v>
      </c>
      <c r="J422" s="62">
        <v>-37.837837837837803</v>
      </c>
      <c r="K422" s="62">
        <v>1480</v>
      </c>
      <c r="L422" s="62" t="s">
        <v>1545</v>
      </c>
      <c r="M422" s="100" t="s">
        <v>452</v>
      </c>
      <c r="N422" s="5" t="s">
        <v>464</v>
      </c>
      <c r="O422" s="34" t="s">
        <v>1546</v>
      </c>
      <c r="P422" s="5" t="s">
        <v>1467</v>
      </c>
      <c r="Q422" s="5" t="s">
        <v>1547</v>
      </c>
      <c r="R422" s="5" t="s">
        <v>764</v>
      </c>
      <c r="S422" s="5" t="s">
        <v>1549</v>
      </c>
      <c r="T422" s="5" t="s">
        <v>445</v>
      </c>
    </row>
    <row r="423" spans="6:20">
      <c r="F423" s="36" t="s">
        <v>295</v>
      </c>
      <c r="G423" s="5" t="s">
        <v>296</v>
      </c>
      <c r="I423" s="6">
        <v>-14000</v>
      </c>
      <c r="J423" s="62">
        <v>-9.4594594594594597</v>
      </c>
      <c r="K423" s="62">
        <v>1480</v>
      </c>
      <c r="L423" s="62" t="s">
        <v>1545</v>
      </c>
      <c r="M423" s="100" t="s">
        <v>452</v>
      </c>
      <c r="N423" s="5" t="s">
        <v>464</v>
      </c>
      <c r="O423" s="34" t="s">
        <v>1546</v>
      </c>
      <c r="P423" s="5" t="s">
        <v>1467</v>
      </c>
      <c r="Q423" s="5" t="s">
        <v>1547</v>
      </c>
      <c r="R423" s="5" t="s">
        <v>764</v>
      </c>
      <c r="S423" s="5" t="s">
        <v>1549</v>
      </c>
      <c r="T423" s="5" t="s">
        <v>445</v>
      </c>
    </row>
    <row r="424" spans="6:20">
      <c r="F424" s="36" t="s">
        <v>295</v>
      </c>
      <c r="G424" s="5" t="s">
        <v>296</v>
      </c>
      <c r="I424" s="6">
        <v>-35000</v>
      </c>
      <c r="J424" s="62">
        <v>-23.648648648648599</v>
      </c>
      <c r="K424" s="62">
        <v>1480</v>
      </c>
      <c r="L424" s="62" t="s">
        <v>1545</v>
      </c>
      <c r="M424" s="100" t="s">
        <v>452</v>
      </c>
      <c r="N424" s="5" t="s">
        <v>464</v>
      </c>
      <c r="O424" s="34" t="s">
        <v>1546</v>
      </c>
      <c r="P424" s="5" t="s">
        <v>1467</v>
      </c>
      <c r="Q424" s="5" t="s">
        <v>1547</v>
      </c>
      <c r="R424" s="5" t="s">
        <v>764</v>
      </c>
      <c r="S424" s="5" t="s">
        <v>1549</v>
      </c>
      <c r="T424" s="5" t="s">
        <v>445</v>
      </c>
    </row>
    <row r="425" spans="6:20">
      <c r="F425" s="36" t="s">
        <v>295</v>
      </c>
      <c r="G425" s="5" t="s">
        <v>296</v>
      </c>
      <c r="I425" s="6">
        <v>-7000</v>
      </c>
      <c r="J425" s="62">
        <v>-4.7297297297297298</v>
      </c>
      <c r="K425" s="62">
        <v>1480</v>
      </c>
      <c r="L425" s="62" t="s">
        <v>1545</v>
      </c>
      <c r="M425" s="100" t="s">
        <v>452</v>
      </c>
      <c r="N425" s="5" t="s">
        <v>464</v>
      </c>
      <c r="O425" s="34" t="s">
        <v>1546</v>
      </c>
      <c r="P425" s="5" t="s">
        <v>1467</v>
      </c>
      <c r="Q425" s="5" t="s">
        <v>1547</v>
      </c>
      <c r="R425" s="5" t="s">
        <v>764</v>
      </c>
      <c r="S425" s="5" t="s">
        <v>1549</v>
      </c>
      <c r="T425" s="5" t="s">
        <v>445</v>
      </c>
    </row>
    <row r="426" spans="6:20">
      <c r="F426" s="36" t="s">
        <v>295</v>
      </c>
      <c r="G426" s="5" t="s">
        <v>296</v>
      </c>
      <c r="I426" s="6">
        <v>-32000</v>
      </c>
      <c r="J426" s="62">
        <v>-21.6216216216216</v>
      </c>
      <c r="K426" s="62">
        <v>1480</v>
      </c>
      <c r="L426" s="62" t="s">
        <v>1545</v>
      </c>
      <c r="M426" s="100" t="s">
        <v>452</v>
      </c>
      <c r="N426" s="5" t="s">
        <v>464</v>
      </c>
      <c r="O426" s="34" t="s">
        <v>1546</v>
      </c>
      <c r="P426" s="5" t="s">
        <v>1467</v>
      </c>
      <c r="Q426" s="5" t="s">
        <v>1547</v>
      </c>
      <c r="R426" s="5" t="s">
        <v>764</v>
      </c>
      <c r="S426" s="5" t="s">
        <v>1549</v>
      </c>
      <c r="T426" s="5" t="s">
        <v>445</v>
      </c>
    </row>
    <row r="427" spans="6:20">
      <c r="F427" s="36" t="s">
        <v>295</v>
      </c>
      <c r="G427" s="5" t="s">
        <v>296</v>
      </c>
      <c r="I427" s="6">
        <v>-64000</v>
      </c>
      <c r="J427" s="62">
        <v>-43.5374149659864</v>
      </c>
      <c r="K427" s="62">
        <v>1470</v>
      </c>
      <c r="L427" s="62" t="s">
        <v>1550</v>
      </c>
      <c r="M427" s="100" t="s">
        <v>452</v>
      </c>
      <c r="N427" s="5" t="s">
        <v>464</v>
      </c>
      <c r="O427" s="34" t="s">
        <v>1551</v>
      </c>
      <c r="P427" s="5" t="s">
        <v>597</v>
      </c>
      <c r="Q427" s="5" t="s">
        <v>1552</v>
      </c>
      <c r="R427" s="5" t="s">
        <v>1600</v>
      </c>
      <c r="S427" s="5" t="s">
        <v>1554</v>
      </c>
      <c r="T427" s="5" t="s">
        <v>445</v>
      </c>
    </row>
    <row r="428" spans="6:20">
      <c r="F428" s="36" t="s">
        <v>295</v>
      </c>
      <c r="G428" s="5" t="s">
        <v>296</v>
      </c>
      <c r="I428" s="6">
        <v>-25500</v>
      </c>
      <c r="J428" s="62">
        <v>-17.229729729729701</v>
      </c>
      <c r="K428" s="62">
        <v>1480</v>
      </c>
      <c r="L428" s="62" t="s">
        <v>1465</v>
      </c>
      <c r="M428" s="100" t="s">
        <v>452</v>
      </c>
      <c r="N428" s="5" t="s">
        <v>464</v>
      </c>
      <c r="O428" s="34" t="s">
        <v>1561</v>
      </c>
      <c r="P428" s="5" t="s">
        <v>1467</v>
      </c>
      <c r="Q428" s="5" t="s">
        <v>1562</v>
      </c>
      <c r="R428" s="5" t="s">
        <v>1601</v>
      </c>
      <c r="S428" s="5" t="s">
        <v>1564</v>
      </c>
      <c r="T428" s="5" t="s">
        <v>445</v>
      </c>
    </row>
    <row r="429" spans="6:20">
      <c r="F429" s="36" t="s">
        <v>295</v>
      </c>
      <c r="G429" s="5" t="s">
        <v>296</v>
      </c>
      <c r="I429" s="6">
        <v>8500000</v>
      </c>
      <c r="J429" s="62">
        <v>5782.3129251700702</v>
      </c>
      <c r="K429" s="62">
        <v>1470</v>
      </c>
      <c r="L429" s="62" t="s">
        <v>1550</v>
      </c>
      <c r="M429" s="100" t="s">
        <v>452</v>
      </c>
      <c r="N429" s="5" t="s">
        <v>464</v>
      </c>
      <c r="O429" s="34" t="s">
        <v>1602</v>
      </c>
      <c r="P429" s="5" t="s">
        <v>597</v>
      </c>
      <c r="Q429" s="5" t="s">
        <v>1603</v>
      </c>
      <c r="R429" s="5" t="s">
        <v>563</v>
      </c>
      <c r="S429" s="5" t="s">
        <v>1604</v>
      </c>
      <c r="T429" s="5" t="s">
        <v>445</v>
      </c>
    </row>
    <row r="430" spans="6:20">
      <c r="F430" s="36" t="s">
        <v>295</v>
      </c>
      <c r="G430" s="5" t="s">
        <v>296</v>
      </c>
      <c r="I430" s="6">
        <v>7070000</v>
      </c>
      <c r="J430" s="62">
        <v>4777.0270270270303</v>
      </c>
      <c r="K430" s="62">
        <v>1480</v>
      </c>
      <c r="L430" s="62" t="s">
        <v>1465</v>
      </c>
      <c r="M430" s="100" t="s">
        <v>452</v>
      </c>
      <c r="N430" s="5" t="s">
        <v>464</v>
      </c>
      <c r="O430" s="34" t="s">
        <v>1608</v>
      </c>
      <c r="P430" s="5" t="s">
        <v>1467</v>
      </c>
      <c r="Q430" s="5" t="s">
        <v>1609</v>
      </c>
      <c r="R430" s="5" t="s">
        <v>563</v>
      </c>
      <c r="S430" s="5" t="s">
        <v>1610</v>
      </c>
      <c r="T430" s="5" t="s">
        <v>445</v>
      </c>
    </row>
    <row r="431" spans="6:20">
      <c r="F431" s="36" t="s">
        <v>295</v>
      </c>
      <c r="G431" s="5" t="s">
        <v>296</v>
      </c>
      <c r="I431" s="6">
        <v>-40000</v>
      </c>
      <c r="J431" s="62">
        <v>-27.027027027027</v>
      </c>
      <c r="K431" s="62">
        <v>1480</v>
      </c>
      <c r="L431" s="62" t="s">
        <v>1545</v>
      </c>
      <c r="M431" s="100" t="s">
        <v>452</v>
      </c>
      <c r="N431" s="5" t="s">
        <v>464</v>
      </c>
      <c r="O431" s="34" t="s">
        <v>1546</v>
      </c>
      <c r="P431" s="5" t="s">
        <v>1467</v>
      </c>
      <c r="Q431" s="5" t="s">
        <v>1547</v>
      </c>
      <c r="R431" s="5" t="s">
        <v>1614</v>
      </c>
      <c r="S431" s="5" t="s">
        <v>1549</v>
      </c>
      <c r="T431" s="5" t="s">
        <v>445</v>
      </c>
    </row>
    <row r="432" spans="6:20">
      <c r="F432" s="36" t="s">
        <v>295</v>
      </c>
      <c r="G432" s="5" t="s">
        <v>296</v>
      </c>
      <c r="I432" s="6">
        <v>-8000</v>
      </c>
      <c r="J432" s="62">
        <v>-5.4054054054054097</v>
      </c>
      <c r="K432" s="62">
        <v>1480</v>
      </c>
      <c r="L432" s="62" t="s">
        <v>1545</v>
      </c>
      <c r="M432" s="100" t="s">
        <v>452</v>
      </c>
      <c r="N432" s="5" t="s">
        <v>464</v>
      </c>
      <c r="O432" s="34" t="s">
        <v>1546</v>
      </c>
      <c r="P432" s="5" t="s">
        <v>1467</v>
      </c>
      <c r="Q432" s="5" t="s">
        <v>1547</v>
      </c>
      <c r="R432" s="5" t="s">
        <v>1615</v>
      </c>
      <c r="S432" s="5" t="s">
        <v>1549</v>
      </c>
      <c r="T432" s="5" t="s">
        <v>445</v>
      </c>
    </row>
    <row r="433" spans="6:20">
      <c r="F433" s="36" t="s">
        <v>295</v>
      </c>
      <c r="G433" s="5" t="s">
        <v>296</v>
      </c>
      <c r="I433" s="6">
        <v>-6000</v>
      </c>
      <c r="J433" s="62">
        <v>-4.0816326530612201</v>
      </c>
      <c r="K433" s="62">
        <v>1470</v>
      </c>
      <c r="L433" s="62" t="s">
        <v>1550</v>
      </c>
      <c r="M433" s="100" t="s">
        <v>452</v>
      </c>
      <c r="N433" s="5" t="s">
        <v>464</v>
      </c>
      <c r="O433" s="34" t="s">
        <v>1551</v>
      </c>
      <c r="P433" s="5" t="s">
        <v>597</v>
      </c>
      <c r="Q433" s="5" t="s">
        <v>1552</v>
      </c>
      <c r="R433" s="5" t="s">
        <v>1616</v>
      </c>
      <c r="S433" s="5" t="s">
        <v>1554</v>
      </c>
      <c r="T433" s="5" t="s">
        <v>445</v>
      </c>
    </row>
    <row r="434" spans="6:20">
      <c r="F434" s="36" t="s">
        <v>295</v>
      </c>
      <c r="G434" s="5" t="s">
        <v>296</v>
      </c>
      <c r="I434" s="6">
        <v>-74500</v>
      </c>
      <c r="J434" s="62">
        <v>-50.337837837837803</v>
      </c>
      <c r="K434" s="62">
        <v>1480</v>
      </c>
      <c r="L434" s="62" t="s">
        <v>1545</v>
      </c>
      <c r="M434" s="100" t="s">
        <v>452</v>
      </c>
      <c r="N434" s="5" t="s">
        <v>464</v>
      </c>
      <c r="O434" s="34" t="s">
        <v>1546</v>
      </c>
      <c r="P434" s="5" t="s">
        <v>1467</v>
      </c>
      <c r="Q434" s="5" t="s">
        <v>1547</v>
      </c>
      <c r="R434" s="5" t="s">
        <v>1617</v>
      </c>
      <c r="S434" s="5" t="s">
        <v>1549</v>
      </c>
      <c r="T434" s="5" t="s">
        <v>445</v>
      </c>
    </row>
    <row r="435" spans="6:20">
      <c r="F435" s="36" t="s">
        <v>295</v>
      </c>
      <c r="G435" s="5" t="s">
        <v>296</v>
      </c>
      <c r="I435" s="6">
        <v>-11500</v>
      </c>
      <c r="J435" s="62">
        <v>-7.8231292517006796</v>
      </c>
      <c r="K435" s="62">
        <v>1470</v>
      </c>
      <c r="L435" s="62" t="s">
        <v>1550</v>
      </c>
      <c r="M435" s="100" t="s">
        <v>452</v>
      </c>
      <c r="N435" s="5" t="s">
        <v>464</v>
      </c>
      <c r="O435" s="34" t="s">
        <v>1551</v>
      </c>
      <c r="P435" s="5" t="s">
        <v>597</v>
      </c>
      <c r="Q435" s="5" t="s">
        <v>1552</v>
      </c>
      <c r="R435" s="5" t="s">
        <v>1618</v>
      </c>
      <c r="S435" s="5" t="s">
        <v>1554</v>
      </c>
      <c r="T435" s="5" t="s">
        <v>445</v>
      </c>
    </row>
    <row r="436" spans="6:20">
      <c r="F436" s="36" t="s">
        <v>295</v>
      </c>
      <c r="G436" s="5" t="s">
        <v>296</v>
      </c>
      <c r="I436" s="6">
        <v>-300000</v>
      </c>
      <c r="J436" s="62">
        <v>-202.70270270270299</v>
      </c>
      <c r="K436" s="62">
        <v>1480</v>
      </c>
      <c r="L436" s="62" t="s">
        <v>1545</v>
      </c>
      <c r="M436" s="100" t="s">
        <v>452</v>
      </c>
      <c r="N436" s="5" t="s">
        <v>464</v>
      </c>
      <c r="O436" s="34" t="s">
        <v>1546</v>
      </c>
      <c r="P436" s="5" t="s">
        <v>1467</v>
      </c>
      <c r="Q436" s="5" t="s">
        <v>1547</v>
      </c>
      <c r="R436" s="5" t="s">
        <v>1623</v>
      </c>
      <c r="S436" s="5" t="s">
        <v>1549</v>
      </c>
      <c r="T436" s="5" t="s">
        <v>445</v>
      </c>
    </row>
    <row r="437" spans="6:20">
      <c r="F437" s="36" t="s">
        <v>295</v>
      </c>
      <c r="G437" s="5" t="s">
        <v>296</v>
      </c>
      <c r="I437" s="6">
        <v>-16415</v>
      </c>
      <c r="J437" s="62">
        <v>-11.1666666666667</v>
      </c>
      <c r="K437" s="62">
        <v>1470</v>
      </c>
      <c r="L437" s="62" t="s">
        <v>1550</v>
      </c>
      <c r="M437" s="100" t="s">
        <v>452</v>
      </c>
      <c r="N437" s="5" t="s">
        <v>464</v>
      </c>
      <c r="O437" s="34" t="s">
        <v>1551</v>
      </c>
      <c r="P437" s="5" t="s">
        <v>597</v>
      </c>
      <c r="Q437" s="5" t="s">
        <v>1552</v>
      </c>
      <c r="R437" s="5" t="s">
        <v>1625</v>
      </c>
      <c r="S437" s="5" t="s">
        <v>1554</v>
      </c>
      <c r="T437" s="5" t="s">
        <v>445</v>
      </c>
    </row>
    <row r="438" spans="6:20">
      <c r="F438" s="36" t="s">
        <v>295</v>
      </c>
      <c r="G438" s="5" t="s">
        <v>296</v>
      </c>
      <c r="I438" s="6">
        <v>-20475</v>
      </c>
      <c r="J438" s="62">
        <v>-13.9285714285714</v>
      </c>
      <c r="K438" s="62">
        <v>1470</v>
      </c>
      <c r="L438" s="62" t="s">
        <v>1550</v>
      </c>
      <c r="M438" s="100" t="s">
        <v>452</v>
      </c>
      <c r="N438" s="5" t="s">
        <v>464</v>
      </c>
      <c r="O438" s="34" t="s">
        <v>1551</v>
      </c>
      <c r="P438" s="5" t="s">
        <v>597</v>
      </c>
      <c r="Q438" s="5" t="s">
        <v>1552</v>
      </c>
      <c r="R438" s="5" t="s">
        <v>1626</v>
      </c>
      <c r="S438" s="5" t="s">
        <v>1554</v>
      </c>
      <c r="T438" s="5" t="s">
        <v>445</v>
      </c>
    </row>
    <row r="439" spans="6:20">
      <c r="F439" s="36" t="s">
        <v>295</v>
      </c>
      <c r="G439" s="5" t="s">
        <v>296</v>
      </c>
      <c r="I439" s="6">
        <v>-21200</v>
      </c>
      <c r="J439" s="62">
        <v>-14.421768707483</v>
      </c>
      <c r="K439" s="62">
        <v>1470</v>
      </c>
      <c r="L439" s="62" t="s">
        <v>1550</v>
      </c>
      <c r="M439" s="100" t="s">
        <v>452</v>
      </c>
      <c r="N439" s="5" t="s">
        <v>464</v>
      </c>
      <c r="O439" s="34" t="s">
        <v>1551</v>
      </c>
      <c r="P439" s="5" t="s">
        <v>597</v>
      </c>
      <c r="Q439" s="5" t="s">
        <v>1552</v>
      </c>
      <c r="R439" s="5" t="s">
        <v>1627</v>
      </c>
      <c r="S439" s="5" t="s">
        <v>1554</v>
      </c>
      <c r="T439" s="5" t="s">
        <v>445</v>
      </c>
    </row>
    <row r="440" spans="6:20">
      <c r="F440" s="36" t="s">
        <v>295</v>
      </c>
      <c r="G440" s="5" t="s">
        <v>296</v>
      </c>
      <c r="I440" s="6">
        <v>-20000</v>
      </c>
      <c r="J440" s="62">
        <v>-13.5135135135135</v>
      </c>
      <c r="K440" s="62">
        <v>1480</v>
      </c>
      <c r="L440" s="62" t="s">
        <v>1545</v>
      </c>
      <c r="M440" s="100" t="s">
        <v>452</v>
      </c>
      <c r="N440" s="5" t="s">
        <v>464</v>
      </c>
      <c r="O440" s="34" t="s">
        <v>1546</v>
      </c>
      <c r="P440" s="5" t="s">
        <v>1467</v>
      </c>
      <c r="Q440" s="5" t="s">
        <v>1547</v>
      </c>
      <c r="R440" s="5" t="s">
        <v>1628</v>
      </c>
      <c r="S440" s="5" t="s">
        <v>1549</v>
      </c>
      <c r="T440" s="5" t="s">
        <v>445</v>
      </c>
    </row>
    <row r="441" spans="6:20">
      <c r="F441" s="36" t="s">
        <v>295</v>
      </c>
      <c r="G441" s="5" t="s">
        <v>296</v>
      </c>
      <c r="I441" s="6">
        <v>-63607</v>
      </c>
      <c r="J441" s="62">
        <v>-42.9777027027027</v>
      </c>
      <c r="K441" s="62">
        <v>1480</v>
      </c>
      <c r="L441" s="62" t="s">
        <v>1545</v>
      </c>
      <c r="M441" s="100" t="s">
        <v>452</v>
      </c>
      <c r="N441" s="5" t="s">
        <v>464</v>
      </c>
      <c r="O441" s="34" t="s">
        <v>1546</v>
      </c>
      <c r="P441" s="5" t="s">
        <v>1467</v>
      </c>
      <c r="Q441" s="5" t="s">
        <v>1547</v>
      </c>
      <c r="R441" s="5" t="s">
        <v>491</v>
      </c>
      <c r="S441" s="5" t="s">
        <v>1549</v>
      </c>
      <c r="T441" s="5" t="s">
        <v>445</v>
      </c>
    </row>
    <row r="442" spans="6:20">
      <c r="F442" s="36" t="s">
        <v>295</v>
      </c>
      <c r="G442" s="5" t="s">
        <v>296</v>
      </c>
      <c r="I442" s="6">
        <v>-25000</v>
      </c>
      <c r="J442" s="62">
        <v>-16.891891891891898</v>
      </c>
      <c r="K442" s="62">
        <v>1480</v>
      </c>
      <c r="L442" s="62" t="s">
        <v>1545</v>
      </c>
      <c r="M442" s="100" t="s">
        <v>452</v>
      </c>
      <c r="N442" s="5" t="s">
        <v>464</v>
      </c>
      <c r="O442" s="34" t="s">
        <v>1546</v>
      </c>
      <c r="P442" s="5" t="s">
        <v>1467</v>
      </c>
      <c r="Q442" s="5" t="s">
        <v>1547</v>
      </c>
      <c r="R442" s="5" t="s">
        <v>491</v>
      </c>
      <c r="S442" s="5" t="s">
        <v>1549</v>
      </c>
      <c r="T442" s="5" t="s">
        <v>445</v>
      </c>
    </row>
    <row r="443" spans="6:20">
      <c r="F443" s="36" t="s">
        <v>295</v>
      </c>
      <c r="G443" s="5" t="s">
        <v>296</v>
      </c>
      <c r="I443" s="6">
        <v>-71000</v>
      </c>
      <c r="J443" s="62">
        <v>-47.972972972972997</v>
      </c>
      <c r="K443" s="62">
        <v>1480</v>
      </c>
      <c r="L443" s="62" t="s">
        <v>1465</v>
      </c>
      <c r="M443" s="100" t="s">
        <v>452</v>
      </c>
      <c r="N443" s="5" t="s">
        <v>464</v>
      </c>
      <c r="O443" s="34" t="s">
        <v>1561</v>
      </c>
      <c r="P443" s="5" t="s">
        <v>1467</v>
      </c>
      <c r="Q443" s="5" t="s">
        <v>1562</v>
      </c>
      <c r="R443" s="5" t="s">
        <v>1629</v>
      </c>
      <c r="S443" s="5" t="s">
        <v>1564</v>
      </c>
      <c r="T443" s="5" t="s">
        <v>445</v>
      </c>
    </row>
    <row r="444" spans="6:20">
      <c r="F444" s="36" t="s">
        <v>295</v>
      </c>
      <c r="G444" s="5" t="s">
        <v>296</v>
      </c>
      <c r="I444" s="6">
        <v>-21500</v>
      </c>
      <c r="J444" s="62">
        <v>-14.527027027027</v>
      </c>
      <c r="K444" s="62">
        <v>1480</v>
      </c>
      <c r="L444" s="62" t="s">
        <v>1545</v>
      </c>
      <c r="M444" s="100" t="s">
        <v>452</v>
      </c>
      <c r="N444" s="5" t="s">
        <v>464</v>
      </c>
      <c r="O444" s="34" t="s">
        <v>1546</v>
      </c>
      <c r="P444" s="5" t="s">
        <v>1467</v>
      </c>
      <c r="Q444" s="5" t="s">
        <v>1547</v>
      </c>
      <c r="R444" s="5" t="s">
        <v>1293</v>
      </c>
      <c r="S444" s="5" t="s">
        <v>1549</v>
      </c>
      <c r="T444" s="5" t="s">
        <v>445</v>
      </c>
    </row>
    <row r="445" spans="6:20">
      <c r="F445" s="36" t="s">
        <v>295</v>
      </c>
      <c r="G445" s="5" t="s">
        <v>296</v>
      </c>
      <c r="I445" s="6">
        <v>-57000</v>
      </c>
      <c r="J445" s="62">
        <v>-38.513513513513502</v>
      </c>
      <c r="K445" s="62">
        <v>1480</v>
      </c>
      <c r="L445" s="62" t="s">
        <v>1545</v>
      </c>
      <c r="M445" s="100" t="s">
        <v>452</v>
      </c>
      <c r="N445" s="5" t="s">
        <v>464</v>
      </c>
      <c r="O445" s="34" t="s">
        <v>1546</v>
      </c>
      <c r="P445" s="5" t="s">
        <v>1467</v>
      </c>
      <c r="Q445" s="5" t="s">
        <v>1547</v>
      </c>
      <c r="R445" s="5" t="s">
        <v>1293</v>
      </c>
      <c r="S445" s="5" t="s">
        <v>1549</v>
      </c>
      <c r="T445" s="5" t="s">
        <v>445</v>
      </c>
    </row>
    <row r="446" spans="6:20">
      <c r="F446" s="36" t="s">
        <v>295</v>
      </c>
      <c r="G446" s="5" t="s">
        <v>296</v>
      </c>
      <c r="I446" s="6">
        <v>-130000</v>
      </c>
      <c r="J446" s="62">
        <v>-87.837837837837796</v>
      </c>
      <c r="K446" s="62">
        <v>1480</v>
      </c>
      <c r="L446" s="62" t="s">
        <v>1545</v>
      </c>
      <c r="M446" s="100" t="s">
        <v>452</v>
      </c>
      <c r="N446" s="5" t="s">
        <v>464</v>
      </c>
      <c r="O446" s="34" t="s">
        <v>1546</v>
      </c>
      <c r="P446" s="5" t="s">
        <v>1467</v>
      </c>
      <c r="Q446" s="5" t="s">
        <v>1547</v>
      </c>
      <c r="R446" s="5" t="s">
        <v>1293</v>
      </c>
      <c r="S446" s="5" t="s">
        <v>1549</v>
      </c>
      <c r="T446" s="5" t="s">
        <v>445</v>
      </c>
    </row>
    <row r="447" spans="6:20">
      <c r="F447" s="36" t="s">
        <v>295</v>
      </c>
      <c r="G447" s="5" t="s">
        <v>296</v>
      </c>
      <c r="I447" s="6">
        <v>-114700</v>
      </c>
      <c r="J447" s="62">
        <v>-77.5</v>
      </c>
      <c r="K447" s="62">
        <v>1480</v>
      </c>
      <c r="L447" s="62" t="s">
        <v>1545</v>
      </c>
      <c r="M447" s="100" t="s">
        <v>452</v>
      </c>
      <c r="N447" s="5" t="s">
        <v>464</v>
      </c>
      <c r="O447" s="34" t="s">
        <v>1546</v>
      </c>
      <c r="P447" s="5" t="s">
        <v>1467</v>
      </c>
      <c r="Q447" s="5" t="s">
        <v>1547</v>
      </c>
      <c r="R447" s="5" t="s">
        <v>1293</v>
      </c>
      <c r="S447" s="5" t="s">
        <v>1549</v>
      </c>
      <c r="T447" s="5" t="s">
        <v>445</v>
      </c>
    </row>
    <row r="448" spans="6:20">
      <c r="F448" s="36" t="s">
        <v>295</v>
      </c>
      <c r="G448" s="5" t="s">
        <v>296</v>
      </c>
      <c r="I448" s="6">
        <v>-40000</v>
      </c>
      <c r="J448" s="62">
        <v>-27.027027027027</v>
      </c>
      <c r="K448" s="62">
        <v>1480</v>
      </c>
      <c r="L448" s="62" t="s">
        <v>1545</v>
      </c>
      <c r="M448" s="100" t="s">
        <v>452</v>
      </c>
      <c r="N448" s="5" t="s">
        <v>464</v>
      </c>
      <c r="O448" s="34" t="s">
        <v>1546</v>
      </c>
      <c r="P448" s="5" t="s">
        <v>1467</v>
      </c>
      <c r="Q448" s="5" t="s">
        <v>1547</v>
      </c>
      <c r="R448" s="5" t="s">
        <v>1630</v>
      </c>
      <c r="S448" s="5" t="s">
        <v>1549</v>
      </c>
      <c r="T448" s="5" t="s">
        <v>445</v>
      </c>
    </row>
    <row r="449" spans="6:20">
      <c r="F449" s="36" t="s">
        <v>295</v>
      </c>
      <c r="G449" s="5" t="s">
        <v>296</v>
      </c>
      <c r="I449" s="6">
        <v>-241345</v>
      </c>
      <c r="J449" s="62">
        <v>-164.18027210884401</v>
      </c>
      <c r="K449" s="62">
        <v>1470</v>
      </c>
      <c r="L449" s="62" t="s">
        <v>1550</v>
      </c>
      <c r="M449" s="100" t="s">
        <v>452</v>
      </c>
      <c r="N449" s="5" t="s">
        <v>464</v>
      </c>
      <c r="O449" s="34" t="s">
        <v>1551</v>
      </c>
      <c r="P449" s="5" t="s">
        <v>597</v>
      </c>
      <c r="Q449" s="5" t="s">
        <v>1552</v>
      </c>
      <c r="R449" s="5" t="s">
        <v>651</v>
      </c>
      <c r="S449" s="5" t="s">
        <v>1554</v>
      </c>
      <c r="T449" s="5" t="s">
        <v>445</v>
      </c>
    </row>
    <row r="450" spans="6:20">
      <c r="F450" s="36" t="s">
        <v>295</v>
      </c>
      <c r="G450" s="5" t="s">
        <v>296</v>
      </c>
      <c r="I450" s="6">
        <v>-176943</v>
      </c>
      <c r="J450" s="62">
        <v>-119.556081081081</v>
      </c>
      <c r="K450" s="62">
        <v>1480</v>
      </c>
      <c r="L450" s="62" t="s">
        <v>1545</v>
      </c>
      <c r="M450" s="100" t="s">
        <v>452</v>
      </c>
      <c r="N450" s="5" t="s">
        <v>464</v>
      </c>
      <c r="O450" s="34" t="s">
        <v>1546</v>
      </c>
      <c r="P450" s="5" t="s">
        <v>1467</v>
      </c>
      <c r="Q450" s="5" t="s">
        <v>1547</v>
      </c>
      <c r="R450" s="5" t="s">
        <v>651</v>
      </c>
      <c r="S450" s="5" t="s">
        <v>1549</v>
      </c>
      <c r="T450" s="5" t="s">
        <v>445</v>
      </c>
    </row>
    <row r="451" spans="6:20">
      <c r="F451" s="36" t="s">
        <v>295</v>
      </c>
      <c r="G451" s="5" t="s">
        <v>296</v>
      </c>
      <c r="I451" s="6">
        <v>-295900</v>
      </c>
      <c r="J451" s="62">
        <v>-199.93243243243199</v>
      </c>
      <c r="K451" s="62">
        <v>1480</v>
      </c>
      <c r="L451" s="62" t="s">
        <v>1545</v>
      </c>
      <c r="M451" s="100" t="s">
        <v>452</v>
      </c>
      <c r="N451" s="5" t="s">
        <v>464</v>
      </c>
      <c r="O451" s="34" t="s">
        <v>1546</v>
      </c>
      <c r="P451" s="5" t="s">
        <v>1467</v>
      </c>
      <c r="Q451" s="5" t="s">
        <v>1547</v>
      </c>
      <c r="R451" s="5" t="s">
        <v>651</v>
      </c>
      <c r="S451" s="5" t="s">
        <v>1549</v>
      </c>
      <c r="T451" s="5" t="s">
        <v>445</v>
      </c>
    </row>
    <row r="452" spans="6:20">
      <c r="F452" s="36" t="s">
        <v>295</v>
      </c>
      <c r="G452" s="5" t="s">
        <v>296</v>
      </c>
      <c r="I452" s="6">
        <v>-160000</v>
      </c>
      <c r="J452" s="62">
        <v>-108.108108108108</v>
      </c>
      <c r="K452" s="62">
        <v>1480</v>
      </c>
      <c r="L452" s="62" t="s">
        <v>1545</v>
      </c>
      <c r="M452" s="100" t="s">
        <v>452</v>
      </c>
      <c r="N452" s="5" t="s">
        <v>464</v>
      </c>
      <c r="O452" s="34" t="s">
        <v>1546</v>
      </c>
      <c r="P452" s="5" t="s">
        <v>1467</v>
      </c>
      <c r="Q452" s="5" t="s">
        <v>1547</v>
      </c>
      <c r="R452" s="5" t="s">
        <v>651</v>
      </c>
      <c r="S452" s="5" t="s">
        <v>1549</v>
      </c>
      <c r="T452" s="5" t="s">
        <v>445</v>
      </c>
    </row>
    <row r="453" spans="6:20">
      <c r="F453" s="36" t="s">
        <v>295</v>
      </c>
      <c r="G453" s="5" t="s">
        <v>296</v>
      </c>
      <c r="I453" s="6">
        <v>-152320</v>
      </c>
      <c r="J453" s="62">
        <v>-102.918918918919</v>
      </c>
      <c r="K453" s="62">
        <v>1480</v>
      </c>
      <c r="L453" s="62" t="s">
        <v>1545</v>
      </c>
      <c r="M453" s="100" t="s">
        <v>452</v>
      </c>
      <c r="N453" s="5" t="s">
        <v>464</v>
      </c>
      <c r="O453" s="34" t="s">
        <v>1546</v>
      </c>
      <c r="P453" s="5" t="s">
        <v>1467</v>
      </c>
      <c r="Q453" s="5" t="s">
        <v>1547</v>
      </c>
      <c r="R453" s="5" t="s">
        <v>651</v>
      </c>
      <c r="S453" s="5" t="s">
        <v>1549</v>
      </c>
      <c r="T453" s="5" t="s">
        <v>445</v>
      </c>
    </row>
    <row r="454" spans="6:20">
      <c r="F454" s="36" t="s">
        <v>295</v>
      </c>
      <c r="G454" s="5" t="s">
        <v>296</v>
      </c>
      <c r="I454" s="6">
        <v>-174000</v>
      </c>
      <c r="J454" s="62">
        <v>-117.56756756756801</v>
      </c>
      <c r="K454" s="62">
        <v>1480</v>
      </c>
      <c r="L454" s="62" t="s">
        <v>1545</v>
      </c>
      <c r="M454" s="100" t="s">
        <v>452</v>
      </c>
      <c r="N454" s="5" t="s">
        <v>464</v>
      </c>
      <c r="O454" s="34" t="s">
        <v>1546</v>
      </c>
      <c r="P454" s="5" t="s">
        <v>1467</v>
      </c>
      <c r="Q454" s="5" t="s">
        <v>1547</v>
      </c>
      <c r="R454" s="5" t="s">
        <v>757</v>
      </c>
      <c r="S454" s="5" t="s">
        <v>1549</v>
      </c>
      <c r="T454" s="5" t="s">
        <v>445</v>
      </c>
    </row>
    <row r="455" spans="6:20">
      <c r="F455" s="36" t="s">
        <v>295</v>
      </c>
      <c r="G455" s="5" t="s">
        <v>296</v>
      </c>
      <c r="I455" s="6">
        <v>-276082</v>
      </c>
      <c r="J455" s="62">
        <v>-186.54189189189199</v>
      </c>
      <c r="K455" s="62">
        <v>1480</v>
      </c>
      <c r="L455" s="62" t="s">
        <v>1465</v>
      </c>
      <c r="M455" s="100" t="s">
        <v>452</v>
      </c>
      <c r="N455" s="5" t="s">
        <v>464</v>
      </c>
      <c r="O455" s="34" t="s">
        <v>1561</v>
      </c>
      <c r="P455" s="5" t="s">
        <v>1467</v>
      </c>
      <c r="Q455" s="5" t="s">
        <v>1562</v>
      </c>
      <c r="R455" s="5" t="s">
        <v>1631</v>
      </c>
      <c r="S455" s="5" t="s">
        <v>1564</v>
      </c>
      <c r="T455" s="5" t="s">
        <v>445</v>
      </c>
    </row>
    <row r="456" spans="6:20">
      <c r="F456" s="36" t="s">
        <v>295</v>
      </c>
      <c r="G456" s="5" t="s">
        <v>296</v>
      </c>
      <c r="I456" s="6">
        <v>-327685</v>
      </c>
      <c r="J456" s="62">
        <v>-221.408783783784</v>
      </c>
      <c r="K456" s="62">
        <v>1480</v>
      </c>
      <c r="L456" s="62" t="s">
        <v>1465</v>
      </c>
      <c r="M456" s="100" t="s">
        <v>452</v>
      </c>
      <c r="N456" s="5" t="s">
        <v>464</v>
      </c>
      <c r="O456" s="34" t="s">
        <v>1561</v>
      </c>
      <c r="P456" s="5" t="s">
        <v>1467</v>
      </c>
      <c r="Q456" s="5" t="s">
        <v>1562</v>
      </c>
      <c r="R456" s="5" t="s">
        <v>1631</v>
      </c>
      <c r="S456" s="5" t="s">
        <v>1564</v>
      </c>
      <c r="T456" s="5" t="s">
        <v>445</v>
      </c>
    </row>
    <row r="457" spans="6:20">
      <c r="F457" s="36" t="s">
        <v>295</v>
      </c>
      <c r="G457" s="5" t="s">
        <v>296</v>
      </c>
      <c r="I457" s="6">
        <v>-30000</v>
      </c>
      <c r="J457" s="62">
        <v>-20.270270270270299</v>
      </c>
      <c r="K457" s="62">
        <v>1480</v>
      </c>
      <c r="L457" s="62" t="s">
        <v>1545</v>
      </c>
      <c r="M457" s="100" t="s">
        <v>452</v>
      </c>
      <c r="N457" s="5" t="s">
        <v>464</v>
      </c>
      <c r="O457" s="34" t="s">
        <v>1546</v>
      </c>
      <c r="P457" s="5" t="s">
        <v>1467</v>
      </c>
      <c r="Q457" s="5" t="s">
        <v>1547</v>
      </c>
      <c r="R457" s="5" t="s">
        <v>1632</v>
      </c>
      <c r="S457" s="5" t="s">
        <v>1549</v>
      </c>
      <c r="T457" s="5" t="s">
        <v>445</v>
      </c>
    </row>
    <row r="458" spans="6:20">
      <c r="F458" s="36" t="s">
        <v>295</v>
      </c>
      <c r="G458" s="5" t="s">
        <v>296</v>
      </c>
      <c r="I458" s="6">
        <v>-20000</v>
      </c>
      <c r="J458" s="62">
        <v>-13.605442176870699</v>
      </c>
      <c r="K458" s="62">
        <v>1470</v>
      </c>
      <c r="L458" s="62" t="s">
        <v>1550</v>
      </c>
      <c r="M458" s="100" t="s">
        <v>452</v>
      </c>
      <c r="N458" s="5" t="s">
        <v>464</v>
      </c>
      <c r="O458" s="34" t="s">
        <v>1551</v>
      </c>
      <c r="P458" s="5" t="s">
        <v>597</v>
      </c>
      <c r="Q458" s="5" t="s">
        <v>1552</v>
      </c>
      <c r="R458" s="5" t="s">
        <v>1635</v>
      </c>
      <c r="S458" s="5" t="s">
        <v>1554</v>
      </c>
      <c r="T458" s="5" t="s">
        <v>445</v>
      </c>
    </row>
    <row r="459" spans="6:20">
      <c r="F459" s="36" t="s">
        <v>295</v>
      </c>
      <c r="G459" s="5" t="s">
        <v>296</v>
      </c>
      <c r="I459" s="6">
        <v>-20000</v>
      </c>
      <c r="J459" s="62">
        <v>-13.605442176870699</v>
      </c>
      <c r="K459" s="62">
        <v>1470</v>
      </c>
      <c r="L459" s="62" t="s">
        <v>1550</v>
      </c>
      <c r="M459" s="100" t="s">
        <v>452</v>
      </c>
      <c r="N459" s="5" t="s">
        <v>464</v>
      </c>
      <c r="O459" s="34" t="s">
        <v>1551</v>
      </c>
      <c r="P459" s="5" t="s">
        <v>597</v>
      </c>
      <c r="Q459" s="5" t="s">
        <v>1552</v>
      </c>
      <c r="R459" s="5" t="s">
        <v>1644</v>
      </c>
      <c r="S459" s="5" t="s">
        <v>1554</v>
      </c>
      <c r="T459" s="5" t="s">
        <v>445</v>
      </c>
    </row>
    <row r="460" spans="6:20">
      <c r="F460" s="36" t="s">
        <v>295</v>
      </c>
      <c r="G460" s="5" t="s">
        <v>296</v>
      </c>
      <c r="I460" s="6">
        <v>-80000</v>
      </c>
      <c r="J460" s="62">
        <v>-54.054054054054099</v>
      </c>
      <c r="K460" s="62">
        <v>1480</v>
      </c>
      <c r="L460" s="62" t="s">
        <v>1465</v>
      </c>
      <c r="M460" s="100" t="s">
        <v>452</v>
      </c>
      <c r="N460" s="5" t="s">
        <v>464</v>
      </c>
      <c r="O460" s="34" t="s">
        <v>1561</v>
      </c>
      <c r="P460" s="5" t="s">
        <v>1467</v>
      </c>
      <c r="Q460" s="5" t="s">
        <v>1562</v>
      </c>
      <c r="R460" s="5" t="s">
        <v>1645</v>
      </c>
      <c r="S460" s="5" t="s">
        <v>1564</v>
      </c>
      <c r="T460" s="5" t="s">
        <v>445</v>
      </c>
    </row>
    <row r="461" spans="6:20">
      <c r="F461" s="36" t="s">
        <v>295</v>
      </c>
      <c r="G461" s="5" t="s">
        <v>296</v>
      </c>
      <c r="I461" s="6">
        <v>-100000</v>
      </c>
      <c r="J461" s="62">
        <v>-67.567567567567593</v>
      </c>
      <c r="K461" s="62">
        <v>1480</v>
      </c>
      <c r="L461" s="62" t="s">
        <v>1545</v>
      </c>
      <c r="M461" s="100" t="s">
        <v>452</v>
      </c>
      <c r="N461" s="5" t="s">
        <v>464</v>
      </c>
      <c r="O461" s="34" t="s">
        <v>1546</v>
      </c>
      <c r="P461" s="5" t="s">
        <v>1467</v>
      </c>
      <c r="Q461" s="5" t="s">
        <v>1547</v>
      </c>
      <c r="R461" s="5" t="s">
        <v>1646</v>
      </c>
      <c r="S461" s="5" t="s">
        <v>1549</v>
      </c>
      <c r="T461" s="5" t="s">
        <v>445</v>
      </c>
    </row>
    <row r="462" spans="6:20">
      <c r="F462" s="36" t="s">
        <v>295</v>
      </c>
      <c r="G462" s="5" t="s">
        <v>296</v>
      </c>
      <c r="I462" s="6">
        <v>-10000</v>
      </c>
      <c r="J462" s="62">
        <v>-6.7567567567567597</v>
      </c>
      <c r="K462" s="62">
        <v>1480</v>
      </c>
      <c r="L462" s="62" t="s">
        <v>1465</v>
      </c>
      <c r="M462" s="100" t="s">
        <v>452</v>
      </c>
      <c r="N462" s="5" t="s">
        <v>464</v>
      </c>
      <c r="O462" s="34" t="s">
        <v>1561</v>
      </c>
      <c r="P462" s="5" t="s">
        <v>1467</v>
      </c>
      <c r="Q462" s="5" t="s">
        <v>1562</v>
      </c>
      <c r="R462" s="5" t="s">
        <v>1647</v>
      </c>
      <c r="S462" s="5" t="s">
        <v>1564</v>
      </c>
      <c r="T462" s="5" t="s">
        <v>445</v>
      </c>
    </row>
    <row r="463" spans="6:20">
      <c r="F463" s="36" t="s">
        <v>295</v>
      </c>
      <c r="G463" s="5" t="s">
        <v>296</v>
      </c>
      <c r="I463" s="6">
        <v>-70000</v>
      </c>
      <c r="J463" s="62">
        <v>-47.297297297297298</v>
      </c>
      <c r="K463" s="62">
        <v>1480</v>
      </c>
      <c r="L463" s="62" t="s">
        <v>1545</v>
      </c>
      <c r="M463" s="100" t="s">
        <v>452</v>
      </c>
      <c r="N463" s="5" t="s">
        <v>464</v>
      </c>
      <c r="O463" s="34" t="s">
        <v>1546</v>
      </c>
      <c r="P463" s="5" t="s">
        <v>1467</v>
      </c>
      <c r="Q463" s="5" t="s">
        <v>1547</v>
      </c>
      <c r="R463" s="5" t="s">
        <v>1648</v>
      </c>
      <c r="S463" s="5" t="s">
        <v>1549</v>
      </c>
      <c r="T463" s="5" t="s">
        <v>445</v>
      </c>
    </row>
    <row r="464" spans="6:20">
      <c r="F464" s="36" t="s">
        <v>295</v>
      </c>
      <c r="G464" s="5" t="s">
        <v>296</v>
      </c>
      <c r="I464" s="6">
        <v>-44850</v>
      </c>
      <c r="J464" s="62">
        <v>-30.304054054054099</v>
      </c>
      <c r="K464" s="62">
        <v>1480</v>
      </c>
      <c r="L464" s="62" t="s">
        <v>1545</v>
      </c>
      <c r="M464" s="100" t="s">
        <v>452</v>
      </c>
      <c r="N464" s="5" t="s">
        <v>464</v>
      </c>
      <c r="O464" s="34" t="s">
        <v>1546</v>
      </c>
      <c r="P464" s="5" t="s">
        <v>1467</v>
      </c>
      <c r="Q464" s="5" t="s">
        <v>1547</v>
      </c>
      <c r="R464" s="5" t="s">
        <v>1649</v>
      </c>
      <c r="S464" s="5" t="s">
        <v>1549</v>
      </c>
      <c r="T464" s="5" t="s">
        <v>445</v>
      </c>
    </row>
    <row r="465" spans="6:20">
      <c r="F465" s="36" t="s">
        <v>295</v>
      </c>
      <c r="G465" s="5" t="s">
        <v>296</v>
      </c>
      <c r="I465" s="6">
        <v>-29500</v>
      </c>
      <c r="J465" s="62">
        <v>-19.9324324324324</v>
      </c>
      <c r="K465" s="62">
        <v>1480</v>
      </c>
      <c r="L465" s="62" t="s">
        <v>1465</v>
      </c>
      <c r="M465" s="100" t="s">
        <v>452</v>
      </c>
      <c r="N465" s="5" t="s">
        <v>464</v>
      </c>
      <c r="O465" s="34" t="s">
        <v>1561</v>
      </c>
      <c r="P465" s="5" t="s">
        <v>1467</v>
      </c>
      <c r="Q465" s="5" t="s">
        <v>1562</v>
      </c>
      <c r="R465" s="5" t="s">
        <v>1650</v>
      </c>
      <c r="S465" s="5" t="s">
        <v>1564</v>
      </c>
      <c r="T465" s="5" t="s">
        <v>445</v>
      </c>
    </row>
    <row r="466" spans="6:20">
      <c r="F466" s="36" t="s">
        <v>295</v>
      </c>
      <c r="G466" s="5" t="s">
        <v>296</v>
      </c>
      <c r="I466" s="6">
        <v>-266560</v>
      </c>
      <c r="J466" s="62">
        <v>-180.10810810810801</v>
      </c>
      <c r="K466" s="62">
        <v>1480</v>
      </c>
      <c r="L466" s="62" t="s">
        <v>1545</v>
      </c>
      <c r="M466" s="100" t="s">
        <v>452</v>
      </c>
      <c r="N466" s="5" t="s">
        <v>464</v>
      </c>
      <c r="O466" s="34" t="s">
        <v>1546</v>
      </c>
      <c r="P466" s="5" t="s">
        <v>1467</v>
      </c>
      <c r="Q466" s="5" t="s">
        <v>1547</v>
      </c>
      <c r="R466" s="5" t="s">
        <v>1651</v>
      </c>
      <c r="S466" s="5" t="s">
        <v>1549</v>
      </c>
      <c r="T466" s="5" t="s">
        <v>445</v>
      </c>
    </row>
    <row r="467" spans="6:20">
      <c r="F467" s="36" t="s">
        <v>295</v>
      </c>
      <c r="G467" s="5" t="s">
        <v>296</v>
      </c>
      <c r="I467" s="6">
        <v>-10000</v>
      </c>
      <c r="J467" s="62">
        <v>-6.8027210884353702</v>
      </c>
      <c r="K467" s="62">
        <v>1470</v>
      </c>
      <c r="L467" s="62" t="s">
        <v>1550</v>
      </c>
      <c r="M467" s="100" t="s">
        <v>452</v>
      </c>
      <c r="N467" s="5" t="s">
        <v>464</v>
      </c>
      <c r="O467" s="34" t="s">
        <v>1551</v>
      </c>
      <c r="P467" s="5" t="s">
        <v>597</v>
      </c>
      <c r="Q467" s="5" t="s">
        <v>1552</v>
      </c>
      <c r="R467" s="5" t="s">
        <v>1652</v>
      </c>
      <c r="S467" s="5" t="s">
        <v>1554</v>
      </c>
      <c r="T467" s="5" t="s">
        <v>445</v>
      </c>
    </row>
    <row r="468" spans="6:20">
      <c r="F468" s="36" t="s">
        <v>295</v>
      </c>
      <c r="G468" s="5" t="s">
        <v>296</v>
      </c>
      <c r="I468" s="6">
        <v>-20000</v>
      </c>
      <c r="J468" s="62">
        <v>-13.5135135135135</v>
      </c>
      <c r="K468" s="62">
        <v>1480</v>
      </c>
      <c r="L468" s="62" t="s">
        <v>1465</v>
      </c>
      <c r="M468" s="100" t="s">
        <v>452</v>
      </c>
      <c r="N468" s="5" t="s">
        <v>464</v>
      </c>
      <c r="O468" s="34" t="s">
        <v>1561</v>
      </c>
      <c r="P468" s="5" t="s">
        <v>1467</v>
      </c>
      <c r="Q468" s="5" t="s">
        <v>1562</v>
      </c>
      <c r="R468" s="5" t="s">
        <v>1654</v>
      </c>
      <c r="S468" s="5" t="s">
        <v>1564</v>
      </c>
      <c r="T468" s="5" t="s">
        <v>445</v>
      </c>
    </row>
    <row r="469" spans="6:20">
      <c r="F469" s="36" t="s">
        <v>295</v>
      </c>
      <c r="G469" s="5" t="s">
        <v>296</v>
      </c>
      <c r="I469" s="6">
        <v>-15000</v>
      </c>
      <c r="J469" s="62">
        <v>-10.1351351351351</v>
      </c>
      <c r="K469" s="62">
        <v>1480</v>
      </c>
      <c r="L469" s="62" t="s">
        <v>1465</v>
      </c>
      <c r="M469" s="100" t="s">
        <v>452</v>
      </c>
      <c r="N469" s="5" t="s">
        <v>464</v>
      </c>
      <c r="O469" s="34" t="s">
        <v>1561</v>
      </c>
      <c r="P469" s="5" t="s">
        <v>1467</v>
      </c>
      <c r="Q469" s="5" t="s">
        <v>1562</v>
      </c>
      <c r="R469" s="5" t="s">
        <v>1655</v>
      </c>
      <c r="S469" s="5" t="s">
        <v>1564</v>
      </c>
      <c r="T469" s="5" t="s">
        <v>445</v>
      </c>
    </row>
    <row r="470" spans="6:20">
      <c r="F470" s="36" t="s">
        <v>295</v>
      </c>
      <c r="G470" s="5" t="s">
        <v>296</v>
      </c>
      <c r="I470" s="6">
        <v>-55000</v>
      </c>
      <c r="J470" s="62">
        <v>-37.414965986394598</v>
      </c>
      <c r="K470" s="62">
        <v>1470</v>
      </c>
      <c r="L470" s="62" t="s">
        <v>1550</v>
      </c>
      <c r="M470" s="100" t="s">
        <v>452</v>
      </c>
      <c r="N470" s="5" t="s">
        <v>464</v>
      </c>
      <c r="O470" s="34" t="s">
        <v>1551</v>
      </c>
      <c r="P470" s="5" t="s">
        <v>597</v>
      </c>
      <c r="Q470" s="5" t="s">
        <v>1552</v>
      </c>
      <c r="R470" s="5" t="s">
        <v>1657</v>
      </c>
      <c r="S470" s="5" t="s">
        <v>1554</v>
      </c>
      <c r="T470" s="5" t="s">
        <v>445</v>
      </c>
    </row>
    <row r="471" spans="6:20">
      <c r="F471" s="36" t="s">
        <v>295</v>
      </c>
      <c r="G471" s="5" t="s">
        <v>296</v>
      </c>
      <c r="I471" s="6">
        <v>-51000</v>
      </c>
      <c r="J471" s="62">
        <v>-34.459459459459502</v>
      </c>
      <c r="K471" s="62">
        <v>1480</v>
      </c>
      <c r="L471" s="62" t="s">
        <v>1465</v>
      </c>
      <c r="M471" s="100" t="s">
        <v>452</v>
      </c>
      <c r="N471" s="5" t="s">
        <v>464</v>
      </c>
      <c r="O471" s="34" t="s">
        <v>1561</v>
      </c>
      <c r="P471" s="5" t="s">
        <v>1467</v>
      </c>
      <c r="Q471" s="5" t="s">
        <v>1562</v>
      </c>
      <c r="R471" s="5" t="s">
        <v>1658</v>
      </c>
      <c r="S471" s="5" t="s">
        <v>1564</v>
      </c>
      <c r="T471" s="5" t="s">
        <v>445</v>
      </c>
    </row>
    <row r="472" spans="6:20">
      <c r="F472" s="36" t="s">
        <v>295</v>
      </c>
      <c r="G472" s="5" t="s">
        <v>296</v>
      </c>
      <c r="I472" s="6">
        <v>-35800</v>
      </c>
      <c r="J472" s="62">
        <v>-24.1891891891892</v>
      </c>
      <c r="K472" s="62">
        <v>1480</v>
      </c>
      <c r="L472" s="62" t="s">
        <v>1465</v>
      </c>
      <c r="M472" s="100" t="s">
        <v>452</v>
      </c>
      <c r="N472" s="5" t="s">
        <v>464</v>
      </c>
      <c r="O472" s="34" t="s">
        <v>1561</v>
      </c>
      <c r="P472" s="5" t="s">
        <v>1467</v>
      </c>
      <c r="Q472" s="5" t="s">
        <v>1562</v>
      </c>
      <c r="R472" s="5" t="s">
        <v>1659</v>
      </c>
      <c r="S472" s="5" t="s">
        <v>1564</v>
      </c>
      <c r="T472" s="5" t="s">
        <v>445</v>
      </c>
    </row>
    <row r="473" spans="6:20">
      <c r="F473" s="36" t="s">
        <v>295</v>
      </c>
      <c r="G473" s="5" t="s">
        <v>296</v>
      </c>
      <c r="I473" s="6">
        <v>-12200</v>
      </c>
      <c r="J473" s="62">
        <v>-8.2993197278911595</v>
      </c>
      <c r="K473" s="62">
        <v>1470</v>
      </c>
      <c r="L473" s="62" t="s">
        <v>1550</v>
      </c>
      <c r="M473" s="100" t="s">
        <v>452</v>
      </c>
      <c r="N473" s="5" t="s">
        <v>464</v>
      </c>
      <c r="O473" s="34" t="s">
        <v>1551</v>
      </c>
      <c r="P473" s="5" t="s">
        <v>597</v>
      </c>
      <c r="Q473" s="5" t="s">
        <v>1552</v>
      </c>
      <c r="R473" s="5" t="s">
        <v>1327</v>
      </c>
      <c r="S473" s="5" t="s">
        <v>1554</v>
      </c>
      <c r="T473" s="5" t="s">
        <v>445</v>
      </c>
    </row>
    <row r="474" spans="6:20">
      <c r="F474" s="36" t="s">
        <v>295</v>
      </c>
      <c r="G474" s="5" t="s">
        <v>296</v>
      </c>
      <c r="I474" s="6">
        <v>-23700</v>
      </c>
      <c r="J474" s="62">
        <v>-16.122448979591798</v>
      </c>
      <c r="K474" s="62">
        <v>1470</v>
      </c>
      <c r="L474" s="62" t="s">
        <v>1550</v>
      </c>
      <c r="M474" s="100" t="s">
        <v>452</v>
      </c>
      <c r="N474" s="5" t="s">
        <v>464</v>
      </c>
      <c r="O474" s="34" t="s">
        <v>1551</v>
      </c>
      <c r="P474" s="5" t="s">
        <v>597</v>
      </c>
      <c r="Q474" s="5" t="s">
        <v>1552</v>
      </c>
      <c r="R474" s="5" t="s">
        <v>1327</v>
      </c>
      <c r="S474" s="5" t="s">
        <v>1554</v>
      </c>
      <c r="T474" s="5" t="s">
        <v>445</v>
      </c>
    </row>
    <row r="475" spans="6:20">
      <c r="F475" s="36" t="s">
        <v>295</v>
      </c>
      <c r="G475" s="5" t="s">
        <v>296</v>
      </c>
      <c r="I475" s="6">
        <v>-31000</v>
      </c>
      <c r="J475" s="62">
        <v>-20.945945945945901</v>
      </c>
      <c r="K475" s="62">
        <v>1480</v>
      </c>
      <c r="L475" s="62" t="s">
        <v>1545</v>
      </c>
      <c r="M475" s="100" t="s">
        <v>452</v>
      </c>
      <c r="N475" s="5" t="s">
        <v>464</v>
      </c>
      <c r="O475" s="34" t="s">
        <v>1546</v>
      </c>
      <c r="P475" s="5" t="s">
        <v>1467</v>
      </c>
      <c r="Q475" s="5" t="s">
        <v>1547</v>
      </c>
      <c r="R475" s="5" t="s">
        <v>1660</v>
      </c>
      <c r="S475" s="5" t="s">
        <v>1549</v>
      </c>
      <c r="T475" s="5" t="s">
        <v>445</v>
      </c>
    </row>
    <row r="476" spans="6:20">
      <c r="F476" s="36" t="s">
        <v>295</v>
      </c>
      <c r="G476" s="5" t="s">
        <v>296</v>
      </c>
      <c r="I476" s="6">
        <v>-6000</v>
      </c>
      <c r="J476" s="62">
        <v>-4.0540540540540499</v>
      </c>
      <c r="K476" s="62">
        <v>1480</v>
      </c>
      <c r="L476" s="62" t="s">
        <v>1465</v>
      </c>
      <c r="M476" s="100" t="s">
        <v>452</v>
      </c>
      <c r="N476" s="5" t="s">
        <v>464</v>
      </c>
      <c r="O476" s="34" t="s">
        <v>1561</v>
      </c>
      <c r="P476" s="5" t="s">
        <v>1467</v>
      </c>
      <c r="Q476" s="5" t="s">
        <v>1562</v>
      </c>
      <c r="R476" s="5" t="s">
        <v>1661</v>
      </c>
      <c r="S476" s="5" t="s">
        <v>1564</v>
      </c>
      <c r="T476" s="5" t="s">
        <v>445</v>
      </c>
    </row>
    <row r="477" spans="6:20">
      <c r="F477" s="36" t="s">
        <v>295</v>
      </c>
      <c r="G477" s="5" t="s">
        <v>296</v>
      </c>
      <c r="I477" s="6">
        <v>-900</v>
      </c>
      <c r="J477" s="62">
        <v>-0.608108108108108</v>
      </c>
      <c r="K477" s="62">
        <v>1480</v>
      </c>
      <c r="L477" s="62" t="s">
        <v>1545</v>
      </c>
      <c r="M477" s="100" t="s">
        <v>452</v>
      </c>
      <c r="N477" s="5" t="s">
        <v>464</v>
      </c>
      <c r="O477" s="34" t="s">
        <v>1546</v>
      </c>
      <c r="P477" s="5" t="s">
        <v>1467</v>
      </c>
      <c r="Q477" s="5" t="s">
        <v>1547</v>
      </c>
      <c r="R477" s="5" t="s">
        <v>660</v>
      </c>
      <c r="S477" s="5" t="s">
        <v>1549</v>
      </c>
      <c r="T477" s="5" t="s">
        <v>445</v>
      </c>
    </row>
    <row r="478" spans="6:20">
      <c r="F478" s="36" t="s">
        <v>295</v>
      </c>
      <c r="G478" s="5" t="s">
        <v>296</v>
      </c>
      <c r="I478" s="6">
        <v>-900</v>
      </c>
      <c r="J478" s="62">
        <v>-0.608108108108108</v>
      </c>
      <c r="K478" s="62">
        <v>1480</v>
      </c>
      <c r="L478" s="62" t="s">
        <v>1545</v>
      </c>
      <c r="M478" s="100" t="s">
        <v>452</v>
      </c>
      <c r="N478" s="5" t="s">
        <v>464</v>
      </c>
      <c r="O478" s="34" t="s">
        <v>1546</v>
      </c>
      <c r="P478" s="5" t="s">
        <v>1467</v>
      </c>
      <c r="Q478" s="5" t="s">
        <v>1547</v>
      </c>
      <c r="R478" s="5" t="s">
        <v>660</v>
      </c>
      <c r="S478" s="5" t="s">
        <v>1549</v>
      </c>
      <c r="T478" s="5" t="s">
        <v>445</v>
      </c>
    </row>
    <row r="479" spans="6:20">
      <c r="F479" s="36" t="s">
        <v>295</v>
      </c>
      <c r="G479" s="5" t="s">
        <v>296</v>
      </c>
      <c r="I479" s="6">
        <v>-700</v>
      </c>
      <c r="J479" s="62">
        <v>-0.47297297297297303</v>
      </c>
      <c r="K479" s="62">
        <v>1480</v>
      </c>
      <c r="L479" s="62" t="s">
        <v>1545</v>
      </c>
      <c r="M479" s="100" t="s">
        <v>452</v>
      </c>
      <c r="N479" s="5" t="s">
        <v>464</v>
      </c>
      <c r="O479" s="34" t="s">
        <v>1546</v>
      </c>
      <c r="P479" s="5" t="s">
        <v>1467</v>
      </c>
      <c r="Q479" s="5" t="s">
        <v>1547</v>
      </c>
      <c r="R479" s="5" t="s">
        <v>660</v>
      </c>
      <c r="S479" s="5" t="s">
        <v>1549</v>
      </c>
      <c r="T479" s="5" t="s">
        <v>445</v>
      </c>
    </row>
    <row r="480" spans="6:20">
      <c r="F480" s="36" t="s">
        <v>295</v>
      </c>
      <c r="G480" s="5" t="s">
        <v>296</v>
      </c>
      <c r="I480" s="6">
        <v>-700</v>
      </c>
      <c r="J480" s="62">
        <v>-0.47297297297297303</v>
      </c>
      <c r="K480" s="62">
        <v>1480</v>
      </c>
      <c r="L480" s="62" t="s">
        <v>1545</v>
      </c>
      <c r="M480" s="100" t="s">
        <v>452</v>
      </c>
      <c r="N480" s="5" t="s">
        <v>464</v>
      </c>
      <c r="O480" s="34" t="s">
        <v>1546</v>
      </c>
      <c r="P480" s="5" t="s">
        <v>1467</v>
      </c>
      <c r="Q480" s="5" t="s">
        <v>1547</v>
      </c>
      <c r="R480" s="5" t="s">
        <v>637</v>
      </c>
      <c r="S480" s="5" t="s">
        <v>1549</v>
      </c>
      <c r="T480" s="5" t="s">
        <v>445</v>
      </c>
    </row>
    <row r="481" spans="6:20">
      <c r="F481" s="36" t="s">
        <v>295</v>
      </c>
      <c r="G481" s="5" t="s">
        <v>296</v>
      </c>
      <c r="I481" s="6">
        <v>-900</v>
      </c>
      <c r="J481" s="62">
        <v>-0.608108108108108</v>
      </c>
      <c r="K481" s="62">
        <v>1480</v>
      </c>
      <c r="L481" s="62" t="s">
        <v>1545</v>
      </c>
      <c r="M481" s="100" t="s">
        <v>452</v>
      </c>
      <c r="N481" s="5" t="s">
        <v>464</v>
      </c>
      <c r="O481" s="34" t="s">
        <v>1546</v>
      </c>
      <c r="P481" s="5" t="s">
        <v>1467</v>
      </c>
      <c r="Q481" s="5" t="s">
        <v>1547</v>
      </c>
      <c r="R481" s="5" t="s">
        <v>637</v>
      </c>
      <c r="S481" s="5" t="s">
        <v>1549</v>
      </c>
      <c r="T481" s="5" t="s">
        <v>445</v>
      </c>
    </row>
    <row r="482" spans="6:20">
      <c r="F482" s="36" t="s">
        <v>295</v>
      </c>
      <c r="G482" s="5" t="s">
        <v>296</v>
      </c>
      <c r="I482" s="6">
        <v>-900</v>
      </c>
      <c r="J482" s="62">
        <v>-0.608108108108108</v>
      </c>
      <c r="K482" s="62">
        <v>1480</v>
      </c>
      <c r="L482" s="62" t="s">
        <v>1545</v>
      </c>
      <c r="M482" s="100" t="s">
        <v>452</v>
      </c>
      <c r="N482" s="5" t="s">
        <v>464</v>
      </c>
      <c r="O482" s="34" t="s">
        <v>1546</v>
      </c>
      <c r="P482" s="5" t="s">
        <v>1467</v>
      </c>
      <c r="Q482" s="5" t="s">
        <v>1547</v>
      </c>
      <c r="R482" s="5" t="s">
        <v>637</v>
      </c>
      <c r="S482" s="5" t="s">
        <v>1549</v>
      </c>
      <c r="T482" s="5" t="s">
        <v>445</v>
      </c>
    </row>
    <row r="483" spans="6:20">
      <c r="F483" s="36" t="s">
        <v>295</v>
      </c>
      <c r="G483" s="5" t="s">
        <v>296</v>
      </c>
      <c r="I483" s="6">
        <v>-700</v>
      </c>
      <c r="J483" s="62">
        <v>-0.47297297297297303</v>
      </c>
      <c r="K483" s="62">
        <v>1480</v>
      </c>
      <c r="L483" s="62" t="s">
        <v>1545</v>
      </c>
      <c r="M483" s="100" t="s">
        <v>452</v>
      </c>
      <c r="N483" s="5" t="s">
        <v>464</v>
      </c>
      <c r="O483" s="34" t="s">
        <v>1546</v>
      </c>
      <c r="P483" s="5" t="s">
        <v>1467</v>
      </c>
      <c r="Q483" s="5" t="s">
        <v>1547</v>
      </c>
      <c r="R483" s="5" t="s">
        <v>637</v>
      </c>
      <c r="S483" s="5" t="s">
        <v>1549</v>
      </c>
      <c r="T483" s="5" t="s">
        <v>445</v>
      </c>
    </row>
    <row r="484" spans="6:20">
      <c r="F484" s="36" t="s">
        <v>295</v>
      </c>
      <c r="G484" s="5" t="s">
        <v>296</v>
      </c>
      <c r="I484" s="6">
        <v>-79395</v>
      </c>
      <c r="J484" s="62">
        <v>-53.645270270270302</v>
      </c>
      <c r="K484" s="62">
        <v>1480</v>
      </c>
      <c r="L484" s="62" t="s">
        <v>1545</v>
      </c>
      <c r="M484" s="100" t="s">
        <v>452</v>
      </c>
      <c r="N484" s="5" t="s">
        <v>464</v>
      </c>
      <c r="O484" s="34" t="s">
        <v>1546</v>
      </c>
      <c r="P484" s="5" t="s">
        <v>1467</v>
      </c>
      <c r="Q484" s="5" t="s">
        <v>1547</v>
      </c>
      <c r="R484" s="5" t="s">
        <v>649</v>
      </c>
      <c r="S484" s="5" t="s">
        <v>1549</v>
      </c>
      <c r="T484" s="5" t="s">
        <v>445</v>
      </c>
    </row>
    <row r="485" spans="6:20">
      <c r="F485" s="36" t="s">
        <v>295</v>
      </c>
      <c r="G485" s="5" t="s">
        <v>296</v>
      </c>
      <c r="I485" s="6">
        <v>-7000</v>
      </c>
      <c r="J485" s="62">
        <v>-4.7297297297297298</v>
      </c>
      <c r="K485" s="62">
        <v>1480</v>
      </c>
      <c r="L485" s="62" t="s">
        <v>1545</v>
      </c>
      <c r="M485" s="100" t="s">
        <v>452</v>
      </c>
      <c r="N485" s="5" t="s">
        <v>464</v>
      </c>
      <c r="O485" s="34" t="s">
        <v>1546</v>
      </c>
      <c r="P485" s="5" t="s">
        <v>1467</v>
      </c>
      <c r="Q485" s="5" t="s">
        <v>1547</v>
      </c>
      <c r="R485" s="5" t="s">
        <v>1662</v>
      </c>
      <c r="S485" s="5" t="s">
        <v>1549</v>
      </c>
      <c r="T485" s="5" t="s">
        <v>445</v>
      </c>
    </row>
    <row r="486" spans="6:20">
      <c r="F486" s="36" t="s">
        <v>295</v>
      </c>
      <c r="G486" s="5" t="s">
        <v>296</v>
      </c>
      <c r="I486" s="6">
        <v>-96800</v>
      </c>
      <c r="J486" s="62">
        <v>-65.850340136054399</v>
      </c>
      <c r="K486" s="62">
        <v>1470</v>
      </c>
      <c r="L486" s="62" t="s">
        <v>1550</v>
      </c>
      <c r="M486" s="100" t="s">
        <v>452</v>
      </c>
      <c r="N486" s="5" t="s">
        <v>464</v>
      </c>
      <c r="O486" s="34" t="s">
        <v>1551</v>
      </c>
      <c r="P486" s="5" t="s">
        <v>597</v>
      </c>
      <c r="Q486" s="5" t="s">
        <v>1552</v>
      </c>
      <c r="R486" s="5" t="s">
        <v>1663</v>
      </c>
      <c r="S486" s="5" t="s">
        <v>1554</v>
      </c>
      <c r="T486" s="5" t="s">
        <v>445</v>
      </c>
    </row>
    <row r="487" spans="6:20">
      <c r="F487" s="36" t="s">
        <v>295</v>
      </c>
      <c r="G487" s="5" t="s">
        <v>296</v>
      </c>
      <c r="I487" s="6">
        <v>-75000</v>
      </c>
      <c r="J487" s="62">
        <v>-51.020408163265301</v>
      </c>
      <c r="K487" s="62">
        <v>1470</v>
      </c>
      <c r="L487" s="62" t="s">
        <v>1550</v>
      </c>
      <c r="M487" s="100" t="s">
        <v>452</v>
      </c>
      <c r="N487" s="5" t="s">
        <v>464</v>
      </c>
      <c r="O487" s="34" t="s">
        <v>1551</v>
      </c>
      <c r="P487" s="5" t="s">
        <v>597</v>
      </c>
      <c r="Q487" s="5" t="s">
        <v>1552</v>
      </c>
      <c r="R487" s="5" t="s">
        <v>1664</v>
      </c>
      <c r="S487" s="5" t="s">
        <v>1554</v>
      </c>
      <c r="T487" s="5" t="s">
        <v>445</v>
      </c>
    </row>
    <row r="488" spans="6:20">
      <c r="F488" s="36" t="s">
        <v>295</v>
      </c>
      <c r="G488" s="5" t="s">
        <v>296</v>
      </c>
      <c r="I488" s="6">
        <v>-6000</v>
      </c>
      <c r="J488" s="62">
        <v>-4.0816326530612201</v>
      </c>
      <c r="K488" s="62">
        <v>1470</v>
      </c>
      <c r="L488" s="62" t="s">
        <v>1550</v>
      </c>
      <c r="M488" s="100" t="s">
        <v>452</v>
      </c>
      <c r="N488" s="5" t="s">
        <v>464</v>
      </c>
      <c r="O488" s="34" t="s">
        <v>1551</v>
      </c>
      <c r="P488" s="5" t="s">
        <v>597</v>
      </c>
      <c r="Q488" s="5" t="s">
        <v>1552</v>
      </c>
      <c r="R488" s="5" t="s">
        <v>1665</v>
      </c>
      <c r="S488" s="5" t="s">
        <v>1554</v>
      </c>
      <c r="T488" s="5" t="s">
        <v>445</v>
      </c>
    </row>
    <row r="489" spans="6:20">
      <c r="F489" s="36" t="s">
        <v>295</v>
      </c>
      <c r="G489" s="5" t="s">
        <v>296</v>
      </c>
      <c r="I489" s="6">
        <v>-100000</v>
      </c>
      <c r="J489" s="62">
        <v>-68.027210884353707</v>
      </c>
      <c r="K489" s="62">
        <v>1470</v>
      </c>
      <c r="L489" s="62" t="s">
        <v>1550</v>
      </c>
      <c r="M489" s="100" t="s">
        <v>452</v>
      </c>
      <c r="N489" s="5" t="s">
        <v>464</v>
      </c>
      <c r="O489" s="34" t="s">
        <v>1551</v>
      </c>
      <c r="P489" s="5" t="s">
        <v>597</v>
      </c>
      <c r="Q489" s="5" t="s">
        <v>1552</v>
      </c>
      <c r="R489" s="5" t="s">
        <v>1666</v>
      </c>
      <c r="S489" s="5" t="s">
        <v>1554</v>
      </c>
      <c r="T489" s="5" t="s">
        <v>445</v>
      </c>
    </row>
    <row r="490" spans="6:20">
      <c r="F490" s="36" t="s">
        <v>295</v>
      </c>
      <c r="G490" s="5" t="s">
        <v>296</v>
      </c>
      <c r="I490" s="6">
        <v>-10000</v>
      </c>
      <c r="J490" s="62">
        <v>-6.7567567567567597</v>
      </c>
      <c r="K490" s="62">
        <v>1480</v>
      </c>
      <c r="L490" s="62" t="s">
        <v>1545</v>
      </c>
      <c r="M490" s="100" t="s">
        <v>452</v>
      </c>
      <c r="N490" s="5" t="s">
        <v>464</v>
      </c>
      <c r="O490" s="34" t="s">
        <v>1546</v>
      </c>
      <c r="P490" s="5" t="s">
        <v>1467</v>
      </c>
      <c r="Q490" s="5" t="s">
        <v>1547</v>
      </c>
      <c r="R490" s="5" t="s">
        <v>1667</v>
      </c>
      <c r="S490" s="5" t="s">
        <v>1549</v>
      </c>
      <c r="T490" s="5" t="s">
        <v>445</v>
      </c>
    </row>
    <row r="491" spans="6:20">
      <c r="F491" s="36" t="s">
        <v>295</v>
      </c>
      <c r="G491" s="5" t="s">
        <v>296</v>
      </c>
      <c r="I491" s="6">
        <v>-32000</v>
      </c>
      <c r="J491" s="62">
        <v>-21.6216216216216</v>
      </c>
      <c r="K491" s="62">
        <v>1480</v>
      </c>
      <c r="L491" s="62" t="s">
        <v>1545</v>
      </c>
      <c r="M491" s="100" t="s">
        <v>452</v>
      </c>
      <c r="N491" s="5" t="s">
        <v>464</v>
      </c>
      <c r="O491" s="34" t="s">
        <v>1546</v>
      </c>
      <c r="P491" s="5" t="s">
        <v>1467</v>
      </c>
      <c r="Q491" s="5" t="s">
        <v>1547</v>
      </c>
      <c r="R491" s="5" t="s">
        <v>1668</v>
      </c>
      <c r="S491" s="5" t="s">
        <v>1549</v>
      </c>
      <c r="T491" s="5" t="s">
        <v>445</v>
      </c>
    </row>
    <row r="492" spans="6:20">
      <c r="F492" s="36" t="s">
        <v>295</v>
      </c>
      <c r="G492" s="5" t="s">
        <v>296</v>
      </c>
      <c r="I492" s="6">
        <v>-104000</v>
      </c>
      <c r="J492" s="62">
        <v>-70.748299319727906</v>
      </c>
      <c r="K492" s="62">
        <v>1470</v>
      </c>
      <c r="L492" s="62" t="s">
        <v>1550</v>
      </c>
      <c r="M492" s="100" t="s">
        <v>452</v>
      </c>
      <c r="N492" s="5" t="s">
        <v>464</v>
      </c>
      <c r="O492" s="34" t="s">
        <v>1551</v>
      </c>
      <c r="P492" s="5" t="s">
        <v>597</v>
      </c>
      <c r="Q492" s="5" t="s">
        <v>1552</v>
      </c>
      <c r="R492" s="5" t="s">
        <v>1669</v>
      </c>
      <c r="S492" s="5" t="s">
        <v>1554</v>
      </c>
      <c r="T492" s="5" t="s">
        <v>445</v>
      </c>
    </row>
    <row r="493" spans="6:20">
      <c r="F493" s="36" t="s">
        <v>295</v>
      </c>
      <c r="G493" s="5" t="s">
        <v>296</v>
      </c>
      <c r="I493" s="6">
        <v>-104000</v>
      </c>
      <c r="J493" s="62">
        <v>-70.270270270270302</v>
      </c>
      <c r="K493" s="62">
        <v>1480</v>
      </c>
      <c r="L493" s="62" t="s">
        <v>1465</v>
      </c>
      <c r="M493" s="100" t="s">
        <v>452</v>
      </c>
      <c r="N493" s="5" t="s">
        <v>464</v>
      </c>
      <c r="O493" s="34" t="s">
        <v>1561</v>
      </c>
      <c r="P493" s="5" t="s">
        <v>1467</v>
      </c>
      <c r="Q493" s="5" t="s">
        <v>1562</v>
      </c>
      <c r="R493" s="5" t="s">
        <v>1670</v>
      </c>
      <c r="S493" s="5" t="s">
        <v>1564</v>
      </c>
      <c r="T493" s="5" t="s">
        <v>445</v>
      </c>
    </row>
    <row r="494" spans="6:20">
      <c r="F494" s="36" t="s">
        <v>295</v>
      </c>
      <c r="G494" s="5" t="s">
        <v>296</v>
      </c>
      <c r="I494" s="6">
        <v>-69300</v>
      </c>
      <c r="J494" s="62">
        <v>-46.824324324324301</v>
      </c>
      <c r="K494" s="62">
        <v>1480</v>
      </c>
      <c r="L494" s="62" t="s">
        <v>1545</v>
      </c>
      <c r="M494" s="100" t="s">
        <v>452</v>
      </c>
      <c r="N494" s="5" t="s">
        <v>464</v>
      </c>
      <c r="O494" s="34" t="s">
        <v>1546</v>
      </c>
      <c r="P494" s="5" t="s">
        <v>1467</v>
      </c>
      <c r="Q494" s="5" t="s">
        <v>1547</v>
      </c>
      <c r="R494" s="5" t="s">
        <v>1671</v>
      </c>
      <c r="S494" s="5" t="s">
        <v>1549</v>
      </c>
      <c r="T494" s="5" t="s">
        <v>445</v>
      </c>
    </row>
    <row r="495" spans="6:20">
      <c r="F495" s="36" t="s">
        <v>295</v>
      </c>
      <c r="G495" s="5" t="s">
        <v>296</v>
      </c>
      <c r="I495" s="6">
        <v>-16000</v>
      </c>
      <c r="J495" s="62">
        <v>-10.8108108108108</v>
      </c>
      <c r="K495" s="62">
        <v>1480</v>
      </c>
      <c r="L495" s="62" t="s">
        <v>1545</v>
      </c>
      <c r="M495" s="100" t="s">
        <v>452</v>
      </c>
      <c r="N495" s="5" t="s">
        <v>464</v>
      </c>
      <c r="O495" s="34" t="s">
        <v>1546</v>
      </c>
      <c r="P495" s="5" t="s">
        <v>1467</v>
      </c>
      <c r="Q495" s="5" t="s">
        <v>1547</v>
      </c>
      <c r="R495" s="5" t="s">
        <v>1672</v>
      </c>
      <c r="S495" s="5" t="s">
        <v>1549</v>
      </c>
      <c r="T495" s="5" t="s">
        <v>445</v>
      </c>
    </row>
    <row r="496" spans="6:20">
      <c r="F496" s="36" t="s">
        <v>295</v>
      </c>
      <c r="G496" s="5" t="s">
        <v>296</v>
      </c>
      <c r="I496" s="6">
        <v>-142000</v>
      </c>
      <c r="J496" s="62">
        <v>-96.598639455782305</v>
      </c>
      <c r="K496" s="62">
        <v>1470</v>
      </c>
      <c r="L496" s="62" t="s">
        <v>1550</v>
      </c>
      <c r="M496" s="100" t="s">
        <v>452</v>
      </c>
      <c r="N496" s="5" t="s">
        <v>464</v>
      </c>
      <c r="O496" s="34" t="s">
        <v>1551</v>
      </c>
      <c r="P496" s="5" t="s">
        <v>597</v>
      </c>
      <c r="Q496" s="5" t="s">
        <v>1552</v>
      </c>
      <c r="R496" s="5" t="s">
        <v>634</v>
      </c>
      <c r="S496" s="5" t="s">
        <v>1554</v>
      </c>
      <c r="T496" s="5" t="s">
        <v>445</v>
      </c>
    </row>
    <row r="497" spans="6:20">
      <c r="F497" s="36" t="s">
        <v>295</v>
      </c>
      <c r="G497" s="5" t="s">
        <v>296</v>
      </c>
      <c r="I497" s="6">
        <v>-42100</v>
      </c>
      <c r="J497" s="62">
        <v>-28.639455782312901</v>
      </c>
      <c r="K497" s="62">
        <v>1470</v>
      </c>
      <c r="L497" s="62" t="s">
        <v>1550</v>
      </c>
      <c r="M497" s="100" t="s">
        <v>452</v>
      </c>
      <c r="N497" s="5" t="s">
        <v>464</v>
      </c>
      <c r="O497" s="34" t="s">
        <v>1551</v>
      </c>
      <c r="P497" s="5" t="s">
        <v>597</v>
      </c>
      <c r="Q497" s="5" t="s">
        <v>1552</v>
      </c>
      <c r="R497" s="5" t="s">
        <v>634</v>
      </c>
      <c r="S497" s="5" t="s">
        <v>1554</v>
      </c>
      <c r="T497" s="5" t="s">
        <v>445</v>
      </c>
    </row>
    <row r="498" spans="6:20">
      <c r="F498" s="36" t="s">
        <v>295</v>
      </c>
      <c r="G498" s="5" t="s">
        <v>296</v>
      </c>
      <c r="I498" s="6">
        <v>-12000</v>
      </c>
      <c r="J498" s="62">
        <v>-8.1632653061224492</v>
      </c>
      <c r="K498" s="62">
        <v>1470</v>
      </c>
      <c r="L498" s="62" t="s">
        <v>1550</v>
      </c>
      <c r="M498" s="100" t="s">
        <v>452</v>
      </c>
      <c r="N498" s="5" t="s">
        <v>464</v>
      </c>
      <c r="O498" s="34" t="s">
        <v>1551</v>
      </c>
      <c r="P498" s="5" t="s">
        <v>597</v>
      </c>
      <c r="Q498" s="5" t="s">
        <v>1552</v>
      </c>
      <c r="R498" s="5" t="s">
        <v>634</v>
      </c>
      <c r="S498" s="5" t="s">
        <v>1554</v>
      </c>
      <c r="T498" s="5" t="s">
        <v>445</v>
      </c>
    </row>
    <row r="499" spans="6:20">
      <c r="F499" s="36" t="s">
        <v>295</v>
      </c>
      <c r="G499" s="5" t="s">
        <v>296</v>
      </c>
      <c r="I499" s="6">
        <v>-16500</v>
      </c>
      <c r="J499" s="62">
        <v>-11.2244897959184</v>
      </c>
      <c r="K499" s="62">
        <v>1470</v>
      </c>
      <c r="L499" s="62" t="s">
        <v>1550</v>
      </c>
      <c r="M499" s="100" t="s">
        <v>452</v>
      </c>
      <c r="N499" s="5" t="s">
        <v>464</v>
      </c>
      <c r="O499" s="34" t="s">
        <v>1551</v>
      </c>
      <c r="P499" s="5" t="s">
        <v>597</v>
      </c>
      <c r="Q499" s="5" t="s">
        <v>1552</v>
      </c>
      <c r="R499" s="5" t="s">
        <v>1673</v>
      </c>
      <c r="S499" s="5" t="s">
        <v>1554</v>
      </c>
      <c r="T499" s="5" t="s">
        <v>445</v>
      </c>
    </row>
    <row r="500" spans="6:20">
      <c r="F500" s="36" t="s">
        <v>295</v>
      </c>
      <c r="G500" s="5" t="s">
        <v>296</v>
      </c>
      <c r="I500" s="6">
        <v>-66500</v>
      </c>
      <c r="J500" s="62">
        <v>-45.238095238095198</v>
      </c>
      <c r="K500" s="62">
        <v>1470</v>
      </c>
      <c r="L500" s="62" t="s">
        <v>1550</v>
      </c>
      <c r="M500" s="100" t="s">
        <v>452</v>
      </c>
      <c r="N500" s="5" t="s">
        <v>464</v>
      </c>
      <c r="O500" s="34" t="s">
        <v>1551</v>
      </c>
      <c r="P500" s="5" t="s">
        <v>597</v>
      </c>
      <c r="Q500" s="5" t="s">
        <v>1552</v>
      </c>
      <c r="R500" s="5" t="s">
        <v>1674</v>
      </c>
      <c r="S500" s="5" t="s">
        <v>1554</v>
      </c>
      <c r="T500" s="5" t="s">
        <v>445</v>
      </c>
    </row>
    <row r="501" spans="6:20">
      <c r="F501" s="36" t="s">
        <v>295</v>
      </c>
      <c r="G501" s="5" t="s">
        <v>296</v>
      </c>
      <c r="I501" s="6">
        <v>-67541</v>
      </c>
      <c r="J501" s="62">
        <v>-45.635810810810803</v>
      </c>
      <c r="K501" s="62">
        <v>1480</v>
      </c>
      <c r="L501" s="62" t="s">
        <v>1545</v>
      </c>
      <c r="M501" s="100" t="s">
        <v>452</v>
      </c>
      <c r="N501" s="5" t="s">
        <v>464</v>
      </c>
      <c r="O501" s="34" t="s">
        <v>1546</v>
      </c>
      <c r="P501" s="5" t="s">
        <v>1467</v>
      </c>
      <c r="Q501" s="5" t="s">
        <v>1547</v>
      </c>
      <c r="R501" s="5" t="s">
        <v>1675</v>
      </c>
      <c r="S501" s="5" t="s">
        <v>1549</v>
      </c>
      <c r="T501" s="5" t="s">
        <v>445</v>
      </c>
    </row>
    <row r="502" spans="6:20">
      <c r="F502" s="36" t="s">
        <v>295</v>
      </c>
      <c r="G502" s="5" t="s">
        <v>296</v>
      </c>
      <c r="I502" s="6">
        <v>-34780</v>
      </c>
      <c r="J502" s="62">
        <v>-23.5</v>
      </c>
      <c r="K502" s="62">
        <v>1480</v>
      </c>
      <c r="L502" s="62" t="s">
        <v>1545</v>
      </c>
      <c r="M502" s="100" t="s">
        <v>452</v>
      </c>
      <c r="N502" s="5" t="s">
        <v>464</v>
      </c>
      <c r="O502" s="34" t="s">
        <v>1546</v>
      </c>
      <c r="P502" s="5" t="s">
        <v>1467</v>
      </c>
      <c r="Q502" s="5" t="s">
        <v>1547</v>
      </c>
      <c r="R502" s="5" t="s">
        <v>1676</v>
      </c>
      <c r="S502" s="5" t="s">
        <v>1549</v>
      </c>
      <c r="T502" s="5" t="s">
        <v>445</v>
      </c>
    </row>
    <row r="503" spans="6:20">
      <c r="F503" s="36" t="s">
        <v>295</v>
      </c>
      <c r="G503" s="5" t="s">
        <v>296</v>
      </c>
      <c r="I503" s="6">
        <v>-181436</v>
      </c>
      <c r="J503" s="62">
        <v>-122.591891891892</v>
      </c>
      <c r="K503" s="62">
        <v>1480</v>
      </c>
      <c r="L503" s="62" t="s">
        <v>1465</v>
      </c>
      <c r="M503" s="100" t="s">
        <v>452</v>
      </c>
      <c r="N503" s="5" t="s">
        <v>464</v>
      </c>
      <c r="O503" s="34" t="s">
        <v>1561</v>
      </c>
      <c r="P503" s="5" t="s">
        <v>1467</v>
      </c>
      <c r="Q503" s="5" t="s">
        <v>1562</v>
      </c>
      <c r="R503" s="5" t="s">
        <v>1676</v>
      </c>
      <c r="S503" s="5" t="s">
        <v>1564</v>
      </c>
      <c r="T503" s="5" t="s">
        <v>445</v>
      </c>
    </row>
    <row r="504" spans="6:20">
      <c r="F504" s="36" t="s">
        <v>295</v>
      </c>
      <c r="G504" s="5" t="s">
        <v>296</v>
      </c>
      <c r="I504" s="6">
        <v>-50000</v>
      </c>
      <c r="J504" s="62">
        <v>-33.783783783783797</v>
      </c>
      <c r="K504" s="62">
        <v>1480</v>
      </c>
      <c r="L504" s="62" t="s">
        <v>1545</v>
      </c>
      <c r="M504" s="100" t="s">
        <v>452</v>
      </c>
      <c r="N504" s="5" t="s">
        <v>464</v>
      </c>
      <c r="O504" s="34" t="s">
        <v>1546</v>
      </c>
      <c r="P504" s="5" t="s">
        <v>1467</v>
      </c>
      <c r="Q504" s="5" t="s">
        <v>1547</v>
      </c>
      <c r="R504" s="5" t="s">
        <v>1677</v>
      </c>
      <c r="S504" s="5" t="s">
        <v>1549</v>
      </c>
      <c r="T504" s="5" t="s">
        <v>445</v>
      </c>
    </row>
    <row r="505" spans="6:20">
      <c r="F505" s="36" t="s">
        <v>295</v>
      </c>
      <c r="G505" s="5" t="s">
        <v>296</v>
      </c>
      <c r="I505" s="6">
        <v>-10700</v>
      </c>
      <c r="J505" s="62">
        <v>-7.2297297297297298</v>
      </c>
      <c r="K505" s="62">
        <v>1480</v>
      </c>
      <c r="L505" s="62" t="s">
        <v>1545</v>
      </c>
      <c r="M505" s="100" t="s">
        <v>452</v>
      </c>
      <c r="N505" s="5" t="s">
        <v>464</v>
      </c>
      <c r="O505" s="34" t="s">
        <v>1546</v>
      </c>
      <c r="P505" s="5" t="s">
        <v>1467</v>
      </c>
      <c r="Q505" s="5" t="s">
        <v>1547</v>
      </c>
      <c r="R505" s="5" t="s">
        <v>1678</v>
      </c>
      <c r="S505" s="5" t="s">
        <v>1549</v>
      </c>
      <c r="T505" s="5" t="s">
        <v>445</v>
      </c>
    </row>
    <row r="506" spans="6:20">
      <c r="F506" s="36" t="s">
        <v>295</v>
      </c>
      <c r="G506" s="5" t="s">
        <v>296</v>
      </c>
      <c r="I506" s="6">
        <v>-7263</v>
      </c>
      <c r="J506" s="62">
        <v>-4.9408163265306104</v>
      </c>
      <c r="K506" s="62">
        <v>1470</v>
      </c>
      <c r="L506" s="62" t="s">
        <v>1550</v>
      </c>
      <c r="M506" s="100" t="s">
        <v>452</v>
      </c>
      <c r="N506" s="5" t="s">
        <v>464</v>
      </c>
      <c r="O506" s="34" t="s">
        <v>1551</v>
      </c>
      <c r="P506" s="5" t="s">
        <v>597</v>
      </c>
      <c r="Q506" s="5" t="s">
        <v>1552</v>
      </c>
      <c r="R506" s="5" t="s">
        <v>1682</v>
      </c>
      <c r="S506" s="5" t="s">
        <v>1554</v>
      </c>
      <c r="T506" s="5" t="s">
        <v>445</v>
      </c>
    </row>
    <row r="507" spans="6:20">
      <c r="F507" s="36" t="s">
        <v>295</v>
      </c>
      <c r="G507" s="5" t="s">
        <v>296</v>
      </c>
      <c r="I507" s="6">
        <v>-7200</v>
      </c>
      <c r="J507" s="62">
        <v>-4.8648648648648596</v>
      </c>
      <c r="K507" s="62">
        <v>1480</v>
      </c>
      <c r="L507" s="62" t="s">
        <v>1545</v>
      </c>
      <c r="M507" s="100" t="s">
        <v>452</v>
      </c>
      <c r="N507" s="5" t="s">
        <v>464</v>
      </c>
      <c r="O507" s="34" t="s">
        <v>1546</v>
      </c>
      <c r="P507" s="5" t="s">
        <v>1467</v>
      </c>
      <c r="Q507" s="5" t="s">
        <v>1547</v>
      </c>
      <c r="R507" s="5" t="s">
        <v>1683</v>
      </c>
      <c r="S507" s="5" t="s">
        <v>1549</v>
      </c>
      <c r="T507" s="5" t="s">
        <v>445</v>
      </c>
    </row>
    <row r="508" spans="6:20">
      <c r="F508" s="36" t="s">
        <v>295</v>
      </c>
      <c r="G508" s="5" t="s">
        <v>296</v>
      </c>
      <c r="I508" s="6">
        <v>-7300</v>
      </c>
      <c r="J508" s="62">
        <v>-4.9659863945578202</v>
      </c>
      <c r="K508" s="62">
        <v>1470</v>
      </c>
      <c r="L508" s="62" t="s">
        <v>1550</v>
      </c>
      <c r="M508" s="100" t="s">
        <v>452</v>
      </c>
      <c r="N508" s="5" t="s">
        <v>464</v>
      </c>
      <c r="O508" s="34" t="s">
        <v>1551</v>
      </c>
      <c r="P508" s="5" t="s">
        <v>597</v>
      </c>
      <c r="Q508" s="5" t="s">
        <v>1552</v>
      </c>
      <c r="R508" s="5" t="s">
        <v>1684</v>
      </c>
      <c r="S508" s="5" t="s">
        <v>1554</v>
      </c>
      <c r="T508" s="5" t="s">
        <v>445</v>
      </c>
    </row>
    <row r="509" spans="6:20">
      <c r="F509" s="36" t="s">
        <v>295</v>
      </c>
      <c r="G509" s="5" t="s">
        <v>296</v>
      </c>
      <c r="I509" s="6">
        <v>-94000</v>
      </c>
      <c r="J509" s="62">
        <v>-63.945578231292501</v>
      </c>
      <c r="K509" s="62">
        <v>1470</v>
      </c>
      <c r="L509" s="62" t="s">
        <v>1550</v>
      </c>
      <c r="M509" s="100" t="s">
        <v>452</v>
      </c>
      <c r="N509" s="5" t="s">
        <v>464</v>
      </c>
      <c r="O509" s="34" t="s">
        <v>1551</v>
      </c>
      <c r="P509" s="5" t="s">
        <v>597</v>
      </c>
      <c r="Q509" s="5" t="s">
        <v>1552</v>
      </c>
      <c r="R509" s="5" t="s">
        <v>1685</v>
      </c>
      <c r="S509" s="5" t="s">
        <v>1554</v>
      </c>
      <c r="T509" s="5" t="s">
        <v>445</v>
      </c>
    </row>
    <row r="510" spans="6:20">
      <c r="F510" s="36" t="s">
        <v>295</v>
      </c>
      <c r="G510" s="5" t="s">
        <v>296</v>
      </c>
      <c r="I510" s="6">
        <v>-63000</v>
      </c>
      <c r="J510" s="62">
        <v>-42.5675675675676</v>
      </c>
      <c r="K510" s="62">
        <v>1480</v>
      </c>
      <c r="L510" s="62" t="s">
        <v>1545</v>
      </c>
      <c r="M510" s="100" t="s">
        <v>452</v>
      </c>
      <c r="N510" s="5" t="s">
        <v>464</v>
      </c>
      <c r="O510" s="34" t="s">
        <v>1546</v>
      </c>
      <c r="P510" s="5" t="s">
        <v>1467</v>
      </c>
      <c r="Q510" s="5" t="s">
        <v>1547</v>
      </c>
      <c r="R510" s="5" t="s">
        <v>1686</v>
      </c>
      <c r="S510" s="5" t="s">
        <v>1549</v>
      </c>
      <c r="T510" s="5" t="s">
        <v>445</v>
      </c>
    </row>
    <row r="511" spans="6:20">
      <c r="F511" s="36" t="s">
        <v>295</v>
      </c>
      <c r="G511" s="5" t="s">
        <v>296</v>
      </c>
      <c r="I511" s="6">
        <v>-125200</v>
      </c>
      <c r="J511" s="62">
        <v>-84.594594594594597</v>
      </c>
      <c r="K511" s="62">
        <v>1480</v>
      </c>
      <c r="L511" s="62" t="s">
        <v>1545</v>
      </c>
      <c r="M511" s="100" t="s">
        <v>452</v>
      </c>
      <c r="N511" s="5" t="s">
        <v>464</v>
      </c>
      <c r="O511" s="34" t="s">
        <v>1546</v>
      </c>
      <c r="P511" s="5" t="s">
        <v>1467</v>
      </c>
      <c r="Q511" s="5" t="s">
        <v>1547</v>
      </c>
      <c r="R511" s="5" t="s">
        <v>1687</v>
      </c>
      <c r="S511" s="5" t="s">
        <v>1549</v>
      </c>
      <c r="T511" s="5" t="s">
        <v>445</v>
      </c>
    </row>
    <row r="512" spans="6:20">
      <c r="F512" s="36" t="s">
        <v>295</v>
      </c>
      <c r="G512" s="5" t="s">
        <v>296</v>
      </c>
      <c r="I512" s="6">
        <v>-33606</v>
      </c>
      <c r="J512" s="62">
        <v>-22.861224489795902</v>
      </c>
      <c r="K512" s="62">
        <v>1470</v>
      </c>
      <c r="L512" s="62" t="s">
        <v>1550</v>
      </c>
      <c r="M512" s="100" t="s">
        <v>452</v>
      </c>
      <c r="N512" s="5" t="s">
        <v>464</v>
      </c>
      <c r="O512" s="34" t="s">
        <v>1551</v>
      </c>
      <c r="P512" s="5" t="s">
        <v>597</v>
      </c>
      <c r="Q512" s="5" t="s">
        <v>1552</v>
      </c>
      <c r="R512" s="5" t="s">
        <v>763</v>
      </c>
      <c r="S512" s="5" t="s">
        <v>1554</v>
      </c>
      <c r="T512" s="5" t="s">
        <v>445</v>
      </c>
    </row>
    <row r="513" spans="6:20">
      <c r="F513" s="36" t="s">
        <v>295</v>
      </c>
      <c r="G513" s="5" t="s">
        <v>296</v>
      </c>
      <c r="I513" s="6">
        <v>-10000</v>
      </c>
      <c r="J513" s="62">
        <v>-6.8027210884353702</v>
      </c>
      <c r="K513" s="62">
        <v>1470</v>
      </c>
      <c r="L513" s="62" t="s">
        <v>1550</v>
      </c>
      <c r="M513" s="100" t="s">
        <v>452</v>
      </c>
      <c r="N513" s="5" t="s">
        <v>464</v>
      </c>
      <c r="O513" s="34" t="s">
        <v>1551</v>
      </c>
      <c r="P513" s="5" t="s">
        <v>597</v>
      </c>
      <c r="Q513" s="5" t="s">
        <v>1552</v>
      </c>
      <c r="R513" s="5" t="s">
        <v>763</v>
      </c>
      <c r="S513" s="5" t="s">
        <v>1554</v>
      </c>
      <c r="T513" s="5" t="s">
        <v>445</v>
      </c>
    </row>
    <row r="514" spans="6:20">
      <c r="F514" s="36" t="s">
        <v>295</v>
      </c>
      <c r="G514" s="5" t="s">
        <v>296</v>
      </c>
      <c r="I514" s="6">
        <v>-344335</v>
      </c>
      <c r="J514" s="62">
        <v>-234.241496598639</v>
      </c>
      <c r="K514" s="62">
        <v>1470</v>
      </c>
      <c r="L514" s="62" t="s">
        <v>1550</v>
      </c>
      <c r="M514" s="100" t="s">
        <v>452</v>
      </c>
      <c r="N514" s="5" t="s">
        <v>464</v>
      </c>
      <c r="O514" s="34" t="s">
        <v>1551</v>
      </c>
      <c r="P514" s="5" t="s">
        <v>597</v>
      </c>
      <c r="Q514" s="5" t="s">
        <v>1552</v>
      </c>
      <c r="R514" s="5" t="s">
        <v>763</v>
      </c>
      <c r="S514" s="5" t="s">
        <v>1554</v>
      </c>
      <c r="T514" s="5" t="s">
        <v>445</v>
      </c>
    </row>
    <row r="515" spans="6:20">
      <c r="F515" s="36" t="s">
        <v>295</v>
      </c>
      <c r="G515" s="5" t="s">
        <v>296</v>
      </c>
      <c r="I515" s="6">
        <v>-30357</v>
      </c>
      <c r="J515" s="62">
        <v>-20.511486486486501</v>
      </c>
      <c r="K515" s="62">
        <v>1480</v>
      </c>
      <c r="L515" s="62" t="s">
        <v>1545</v>
      </c>
      <c r="M515" s="100" t="s">
        <v>452</v>
      </c>
      <c r="N515" s="5" t="s">
        <v>464</v>
      </c>
      <c r="O515" s="34" t="s">
        <v>1546</v>
      </c>
      <c r="P515" s="5" t="s">
        <v>1467</v>
      </c>
      <c r="Q515" s="5" t="s">
        <v>1547</v>
      </c>
      <c r="R515" s="5" t="s">
        <v>763</v>
      </c>
      <c r="S515" s="5" t="s">
        <v>1549</v>
      </c>
      <c r="T515" s="5" t="s">
        <v>445</v>
      </c>
    </row>
    <row r="516" spans="6:20">
      <c r="F516" s="36" t="s">
        <v>295</v>
      </c>
      <c r="G516" s="5" t="s">
        <v>296</v>
      </c>
      <c r="I516" s="6">
        <v>-25500</v>
      </c>
      <c r="J516" s="62">
        <v>-17.229729729729701</v>
      </c>
      <c r="K516" s="62">
        <v>1480</v>
      </c>
      <c r="L516" s="62" t="s">
        <v>1465</v>
      </c>
      <c r="M516" s="100" t="s">
        <v>452</v>
      </c>
      <c r="N516" s="5" t="s">
        <v>464</v>
      </c>
      <c r="O516" s="34" t="s">
        <v>1561</v>
      </c>
      <c r="P516" s="5" t="s">
        <v>1467</v>
      </c>
      <c r="Q516" s="5" t="s">
        <v>1562</v>
      </c>
      <c r="R516" s="5" t="s">
        <v>1688</v>
      </c>
      <c r="S516" s="5" t="s">
        <v>1564</v>
      </c>
      <c r="T516" s="5" t="s">
        <v>445</v>
      </c>
    </row>
    <row r="517" spans="6:20">
      <c r="F517" s="36" t="s">
        <v>295</v>
      </c>
      <c r="G517" s="5" t="s">
        <v>296</v>
      </c>
      <c r="I517" s="6">
        <v>-11842</v>
      </c>
      <c r="J517" s="62">
        <v>-8.0013513513513495</v>
      </c>
      <c r="K517" s="62">
        <v>1480</v>
      </c>
      <c r="L517" s="62" t="s">
        <v>1465</v>
      </c>
      <c r="M517" s="100" t="s">
        <v>452</v>
      </c>
      <c r="N517" s="5" t="s">
        <v>464</v>
      </c>
      <c r="O517" s="34" t="s">
        <v>1561</v>
      </c>
      <c r="P517" s="5" t="s">
        <v>1467</v>
      </c>
      <c r="Q517" s="5" t="s">
        <v>1562</v>
      </c>
      <c r="R517" s="5" t="s">
        <v>1689</v>
      </c>
      <c r="S517" s="5" t="s">
        <v>1564</v>
      </c>
      <c r="T517" s="5" t="s">
        <v>445</v>
      </c>
    </row>
    <row r="518" spans="6:20">
      <c r="F518" s="36" t="s">
        <v>295</v>
      </c>
      <c r="G518" s="5" t="s">
        <v>296</v>
      </c>
      <c r="I518" s="6">
        <v>735000</v>
      </c>
      <c r="J518" s="62">
        <v>500</v>
      </c>
      <c r="K518" s="62">
        <v>1470</v>
      </c>
      <c r="L518" s="62" t="s">
        <v>1717</v>
      </c>
      <c r="M518" s="100" t="s">
        <v>452</v>
      </c>
      <c r="N518" s="5" t="s">
        <v>464</v>
      </c>
      <c r="O518" s="34" t="s">
        <v>1787</v>
      </c>
      <c r="P518" s="5" t="s">
        <v>1467</v>
      </c>
      <c r="Q518" s="5" t="s">
        <v>1788</v>
      </c>
      <c r="R518" s="5" t="s">
        <v>1788</v>
      </c>
      <c r="S518" s="5" t="s">
        <v>1789</v>
      </c>
      <c r="T518" s="5" t="s">
        <v>445</v>
      </c>
    </row>
    <row r="519" spans="6:20">
      <c r="F519" s="36" t="s">
        <v>295</v>
      </c>
      <c r="G519" s="5" t="s">
        <v>296</v>
      </c>
      <c r="I519" s="6">
        <v>867000</v>
      </c>
      <c r="J519" s="62">
        <v>600</v>
      </c>
      <c r="K519" s="62">
        <v>1445</v>
      </c>
      <c r="L519" s="62" t="s">
        <v>1465</v>
      </c>
      <c r="M519" s="100" t="s">
        <v>452</v>
      </c>
      <c r="N519" s="5" t="s">
        <v>464</v>
      </c>
      <c r="O519" s="34" t="s">
        <v>1790</v>
      </c>
      <c r="P519" s="5" t="s">
        <v>1467</v>
      </c>
      <c r="Q519" s="5" t="s">
        <v>1791</v>
      </c>
      <c r="R519" s="5" t="s">
        <v>1791</v>
      </c>
      <c r="S519" s="5" t="s">
        <v>1792</v>
      </c>
      <c r="T519" s="5" t="s">
        <v>445</v>
      </c>
    </row>
    <row r="520" spans="6:20">
      <c r="F520" s="36" t="s">
        <v>297</v>
      </c>
      <c r="G520" s="5" t="s">
        <v>298</v>
      </c>
      <c r="I520" s="6">
        <v>15288000</v>
      </c>
      <c r="J520" s="62">
        <v>10400</v>
      </c>
      <c r="K520" s="62">
        <v>1470</v>
      </c>
      <c r="L520" s="62" t="s">
        <v>1550</v>
      </c>
      <c r="M520" s="100" t="s">
        <v>452</v>
      </c>
      <c r="N520" s="5" t="s">
        <v>464</v>
      </c>
      <c r="O520" s="34" t="s">
        <v>1605</v>
      </c>
      <c r="P520" s="5" t="s">
        <v>597</v>
      </c>
      <c r="Q520" s="5" t="s">
        <v>1606</v>
      </c>
      <c r="R520" s="5" t="s">
        <v>563</v>
      </c>
      <c r="S520" s="5" t="s">
        <v>1607</v>
      </c>
      <c r="T520" s="5" t="s">
        <v>445</v>
      </c>
    </row>
    <row r="521" spans="6:20">
      <c r="F521" s="36" t="s">
        <v>297</v>
      </c>
      <c r="G521" s="5" t="s">
        <v>298</v>
      </c>
      <c r="I521" s="6">
        <v>12136000</v>
      </c>
      <c r="J521" s="62">
        <v>8200</v>
      </c>
      <c r="K521" s="62">
        <v>1480</v>
      </c>
      <c r="L521" s="62" t="s">
        <v>1465</v>
      </c>
      <c r="M521" s="100" t="s">
        <v>452</v>
      </c>
      <c r="N521" s="5" t="s">
        <v>464</v>
      </c>
      <c r="O521" s="34" t="s">
        <v>1611</v>
      </c>
      <c r="P521" s="5" t="s">
        <v>1467</v>
      </c>
      <c r="Q521" s="5" t="s">
        <v>1612</v>
      </c>
      <c r="R521" s="5" t="s">
        <v>563</v>
      </c>
      <c r="S521" s="5" t="s">
        <v>1613</v>
      </c>
      <c r="T521" s="5" t="s">
        <v>445</v>
      </c>
    </row>
    <row r="522" spans="6:20">
      <c r="F522" s="36" t="s">
        <v>297</v>
      </c>
      <c r="G522" s="5" t="s">
        <v>298</v>
      </c>
      <c r="I522" s="6">
        <v>-444000</v>
      </c>
      <c r="J522" s="62">
        <v>-300</v>
      </c>
      <c r="K522" s="62">
        <v>1480</v>
      </c>
      <c r="L522" s="62" t="s">
        <v>1545</v>
      </c>
      <c r="M522" s="100" t="s">
        <v>452</v>
      </c>
      <c r="N522" s="5" t="s">
        <v>464</v>
      </c>
      <c r="O522" s="34" t="s">
        <v>1619</v>
      </c>
      <c r="P522" s="5" t="s">
        <v>1467</v>
      </c>
      <c r="Q522" s="5" t="s">
        <v>1620</v>
      </c>
      <c r="R522" s="5" t="s">
        <v>1621</v>
      </c>
      <c r="S522" s="5" t="s">
        <v>1622</v>
      </c>
      <c r="T522" s="5" t="s">
        <v>445</v>
      </c>
    </row>
    <row r="523" spans="6:20">
      <c r="F523" s="36" t="s">
        <v>297</v>
      </c>
      <c r="G523" s="5" t="s">
        <v>298</v>
      </c>
      <c r="I523" s="6">
        <v>-1184000</v>
      </c>
      <c r="J523" s="62">
        <v>-800</v>
      </c>
      <c r="K523" s="62">
        <v>1480</v>
      </c>
      <c r="L523" s="62" t="s">
        <v>1545</v>
      </c>
      <c r="M523" s="100" t="s">
        <v>452</v>
      </c>
      <c r="N523" s="5" t="s">
        <v>464</v>
      </c>
      <c r="O523" s="34" t="s">
        <v>1619</v>
      </c>
      <c r="P523" s="5" t="s">
        <v>1467</v>
      </c>
      <c r="Q523" s="5" t="s">
        <v>1620</v>
      </c>
      <c r="R523" s="5" t="s">
        <v>1624</v>
      </c>
      <c r="S523" s="5" t="s">
        <v>1622</v>
      </c>
      <c r="T523" s="5" t="s">
        <v>445</v>
      </c>
    </row>
    <row r="524" spans="6:20">
      <c r="F524" s="36" t="s">
        <v>297</v>
      </c>
      <c r="G524" s="5" t="s">
        <v>298</v>
      </c>
      <c r="I524" s="6">
        <v>-1332000</v>
      </c>
      <c r="J524" s="62">
        <v>-900</v>
      </c>
      <c r="K524" s="62">
        <v>1480</v>
      </c>
      <c r="L524" s="62" t="s">
        <v>1545</v>
      </c>
      <c r="M524" s="100" t="s">
        <v>452</v>
      </c>
      <c r="N524" s="5" t="s">
        <v>464</v>
      </c>
      <c r="O524" s="34" t="s">
        <v>1619</v>
      </c>
      <c r="P524" s="5" t="s">
        <v>1467</v>
      </c>
      <c r="Q524" s="5" t="s">
        <v>1620</v>
      </c>
      <c r="R524" s="5" t="s">
        <v>1633</v>
      </c>
      <c r="S524" s="5" t="s">
        <v>1622</v>
      </c>
      <c r="T524" s="5" t="s">
        <v>445</v>
      </c>
    </row>
    <row r="525" spans="6:20">
      <c r="F525" s="36" t="s">
        <v>297</v>
      </c>
      <c r="G525" s="5" t="s">
        <v>298</v>
      </c>
      <c r="I525" s="6">
        <v>-3848000</v>
      </c>
      <c r="J525" s="62">
        <v>-2600</v>
      </c>
      <c r="K525" s="62">
        <v>1480</v>
      </c>
      <c r="L525" s="62" t="s">
        <v>1545</v>
      </c>
      <c r="M525" s="100" t="s">
        <v>452</v>
      </c>
      <c r="N525" s="5" t="s">
        <v>464</v>
      </c>
      <c r="O525" s="34" t="s">
        <v>1619</v>
      </c>
      <c r="P525" s="5" t="s">
        <v>1467</v>
      </c>
      <c r="Q525" s="5" t="s">
        <v>1620</v>
      </c>
      <c r="R525" s="5" t="s">
        <v>1634</v>
      </c>
      <c r="S525" s="5" t="s">
        <v>1622</v>
      </c>
      <c r="T525" s="5" t="s">
        <v>445</v>
      </c>
    </row>
    <row r="526" spans="6:20">
      <c r="F526" s="36" t="s">
        <v>297</v>
      </c>
      <c r="G526" s="5" t="s">
        <v>298</v>
      </c>
      <c r="I526" s="6">
        <v>-296000</v>
      </c>
      <c r="J526" s="62">
        <v>-200</v>
      </c>
      <c r="K526" s="62">
        <v>1480</v>
      </c>
      <c r="L526" s="62" t="s">
        <v>1465</v>
      </c>
      <c r="M526" s="100" t="s">
        <v>452</v>
      </c>
      <c r="N526" s="5" t="s">
        <v>464</v>
      </c>
      <c r="O526" s="34" t="s">
        <v>1636</v>
      </c>
      <c r="P526" s="5" t="s">
        <v>1467</v>
      </c>
      <c r="Q526" s="5" t="s">
        <v>1637</v>
      </c>
      <c r="R526" s="5" t="s">
        <v>1638</v>
      </c>
      <c r="S526" s="5" t="s">
        <v>1639</v>
      </c>
      <c r="T526" s="5" t="s">
        <v>445</v>
      </c>
    </row>
    <row r="527" spans="6:20">
      <c r="F527" s="36" t="s">
        <v>297</v>
      </c>
      <c r="G527" s="5" t="s">
        <v>298</v>
      </c>
      <c r="I527" s="6">
        <v>-2352000</v>
      </c>
      <c r="J527" s="62">
        <v>-1600</v>
      </c>
      <c r="K527" s="62">
        <v>1470</v>
      </c>
      <c r="L527" s="62" t="s">
        <v>1550</v>
      </c>
      <c r="M527" s="100" t="s">
        <v>452</v>
      </c>
      <c r="N527" s="5" t="s">
        <v>464</v>
      </c>
      <c r="O527" s="34" t="s">
        <v>1640</v>
      </c>
      <c r="P527" s="5" t="s">
        <v>597</v>
      </c>
      <c r="Q527" s="5" t="s">
        <v>1641</v>
      </c>
      <c r="R527" s="5" t="s">
        <v>1642</v>
      </c>
      <c r="S527" s="5" t="s">
        <v>1643</v>
      </c>
      <c r="T527" s="5" t="s">
        <v>445</v>
      </c>
    </row>
    <row r="528" spans="6:20">
      <c r="F528" s="36" t="s">
        <v>297</v>
      </c>
      <c r="G528" s="5" t="s">
        <v>298</v>
      </c>
      <c r="I528" s="6">
        <v>-444000</v>
      </c>
      <c r="J528" s="62">
        <v>-300</v>
      </c>
      <c r="K528" s="62">
        <v>1480</v>
      </c>
      <c r="L528" s="62" t="s">
        <v>1465</v>
      </c>
      <c r="M528" s="100" t="s">
        <v>452</v>
      </c>
      <c r="N528" s="5" t="s">
        <v>464</v>
      </c>
      <c r="O528" s="34" t="s">
        <v>1636</v>
      </c>
      <c r="P528" s="5" t="s">
        <v>1467</v>
      </c>
      <c r="Q528" s="5" t="s">
        <v>1637</v>
      </c>
      <c r="R528" s="5" t="s">
        <v>1653</v>
      </c>
      <c r="S528" s="5" t="s">
        <v>1639</v>
      </c>
      <c r="T528" s="5" t="s">
        <v>445</v>
      </c>
    </row>
    <row r="529" spans="6:20">
      <c r="F529" s="36" t="s">
        <v>297</v>
      </c>
      <c r="G529" s="5" t="s">
        <v>298</v>
      </c>
      <c r="I529" s="6">
        <v>-294000</v>
      </c>
      <c r="J529" s="62">
        <v>-200</v>
      </c>
      <c r="K529" s="62">
        <v>1470</v>
      </c>
      <c r="L529" s="62" t="s">
        <v>1550</v>
      </c>
      <c r="M529" s="100" t="s">
        <v>452</v>
      </c>
      <c r="N529" s="5" t="s">
        <v>464</v>
      </c>
      <c r="O529" s="34" t="s">
        <v>1640</v>
      </c>
      <c r="P529" s="5" t="s">
        <v>597</v>
      </c>
      <c r="Q529" s="5" t="s">
        <v>1641</v>
      </c>
      <c r="R529" s="5" t="s">
        <v>1656</v>
      </c>
      <c r="S529" s="5" t="s">
        <v>1643</v>
      </c>
      <c r="T529" s="5" t="s">
        <v>445</v>
      </c>
    </row>
    <row r="530" spans="6:20">
      <c r="F530" s="36" t="s">
        <v>297</v>
      </c>
      <c r="G530" s="5" t="s">
        <v>298</v>
      </c>
      <c r="I530" s="6">
        <v>-1184000</v>
      </c>
      <c r="J530" s="62">
        <v>-800</v>
      </c>
      <c r="K530" s="62">
        <v>1480</v>
      </c>
      <c r="L530" s="62" t="s">
        <v>1545</v>
      </c>
      <c r="M530" s="100" t="s">
        <v>452</v>
      </c>
      <c r="N530" s="5" t="s">
        <v>464</v>
      </c>
      <c r="O530" s="34" t="s">
        <v>1619</v>
      </c>
      <c r="P530" s="5" t="s">
        <v>1467</v>
      </c>
      <c r="Q530" s="5" t="s">
        <v>1620</v>
      </c>
      <c r="R530" s="5" t="s">
        <v>1681</v>
      </c>
      <c r="S530" s="5" t="s">
        <v>1622</v>
      </c>
      <c r="T530" s="5" t="s">
        <v>445</v>
      </c>
    </row>
    <row r="531" spans="6:20">
      <c r="F531" s="36" t="s">
        <v>297</v>
      </c>
      <c r="G531" s="5" t="s">
        <v>298</v>
      </c>
      <c r="I531" s="6">
        <v>-735000</v>
      </c>
      <c r="J531" s="62">
        <v>-500</v>
      </c>
      <c r="K531" s="62">
        <v>1470</v>
      </c>
      <c r="L531" s="62" t="s">
        <v>1717</v>
      </c>
      <c r="M531" s="100" t="s">
        <v>452</v>
      </c>
      <c r="N531" s="5" t="s">
        <v>464</v>
      </c>
      <c r="O531" s="34" t="s">
        <v>1787</v>
      </c>
      <c r="P531" s="5" t="s">
        <v>1467</v>
      </c>
      <c r="Q531" s="5" t="s">
        <v>1788</v>
      </c>
      <c r="R531" s="5" t="s">
        <v>1788</v>
      </c>
      <c r="S531" s="5" t="s">
        <v>1789</v>
      </c>
      <c r="T531" s="5" t="s">
        <v>445</v>
      </c>
    </row>
    <row r="532" spans="6:20">
      <c r="F532" s="36" t="s">
        <v>297</v>
      </c>
      <c r="G532" s="5" t="s">
        <v>298</v>
      </c>
      <c r="I532" s="6">
        <v>-867000</v>
      </c>
      <c r="J532" s="62">
        <v>-600</v>
      </c>
      <c r="K532" s="62">
        <v>1445</v>
      </c>
      <c r="L532" s="62" t="s">
        <v>1465</v>
      </c>
      <c r="M532" s="100" t="s">
        <v>452</v>
      </c>
      <c r="N532" s="5" t="s">
        <v>464</v>
      </c>
      <c r="O532" s="34" t="s">
        <v>1790</v>
      </c>
      <c r="P532" s="5" t="s">
        <v>1467</v>
      </c>
      <c r="Q532" s="5" t="s">
        <v>1791</v>
      </c>
      <c r="R532" s="5" t="s">
        <v>1791</v>
      </c>
      <c r="S532" s="5" t="s">
        <v>1792</v>
      </c>
      <c r="T532" s="5" t="s">
        <v>445</v>
      </c>
    </row>
    <row r="533" spans="6:20">
      <c r="F533" s="36" t="s">
        <v>297</v>
      </c>
      <c r="G533" s="5" t="s">
        <v>298</v>
      </c>
      <c r="I533" s="6">
        <v>88800</v>
      </c>
      <c r="J533" s="62">
        <v>60</v>
      </c>
      <c r="K533" s="62">
        <v>1480</v>
      </c>
      <c r="L533" s="62" t="s">
        <v>1545</v>
      </c>
      <c r="M533" s="100" t="s">
        <v>1416</v>
      </c>
      <c r="N533" s="5" t="s">
        <v>464</v>
      </c>
      <c r="O533" s="34" t="s">
        <v>1793</v>
      </c>
      <c r="P533" s="5" t="s">
        <v>1794</v>
      </c>
      <c r="Q533" s="5" t="s">
        <v>1795</v>
      </c>
      <c r="R533" s="5" t="s">
        <v>1795</v>
      </c>
      <c r="S533" s="5" t="s">
        <v>1796</v>
      </c>
      <c r="T533" s="5" t="s">
        <v>445</v>
      </c>
    </row>
    <row r="534" spans="6:20">
      <c r="F534" s="36" t="s">
        <v>297</v>
      </c>
      <c r="G534" s="5" t="s">
        <v>298</v>
      </c>
      <c r="I534" s="6">
        <v>384800</v>
      </c>
      <c r="J534" s="62">
        <v>260</v>
      </c>
      <c r="K534" s="62">
        <v>1480</v>
      </c>
      <c r="L534" s="62" t="s">
        <v>1545</v>
      </c>
      <c r="M534" s="100" t="s">
        <v>1416</v>
      </c>
      <c r="N534" s="5" t="s">
        <v>464</v>
      </c>
      <c r="O534" s="34" t="s">
        <v>1797</v>
      </c>
      <c r="P534" s="5" t="s">
        <v>1794</v>
      </c>
      <c r="Q534" s="5" t="s">
        <v>1798</v>
      </c>
      <c r="R534" s="5" t="s">
        <v>1798</v>
      </c>
      <c r="S534" s="5" t="s">
        <v>1799</v>
      </c>
      <c r="T534" s="5" t="s">
        <v>445</v>
      </c>
    </row>
    <row r="535" spans="6:20">
      <c r="F535" s="36" t="s">
        <v>297</v>
      </c>
      <c r="G535" s="5" t="s">
        <v>298</v>
      </c>
      <c r="I535" s="6">
        <v>1480000</v>
      </c>
      <c r="J535" s="62">
        <v>1000</v>
      </c>
      <c r="K535" s="62">
        <v>1480</v>
      </c>
      <c r="L535" s="62" t="s">
        <v>1465</v>
      </c>
      <c r="M535" s="100" t="s">
        <v>1416</v>
      </c>
      <c r="N535" s="5" t="s">
        <v>464</v>
      </c>
      <c r="O535" s="34" t="s">
        <v>1800</v>
      </c>
      <c r="P535" s="5" t="s">
        <v>1794</v>
      </c>
      <c r="Q535" s="5" t="s">
        <v>1801</v>
      </c>
      <c r="R535" s="5" t="s">
        <v>1801</v>
      </c>
      <c r="S535" s="5" t="s">
        <v>1802</v>
      </c>
      <c r="T535" s="5" t="s">
        <v>445</v>
      </c>
    </row>
    <row r="536" spans="6:20">
      <c r="F536" s="36" t="s">
        <v>1380</v>
      </c>
      <c r="G536" s="5" t="s">
        <v>1381</v>
      </c>
      <c r="I536" s="6">
        <v>296000</v>
      </c>
      <c r="J536" s="62">
        <v>200</v>
      </c>
      <c r="K536" s="62">
        <v>1480</v>
      </c>
      <c r="L536" s="62" t="s">
        <v>1752</v>
      </c>
      <c r="M536" s="100" t="s">
        <v>1382</v>
      </c>
      <c r="N536" s="5" t="s">
        <v>464</v>
      </c>
      <c r="O536" s="34" t="s">
        <v>1753</v>
      </c>
      <c r="P536" s="5" t="s">
        <v>1754</v>
      </c>
      <c r="Q536" s="5" t="s">
        <v>1755</v>
      </c>
      <c r="R536" s="5" t="s">
        <v>1756</v>
      </c>
      <c r="S536" s="5" t="s">
        <v>1757</v>
      </c>
      <c r="T536" s="5" t="s">
        <v>445</v>
      </c>
    </row>
    <row r="537" spans="6:20">
      <c r="F537" s="36" t="s">
        <v>1380</v>
      </c>
      <c r="G537" s="5" t="s">
        <v>1381</v>
      </c>
      <c r="I537" s="6">
        <v>384800</v>
      </c>
      <c r="J537" s="62">
        <v>260</v>
      </c>
      <c r="K537" s="62">
        <v>1480</v>
      </c>
      <c r="L537" s="62" t="s">
        <v>1758</v>
      </c>
      <c r="M537" s="100" t="s">
        <v>1382</v>
      </c>
      <c r="N537" s="5" t="s">
        <v>464</v>
      </c>
      <c r="O537" s="34" t="s">
        <v>1759</v>
      </c>
      <c r="P537" s="5" t="s">
        <v>1754</v>
      </c>
      <c r="Q537" s="5" t="s">
        <v>1760</v>
      </c>
      <c r="R537" s="5" t="s">
        <v>1756</v>
      </c>
      <c r="S537" s="5" t="s">
        <v>1761</v>
      </c>
      <c r="T537" s="5" t="s">
        <v>445</v>
      </c>
    </row>
    <row r="538" spans="6:20">
      <c r="F538" s="36" t="s">
        <v>1380</v>
      </c>
      <c r="G538" s="5" t="s">
        <v>1381</v>
      </c>
      <c r="I538" s="6">
        <v>518000</v>
      </c>
      <c r="J538" s="62">
        <v>350</v>
      </c>
      <c r="K538" s="62">
        <v>1480</v>
      </c>
      <c r="L538" s="62" t="s">
        <v>1752</v>
      </c>
      <c r="M538" s="100" t="s">
        <v>1382</v>
      </c>
      <c r="N538" s="5" t="s">
        <v>464</v>
      </c>
      <c r="O538" s="34" t="s">
        <v>1762</v>
      </c>
      <c r="P538" s="5" t="s">
        <v>1754</v>
      </c>
      <c r="Q538" s="5" t="s">
        <v>1763</v>
      </c>
      <c r="R538" s="5" t="s">
        <v>1764</v>
      </c>
      <c r="S538" s="5" t="s">
        <v>1765</v>
      </c>
      <c r="T538" s="5" t="s">
        <v>445</v>
      </c>
    </row>
    <row r="539" spans="6:20">
      <c r="F539" s="36" t="s">
        <v>1380</v>
      </c>
      <c r="G539" s="5" t="s">
        <v>1381</v>
      </c>
      <c r="I539" s="6">
        <v>888000</v>
      </c>
      <c r="J539" s="62">
        <v>600</v>
      </c>
      <c r="K539" s="62">
        <v>1480</v>
      </c>
      <c r="L539" s="62" t="s">
        <v>1752</v>
      </c>
      <c r="M539" s="100" t="s">
        <v>1382</v>
      </c>
      <c r="N539" s="5" t="s">
        <v>464</v>
      </c>
      <c r="O539" s="34" t="s">
        <v>1766</v>
      </c>
      <c r="P539" s="5" t="s">
        <v>1754</v>
      </c>
      <c r="Q539" s="5" t="s">
        <v>1767</v>
      </c>
      <c r="R539" s="5" t="s">
        <v>1764</v>
      </c>
      <c r="S539" s="5" t="s">
        <v>1768</v>
      </c>
      <c r="T539" s="5" t="s">
        <v>445</v>
      </c>
    </row>
    <row r="540" spans="6:20">
      <c r="F540" s="36" t="s">
        <v>1380</v>
      </c>
      <c r="G540" s="5" t="s">
        <v>1381</v>
      </c>
      <c r="I540" s="6">
        <v>592000</v>
      </c>
      <c r="J540" s="62">
        <v>400</v>
      </c>
      <c r="K540" s="62">
        <v>1480</v>
      </c>
      <c r="L540" s="62" t="s">
        <v>1769</v>
      </c>
      <c r="M540" s="100" t="s">
        <v>1382</v>
      </c>
      <c r="N540" s="5" t="s">
        <v>464</v>
      </c>
      <c r="O540" s="34" t="s">
        <v>1770</v>
      </c>
      <c r="P540" s="5" t="s">
        <v>1754</v>
      </c>
      <c r="Q540" s="5" t="s">
        <v>1771</v>
      </c>
      <c r="R540" s="5" t="s">
        <v>1772</v>
      </c>
      <c r="S540" s="5" t="s">
        <v>1773</v>
      </c>
      <c r="T540" s="5" t="s">
        <v>445</v>
      </c>
    </row>
    <row r="541" spans="6:20">
      <c r="F541" s="36" t="s">
        <v>1380</v>
      </c>
      <c r="G541" s="5" t="s">
        <v>1381</v>
      </c>
      <c r="I541" s="6">
        <v>88800</v>
      </c>
      <c r="J541" s="62">
        <v>60</v>
      </c>
      <c r="K541" s="62">
        <v>1480</v>
      </c>
      <c r="L541" s="62" t="s">
        <v>1752</v>
      </c>
      <c r="M541" s="100" t="s">
        <v>1382</v>
      </c>
      <c r="N541" s="5" t="s">
        <v>464</v>
      </c>
      <c r="O541" s="34" t="s">
        <v>1774</v>
      </c>
      <c r="P541" s="5" t="s">
        <v>1754</v>
      </c>
      <c r="Q541" s="5" t="s">
        <v>1775</v>
      </c>
      <c r="R541" s="5" t="s">
        <v>1776</v>
      </c>
      <c r="S541" s="5" t="s">
        <v>1777</v>
      </c>
      <c r="T541" s="5" t="s">
        <v>445</v>
      </c>
    </row>
    <row r="542" spans="6:20">
      <c r="F542" s="36" t="s">
        <v>1380</v>
      </c>
      <c r="G542" s="5" t="s">
        <v>1381</v>
      </c>
      <c r="I542" s="6">
        <v>1176000</v>
      </c>
      <c r="J542" s="62">
        <v>800</v>
      </c>
      <c r="K542" s="62">
        <v>1470</v>
      </c>
      <c r="L542" s="62" t="s">
        <v>1550</v>
      </c>
      <c r="M542" s="100" t="s">
        <v>1382</v>
      </c>
      <c r="N542" s="5" t="s">
        <v>464</v>
      </c>
      <c r="O542" s="34" t="s">
        <v>1778</v>
      </c>
      <c r="P542" s="5" t="s">
        <v>1384</v>
      </c>
      <c r="Q542" s="5" t="s">
        <v>1779</v>
      </c>
      <c r="R542" s="5" t="s">
        <v>1780</v>
      </c>
      <c r="S542" s="5" t="s">
        <v>1781</v>
      </c>
      <c r="T542" s="5" t="s">
        <v>445</v>
      </c>
    </row>
    <row r="543" spans="6:20">
      <c r="F543" s="36" t="s">
        <v>1380</v>
      </c>
      <c r="G543" s="5" t="s">
        <v>1381</v>
      </c>
      <c r="I543" s="6">
        <v>1480000</v>
      </c>
      <c r="J543" s="62">
        <v>1000</v>
      </c>
      <c r="K543" s="62">
        <v>1480</v>
      </c>
      <c r="L543" s="62" t="s">
        <v>1782</v>
      </c>
      <c r="M543" s="100" t="s">
        <v>1382</v>
      </c>
      <c r="N543" s="5" t="s">
        <v>464</v>
      </c>
      <c r="O543" s="34" t="s">
        <v>1783</v>
      </c>
      <c r="P543" s="5" t="s">
        <v>1754</v>
      </c>
      <c r="Q543" s="5" t="s">
        <v>1784</v>
      </c>
      <c r="R543" s="5" t="s">
        <v>1785</v>
      </c>
      <c r="S543" s="5" t="s">
        <v>1786</v>
      </c>
      <c r="T543" s="5" t="s">
        <v>445</v>
      </c>
    </row>
    <row r="544" spans="6:20">
      <c r="F544" s="36" t="s">
        <v>1380</v>
      </c>
      <c r="G544" s="5" t="s">
        <v>1381</v>
      </c>
      <c r="I544" s="6">
        <v>-88800</v>
      </c>
      <c r="J544" s="62">
        <v>-60</v>
      </c>
      <c r="K544" s="62">
        <v>1480</v>
      </c>
      <c r="L544" s="62" t="s">
        <v>1545</v>
      </c>
      <c r="M544" s="100" t="s">
        <v>1416</v>
      </c>
      <c r="N544" s="5" t="s">
        <v>464</v>
      </c>
      <c r="O544" s="34" t="s">
        <v>1793</v>
      </c>
      <c r="P544" s="5" t="s">
        <v>1794</v>
      </c>
      <c r="Q544" s="5" t="s">
        <v>1795</v>
      </c>
      <c r="R544" s="5" t="s">
        <v>1795</v>
      </c>
      <c r="S544" s="5" t="s">
        <v>1796</v>
      </c>
      <c r="T544" s="5" t="s">
        <v>445</v>
      </c>
    </row>
    <row r="545" spans="6:20">
      <c r="F545" s="36" t="s">
        <v>1380</v>
      </c>
      <c r="G545" s="5" t="s">
        <v>1381</v>
      </c>
      <c r="I545" s="6">
        <v>-384800</v>
      </c>
      <c r="J545" s="62">
        <v>-260</v>
      </c>
      <c r="K545" s="62">
        <v>1480</v>
      </c>
      <c r="L545" s="62" t="s">
        <v>1545</v>
      </c>
      <c r="M545" s="100" t="s">
        <v>1416</v>
      </c>
      <c r="N545" s="5" t="s">
        <v>464</v>
      </c>
      <c r="O545" s="34" t="s">
        <v>1797</v>
      </c>
      <c r="P545" s="5" t="s">
        <v>1794</v>
      </c>
      <c r="Q545" s="5" t="s">
        <v>1798</v>
      </c>
      <c r="R545" s="5" t="s">
        <v>1798</v>
      </c>
      <c r="S545" s="5" t="s">
        <v>1799</v>
      </c>
      <c r="T545" s="5" t="s">
        <v>445</v>
      </c>
    </row>
    <row r="546" spans="6:20">
      <c r="F546" s="36" t="s">
        <v>1380</v>
      </c>
      <c r="G546" s="5" t="s">
        <v>1381</v>
      </c>
      <c r="I546" s="6">
        <v>-1480000</v>
      </c>
      <c r="J546" s="62">
        <v>-1000</v>
      </c>
      <c r="K546" s="62">
        <v>1480</v>
      </c>
      <c r="L546" s="62" t="s">
        <v>1465</v>
      </c>
      <c r="M546" s="100" t="s">
        <v>1416</v>
      </c>
      <c r="N546" s="5" t="s">
        <v>464</v>
      </c>
      <c r="O546" s="34" t="s">
        <v>1800</v>
      </c>
      <c r="P546" s="5" t="s">
        <v>1794</v>
      </c>
      <c r="Q546" s="5" t="s">
        <v>1801</v>
      </c>
      <c r="R546" s="5" t="s">
        <v>1801</v>
      </c>
      <c r="S546" s="5" t="s">
        <v>1802</v>
      </c>
      <c r="T546" s="5" t="s">
        <v>445</v>
      </c>
    </row>
    <row r="547" spans="6:20">
      <c r="F547" s="36" t="s">
        <v>1380</v>
      </c>
      <c r="G547" s="5" t="s">
        <v>1381</v>
      </c>
      <c r="I547" s="6">
        <v>-888000</v>
      </c>
      <c r="J547" s="62">
        <v>-600</v>
      </c>
      <c r="K547" s="62">
        <v>1480</v>
      </c>
      <c r="L547" s="62" t="s">
        <v>1465</v>
      </c>
      <c r="M547" s="100" t="s">
        <v>1416</v>
      </c>
      <c r="N547" s="5" t="s">
        <v>464</v>
      </c>
      <c r="O547" s="34" t="s">
        <v>1803</v>
      </c>
      <c r="P547" s="5" t="s">
        <v>1794</v>
      </c>
      <c r="Q547" s="5" t="s">
        <v>1804</v>
      </c>
      <c r="R547" s="5" t="s">
        <v>1804</v>
      </c>
      <c r="S547" s="5" t="s">
        <v>1805</v>
      </c>
      <c r="T547" s="5" t="s">
        <v>445</v>
      </c>
    </row>
    <row r="548" spans="6:20">
      <c r="F548" s="36" t="s">
        <v>1380</v>
      </c>
      <c r="G548" s="5" t="s">
        <v>1381</v>
      </c>
      <c r="I548" s="6">
        <v>-518000</v>
      </c>
      <c r="J548" s="62">
        <v>-350</v>
      </c>
      <c r="K548" s="62">
        <v>1480</v>
      </c>
      <c r="L548" s="62" t="s">
        <v>1465</v>
      </c>
      <c r="M548" s="100" t="s">
        <v>1416</v>
      </c>
      <c r="N548" s="5" t="s">
        <v>464</v>
      </c>
      <c r="O548" s="34" t="s">
        <v>1806</v>
      </c>
      <c r="P548" s="5" t="s">
        <v>1794</v>
      </c>
      <c r="Q548" s="5" t="s">
        <v>1807</v>
      </c>
      <c r="R548" s="5" t="s">
        <v>1807</v>
      </c>
      <c r="S548" s="5" t="s">
        <v>1808</v>
      </c>
      <c r="T548" s="5" t="s">
        <v>445</v>
      </c>
    </row>
    <row r="549" spans="6:20">
      <c r="F549" s="36" t="s">
        <v>1380</v>
      </c>
      <c r="G549" s="5" t="s">
        <v>1381</v>
      </c>
      <c r="I549" s="6">
        <v>-592000</v>
      </c>
      <c r="J549" s="62">
        <v>-400</v>
      </c>
      <c r="K549" s="62">
        <v>1480</v>
      </c>
      <c r="L549" s="62" t="s">
        <v>1465</v>
      </c>
      <c r="M549" s="100" t="s">
        <v>1416</v>
      </c>
      <c r="N549" s="5" t="s">
        <v>464</v>
      </c>
      <c r="O549" s="34" t="s">
        <v>1809</v>
      </c>
      <c r="P549" s="5" t="s">
        <v>1794</v>
      </c>
      <c r="Q549" s="5" t="s">
        <v>1810</v>
      </c>
      <c r="R549" s="5" t="s">
        <v>1810</v>
      </c>
      <c r="S549" s="5" t="s">
        <v>1811</v>
      </c>
      <c r="T549" s="5" t="s">
        <v>445</v>
      </c>
    </row>
    <row r="550" spans="6:20">
      <c r="F550" s="36" t="s">
        <v>1380</v>
      </c>
      <c r="G550" s="5" t="s">
        <v>1381</v>
      </c>
      <c r="I550" s="6">
        <v>-296000</v>
      </c>
      <c r="J550" s="62">
        <v>-200</v>
      </c>
      <c r="K550" s="62">
        <v>1480</v>
      </c>
      <c r="L550" s="62" t="s">
        <v>1465</v>
      </c>
      <c r="M550" s="100" t="s">
        <v>1416</v>
      </c>
      <c r="N550" s="5" t="s">
        <v>464</v>
      </c>
      <c r="O550" s="34" t="s">
        <v>1812</v>
      </c>
      <c r="P550" s="5" t="s">
        <v>1794</v>
      </c>
      <c r="Q550" s="5" t="s">
        <v>1813</v>
      </c>
      <c r="R550" s="5" t="s">
        <v>1813</v>
      </c>
      <c r="S550" s="5" t="s">
        <v>1814</v>
      </c>
      <c r="T550" s="5" t="s">
        <v>445</v>
      </c>
    </row>
    <row r="551" spans="6:20">
      <c r="F551" s="36" t="s">
        <v>1380</v>
      </c>
      <c r="G551" s="5" t="s">
        <v>1381</v>
      </c>
      <c r="I551" s="6">
        <v>-36707</v>
      </c>
      <c r="J551" s="62">
        <v>-25.85</v>
      </c>
      <c r="K551" s="62">
        <v>1420</v>
      </c>
      <c r="L551" s="62" t="s">
        <v>1465</v>
      </c>
      <c r="M551" s="100" t="s">
        <v>1382</v>
      </c>
      <c r="N551" s="5" t="s">
        <v>464</v>
      </c>
      <c r="O551" s="34" t="s">
        <v>1815</v>
      </c>
      <c r="P551" s="5" t="s">
        <v>1754</v>
      </c>
      <c r="Q551" s="5" t="s">
        <v>1816</v>
      </c>
      <c r="R551" s="5" t="s">
        <v>1816</v>
      </c>
      <c r="S551" s="5" t="s">
        <v>1817</v>
      </c>
      <c r="T551" s="5" t="s">
        <v>445</v>
      </c>
    </row>
    <row r="552" spans="6:20">
      <c r="F552" s="36" t="s">
        <v>1380</v>
      </c>
      <c r="G552" s="5" t="s">
        <v>1381</v>
      </c>
      <c r="I552" s="6">
        <v>-2896.8</v>
      </c>
      <c r="J552" s="62">
        <v>-2.04</v>
      </c>
      <c r="K552" s="62">
        <v>1420</v>
      </c>
      <c r="L552" s="62" t="s">
        <v>1465</v>
      </c>
      <c r="M552" s="100" t="s">
        <v>1382</v>
      </c>
      <c r="N552" s="5" t="s">
        <v>464</v>
      </c>
      <c r="O552" s="34" t="s">
        <v>1818</v>
      </c>
      <c r="P552" s="5" t="s">
        <v>1754</v>
      </c>
      <c r="Q552" s="5" t="s">
        <v>1819</v>
      </c>
      <c r="R552" s="5" t="s">
        <v>1819</v>
      </c>
      <c r="S552" s="5" t="s">
        <v>1820</v>
      </c>
      <c r="T552" s="5" t="s">
        <v>445</v>
      </c>
    </row>
    <row r="553" spans="6:20">
      <c r="F553" s="36" t="s">
        <v>303</v>
      </c>
      <c r="G553" s="5" t="s">
        <v>304</v>
      </c>
      <c r="I553" s="6">
        <v>-654150</v>
      </c>
      <c r="J553" s="62">
        <v>-445</v>
      </c>
      <c r="K553" s="62">
        <v>1470</v>
      </c>
      <c r="L553" s="62" t="s">
        <v>1499</v>
      </c>
      <c r="M553" s="100" t="s">
        <v>452</v>
      </c>
      <c r="N553" s="5" t="s">
        <v>464</v>
      </c>
      <c r="O553" s="34" t="s">
        <v>1500</v>
      </c>
      <c r="P553" s="5" t="s">
        <v>1467</v>
      </c>
      <c r="Q553" s="5" t="s">
        <v>1501</v>
      </c>
      <c r="R553" s="5" t="s">
        <v>1502</v>
      </c>
      <c r="S553" s="5" t="s">
        <v>1503</v>
      </c>
      <c r="T553" s="5" t="s">
        <v>445</v>
      </c>
    </row>
    <row r="554" spans="6:20">
      <c r="F554" s="36" t="s">
        <v>303</v>
      </c>
      <c r="G554" s="5" t="s">
        <v>304</v>
      </c>
      <c r="I554" s="6">
        <v>-654150</v>
      </c>
      <c r="J554" s="62">
        <v>-445</v>
      </c>
      <c r="K554" s="62">
        <v>1470</v>
      </c>
      <c r="L554" s="62" t="s">
        <v>1499</v>
      </c>
      <c r="M554" s="100" t="s">
        <v>452</v>
      </c>
      <c r="N554" s="5" t="s">
        <v>464</v>
      </c>
      <c r="O554" s="34" t="s">
        <v>1500</v>
      </c>
      <c r="P554" s="5" t="s">
        <v>1467</v>
      </c>
      <c r="Q554" s="5" t="s">
        <v>1501</v>
      </c>
      <c r="R554" s="5" t="s">
        <v>1504</v>
      </c>
      <c r="S554" s="5" t="s">
        <v>1503</v>
      </c>
      <c r="T554" s="5" t="s">
        <v>445</v>
      </c>
    </row>
    <row r="555" spans="6:20">
      <c r="F555" s="36" t="s">
        <v>303</v>
      </c>
      <c r="G555" s="5" t="s">
        <v>304</v>
      </c>
      <c r="I555" s="6">
        <v>-658600</v>
      </c>
      <c r="J555" s="62">
        <v>-445</v>
      </c>
      <c r="K555" s="62">
        <v>1480</v>
      </c>
      <c r="L555" s="62" t="s">
        <v>1465</v>
      </c>
      <c r="M555" s="100" t="s">
        <v>452</v>
      </c>
      <c r="N555" s="5" t="s">
        <v>464</v>
      </c>
      <c r="O555" s="34" t="s">
        <v>1505</v>
      </c>
      <c r="P555" s="5" t="s">
        <v>1467</v>
      </c>
      <c r="Q555" s="5" t="s">
        <v>1506</v>
      </c>
      <c r="R555" s="5" t="s">
        <v>1507</v>
      </c>
      <c r="S555" s="5" t="s">
        <v>1508</v>
      </c>
      <c r="T555" s="5" t="s">
        <v>445</v>
      </c>
    </row>
    <row r="556" spans="6:20">
      <c r="F556" s="36" t="s">
        <v>303</v>
      </c>
      <c r="G556" s="5" t="s">
        <v>304</v>
      </c>
      <c r="I556" s="6">
        <v>-658600</v>
      </c>
      <c r="J556" s="62">
        <v>-445</v>
      </c>
      <c r="K556" s="62">
        <v>1480</v>
      </c>
      <c r="L556" s="62" t="s">
        <v>1471</v>
      </c>
      <c r="M556" s="100" t="s">
        <v>452</v>
      </c>
      <c r="N556" s="5" t="s">
        <v>464</v>
      </c>
      <c r="O556" s="34" t="s">
        <v>1509</v>
      </c>
      <c r="P556" s="5" t="s">
        <v>1467</v>
      </c>
      <c r="Q556" s="5" t="s">
        <v>1510</v>
      </c>
      <c r="R556" s="5" t="s">
        <v>1511</v>
      </c>
      <c r="S556" s="5" t="s">
        <v>1512</v>
      </c>
      <c r="T556" s="5" t="s">
        <v>445</v>
      </c>
    </row>
    <row r="557" spans="6:20">
      <c r="F557" s="36" t="s">
        <v>303</v>
      </c>
      <c r="G557" s="5" t="s">
        <v>304</v>
      </c>
      <c r="I557" s="6">
        <v>-658600</v>
      </c>
      <c r="J557" s="62">
        <v>-445</v>
      </c>
      <c r="K557" s="62">
        <v>1480</v>
      </c>
      <c r="L557" s="62" t="s">
        <v>1471</v>
      </c>
      <c r="M557" s="100" t="s">
        <v>452</v>
      </c>
      <c r="N557" s="5" t="s">
        <v>464</v>
      </c>
      <c r="O557" s="34" t="s">
        <v>1509</v>
      </c>
      <c r="P557" s="5" t="s">
        <v>1467</v>
      </c>
      <c r="Q557" s="5" t="s">
        <v>1510</v>
      </c>
      <c r="R557" s="5" t="s">
        <v>1513</v>
      </c>
      <c r="S557" s="5" t="s">
        <v>1512</v>
      </c>
      <c r="T557" s="5" t="s">
        <v>445</v>
      </c>
    </row>
    <row r="558" spans="6:20">
      <c r="F558" s="36" t="s">
        <v>303</v>
      </c>
      <c r="G558" s="5" t="s">
        <v>304</v>
      </c>
      <c r="I558" s="6">
        <v>-8232000</v>
      </c>
      <c r="J558" s="62">
        <v>-5600</v>
      </c>
      <c r="K558" s="62">
        <v>1470</v>
      </c>
      <c r="L558" s="62" t="s">
        <v>1521</v>
      </c>
      <c r="M558" s="100" t="s">
        <v>452</v>
      </c>
      <c r="N558" s="5" t="s">
        <v>464</v>
      </c>
      <c r="O558" s="34" t="s">
        <v>1526</v>
      </c>
      <c r="P558" s="5" t="s">
        <v>597</v>
      </c>
      <c r="Q558" s="5" t="s">
        <v>1527</v>
      </c>
      <c r="R558" s="5" t="s">
        <v>1528</v>
      </c>
      <c r="S558" s="5" t="s">
        <v>1529</v>
      </c>
      <c r="T558" s="5" t="s">
        <v>445</v>
      </c>
    </row>
    <row r="559" spans="6:20">
      <c r="F559" s="36" t="s">
        <v>303</v>
      </c>
      <c r="G559" s="5" t="s">
        <v>304</v>
      </c>
      <c r="I559" s="6">
        <v>-2930400</v>
      </c>
      <c r="J559" s="62">
        <v>-1980</v>
      </c>
      <c r="K559" s="62">
        <v>1480</v>
      </c>
      <c r="L559" s="62" t="s">
        <v>1465</v>
      </c>
      <c r="M559" s="100" t="s">
        <v>452</v>
      </c>
      <c r="N559" s="5" t="s">
        <v>464</v>
      </c>
      <c r="O559" s="34" t="s">
        <v>1505</v>
      </c>
      <c r="P559" s="5" t="s">
        <v>1467</v>
      </c>
      <c r="Q559" s="5" t="s">
        <v>1506</v>
      </c>
      <c r="R559" s="5" t="s">
        <v>1532</v>
      </c>
      <c r="S559" s="5" t="s">
        <v>1508</v>
      </c>
      <c r="T559" s="5" t="s">
        <v>445</v>
      </c>
    </row>
    <row r="560" spans="6:20">
      <c r="F560" s="36" t="s">
        <v>1679</v>
      </c>
      <c r="G560" s="5" t="s">
        <v>1680</v>
      </c>
      <c r="I560" s="6">
        <v>1184000</v>
      </c>
      <c r="J560" s="62">
        <v>800</v>
      </c>
      <c r="K560" s="62">
        <v>1480</v>
      </c>
      <c r="L560" s="62" t="s">
        <v>1545</v>
      </c>
      <c r="M560" s="100" t="s">
        <v>452</v>
      </c>
      <c r="N560" s="5" t="s">
        <v>464</v>
      </c>
      <c r="O560" s="34" t="s">
        <v>1619</v>
      </c>
      <c r="P560" s="5" t="s">
        <v>1467</v>
      </c>
      <c r="Q560" s="5" t="s">
        <v>1620</v>
      </c>
      <c r="R560" s="5" t="s">
        <v>1681</v>
      </c>
      <c r="S560" s="5" t="s">
        <v>1622</v>
      </c>
      <c r="T560" s="5" t="s">
        <v>445</v>
      </c>
    </row>
    <row r="561" spans="6:20">
      <c r="F561" s="36" t="s">
        <v>1679</v>
      </c>
      <c r="G561" s="5" t="s">
        <v>1680</v>
      </c>
      <c r="I561" s="6">
        <v>-518000</v>
      </c>
      <c r="J561" s="62">
        <v>-350</v>
      </c>
      <c r="K561" s="62">
        <v>1480</v>
      </c>
      <c r="L561" s="62" t="s">
        <v>1752</v>
      </c>
      <c r="M561" s="100" t="s">
        <v>1382</v>
      </c>
      <c r="N561" s="5" t="s">
        <v>464</v>
      </c>
      <c r="O561" s="34" t="s">
        <v>1762</v>
      </c>
      <c r="P561" s="5" t="s">
        <v>1754</v>
      </c>
      <c r="Q561" s="5" t="s">
        <v>1763</v>
      </c>
      <c r="R561" s="5" t="s">
        <v>1764</v>
      </c>
      <c r="S561" s="5" t="s">
        <v>1765</v>
      </c>
      <c r="T561" s="5" t="s">
        <v>445</v>
      </c>
    </row>
    <row r="562" spans="6:20">
      <c r="F562" s="36" t="s">
        <v>1679</v>
      </c>
      <c r="G562" s="5" t="s">
        <v>1680</v>
      </c>
      <c r="I562" s="6">
        <v>-888000</v>
      </c>
      <c r="J562" s="62">
        <v>-600</v>
      </c>
      <c r="K562" s="62">
        <v>1480</v>
      </c>
      <c r="L562" s="62" t="s">
        <v>1752</v>
      </c>
      <c r="M562" s="100" t="s">
        <v>1382</v>
      </c>
      <c r="N562" s="5" t="s">
        <v>464</v>
      </c>
      <c r="O562" s="34" t="s">
        <v>1766</v>
      </c>
      <c r="P562" s="5" t="s">
        <v>1754</v>
      </c>
      <c r="Q562" s="5" t="s">
        <v>1767</v>
      </c>
      <c r="R562" s="5" t="s">
        <v>1764</v>
      </c>
      <c r="S562" s="5" t="s">
        <v>1768</v>
      </c>
      <c r="T562" s="5" t="s">
        <v>445</v>
      </c>
    </row>
    <row r="563" spans="6:20">
      <c r="F563" s="36" t="s">
        <v>1679</v>
      </c>
      <c r="G563" s="5" t="s">
        <v>1680</v>
      </c>
      <c r="I563" s="6">
        <v>-588000</v>
      </c>
      <c r="J563" s="62">
        <v>-400</v>
      </c>
      <c r="K563" s="62">
        <v>1470</v>
      </c>
      <c r="L563" s="62" t="s">
        <v>1550</v>
      </c>
      <c r="M563" s="100" t="s">
        <v>1382</v>
      </c>
      <c r="N563" s="5" t="s">
        <v>464</v>
      </c>
      <c r="O563" s="34" t="s">
        <v>1778</v>
      </c>
      <c r="P563" s="5" t="s">
        <v>1384</v>
      </c>
      <c r="Q563" s="5" t="s">
        <v>1779</v>
      </c>
      <c r="R563" s="5" t="s">
        <v>1780</v>
      </c>
      <c r="S563" s="5" t="s">
        <v>1781</v>
      </c>
      <c r="T563" s="5" t="s">
        <v>445</v>
      </c>
    </row>
    <row r="564" spans="6:20">
      <c r="F564" s="36" t="s">
        <v>1679</v>
      </c>
      <c r="G564" s="5" t="s">
        <v>1680</v>
      </c>
      <c r="I564" s="6">
        <v>-588000</v>
      </c>
      <c r="J564" s="62">
        <v>-400</v>
      </c>
      <c r="K564" s="62">
        <v>1470</v>
      </c>
      <c r="L564" s="62" t="s">
        <v>1550</v>
      </c>
      <c r="M564" s="100" t="s">
        <v>1382</v>
      </c>
      <c r="N564" s="5" t="s">
        <v>464</v>
      </c>
      <c r="O564" s="34" t="s">
        <v>1778</v>
      </c>
      <c r="P564" s="5" t="s">
        <v>1384</v>
      </c>
      <c r="Q564" s="5" t="s">
        <v>1779</v>
      </c>
      <c r="R564" s="5" t="s">
        <v>1780</v>
      </c>
      <c r="S564" s="5" t="s">
        <v>1781</v>
      </c>
      <c r="T564" s="5" t="s">
        <v>445</v>
      </c>
    </row>
    <row r="565" spans="6:20">
      <c r="F565" s="36" t="s">
        <v>309</v>
      </c>
      <c r="G565" s="5" t="s">
        <v>310</v>
      </c>
      <c r="I565" s="6">
        <v>2425500</v>
      </c>
      <c r="J565" s="62">
        <v>1650</v>
      </c>
      <c r="K565" s="62">
        <v>1470</v>
      </c>
      <c r="L565" s="62" t="s">
        <v>1460</v>
      </c>
      <c r="M565" s="100" t="s">
        <v>452</v>
      </c>
      <c r="N565" s="5" t="s">
        <v>464</v>
      </c>
      <c r="O565" s="34" t="s">
        <v>1461</v>
      </c>
      <c r="P565" s="5" t="s">
        <v>597</v>
      </c>
      <c r="Q565" s="5" t="s">
        <v>1462</v>
      </c>
      <c r="R565" s="5" t="s">
        <v>1463</v>
      </c>
      <c r="S565" s="5" t="s">
        <v>1464</v>
      </c>
      <c r="T565" s="5" t="s">
        <v>445</v>
      </c>
    </row>
    <row r="566" spans="6:20">
      <c r="F566" s="36" t="s">
        <v>309</v>
      </c>
      <c r="G566" s="5" t="s">
        <v>310</v>
      </c>
      <c r="I566" s="6">
        <v>-1212750</v>
      </c>
      <c r="J566" s="62">
        <v>-825</v>
      </c>
      <c r="K566" s="62">
        <v>1470</v>
      </c>
      <c r="L566" s="62" t="s">
        <v>1499</v>
      </c>
      <c r="M566" s="100" t="s">
        <v>452</v>
      </c>
      <c r="N566" s="5" t="s">
        <v>464</v>
      </c>
      <c r="O566" s="34" t="s">
        <v>1500</v>
      </c>
      <c r="P566" s="5" t="s">
        <v>1467</v>
      </c>
      <c r="Q566" s="5" t="s">
        <v>1501</v>
      </c>
      <c r="R566" s="5" t="s">
        <v>1514</v>
      </c>
      <c r="S566" s="5" t="s">
        <v>1503</v>
      </c>
      <c r="T566" s="5" t="s">
        <v>445</v>
      </c>
    </row>
    <row r="567" spans="6:20">
      <c r="F567" s="36" t="s">
        <v>309</v>
      </c>
      <c r="G567" s="5" t="s">
        <v>310</v>
      </c>
      <c r="I567" s="6">
        <v>8232000</v>
      </c>
      <c r="J567" s="62">
        <v>5600</v>
      </c>
      <c r="K567" s="62">
        <v>1470</v>
      </c>
      <c r="L567" s="62" t="s">
        <v>1521</v>
      </c>
      <c r="M567" s="100" t="s">
        <v>452</v>
      </c>
      <c r="N567" s="5" t="s">
        <v>464</v>
      </c>
      <c r="O567" s="34" t="s">
        <v>1522</v>
      </c>
      <c r="P567" s="5" t="s">
        <v>597</v>
      </c>
      <c r="Q567" s="5" t="s">
        <v>1523</v>
      </c>
      <c r="R567" s="5" t="s">
        <v>1524</v>
      </c>
      <c r="S567" s="5" t="s">
        <v>1525</v>
      </c>
      <c r="T567" s="5" t="s">
        <v>445</v>
      </c>
    </row>
    <row r="568" spans="6:20">
      <c r="F568" s="36" t="s">
        <v>309</v>
      </c>
      <c r="G568" s="5" t="s">
        <v>310</v>
      </c>
      <c r="I568" s="6">
        <v>-2866500</v>
      </c>
      <c r="J568" s="62">
        <v>-1950</v>
      </c>
      <c r="K568" s="62">
        <v>1470</v>
      </c>
      <c r="L568" s="62" t="s">
        <v>1521</v>
      </c>
      <c r="M568" s="100" t="s">
        <v>452</v>
      </c>
      <c r="N568" s="5" t="s">
        <v>464</v>
      </c>
      <c r="O568" s="34" t="s">
        <v>1526</v>
      </c>
      <c r="P568" s="5" t="s">
        <v>597</v>
      </c>
      <c r="Q568" s="5" t="s">
        <v>1527</v>
      </c>
      <c r="R568" s="5" t="s">
        <v>1530</v>
      </c>
      <c r="S568" s="5" t="s">
        <v>1529</v>
      </c>
      <c r="T568" s="5" t="s">
        <v>445</v>
      </c>
    </row>
    <row r="569" spans="6:20">
      <c r="F569" s="36" t="s">
        <v>309</v>
      </c>
      <c r="G569" s="5" t="s">
        <v>310</v>
      </c>
      <c r="I569" s="6">
        <v>-4996059.5999999996</v>
      </c>
      <c r="J569" s="62">
        <v>-3398.68</v>
      </c>
      <c r="K569" s="62">
        <v>1470</v>
      </c>
      <c r="L569" s="62" t="s">
        <v>1521</v>
      </c>
      <c r="M569" s="100" t="s">
        <v>452</v>
      </c>
      <c r="N569" s="5" t="s">
        <v>464</v>
      </c>
      <c r="O569" s="34" t="s">
        <v>1526</v>
      </c>
      <c r="P569" s="5" t="s">
        <v>597</v>
      </c>
      <c r="Q569" s="5" t="s">
        <v>1527</v>
      </c>
      <c r="R569" s="5" t="s">
        <v>1531</v>
      </c>
      <c r="S569" s="5" t="s">
        <v>1529</v>
      </c>
      <c r="T569" s="5" t="s">
        <v>445</v>
      </c>
    </row>
    <row r="570" spans="6:20">
      <c r="F570" s="36" t="s">
        <v>309</v>
      </c>
      <c r="G570" s="5" t="s">
        <v>310</v>
      </c>
      <c r="I570" s="6">
        <v>-4263000</v>
      </c>
      <c r="J570" s="62">
        <v>-2900</v>
      </c>
      <c r="K570" s="62">
        <v>1470</v>
      </c>
      <c r="L570" s="62" t="s">
        <v>1521</v>
      </c>
      <c r="M570" s="100" t="s">
        <v>452</v>
      </c>
      <c r="N570" s="5" t="s">
        <v>464</v>
      </c>
      <c r="O570" s="34" t="s">
        <v>1526</v>
      </c>
      <c r="P570" s="5" t="s">
        <v>597</v>
      </c>
      <c r="Q570" s="5" t="s">
        <v>1527</v>
      </c>
      <c r="R570" s="5" t="s">
        <v>1533</v>
      </c>
      <c r="S570" s="5" t="s">
        <v>1529</v>
      </c>
      <c r="T570" s="5" t="s">
        <v>445</v>
      </c>
    </row>
    <row r="571" spans="6:20">
      <c r="F571" s="36" t="s">
        <v>309</v>
      </c>
      <c r="G571" s="5" t="s">
        <v>310</v>
      </c>
      <c r="I571" s="6">
        <v>-1396500</v>
      </c>
      <c r="J571" s="62">
        <v>-950</v>
      </c>
      <c r="K571" s="62">
        <v>1470</v>
      </c>
      <c r="L571" s="62" t="s">
        <v>1499</v>
      </c>
      <c r="M571" s="100" t="s">
        <v>452</v>
      </c>
      <c r="N571" s="5" t="s">
        <v>464</v>
      </c>
      <c r="O571" s="34" t="s">
        <v>1500</v>
      </c>
      <c r="P571" s="5" t="s">
        <v>1467</v>
      </c>
      <c r="Q571" s="5" t="s">
        <v>1501</v>
      </c>
      <c r="R571" s="5" t="s">
        <v>1534</v>
      </c>
      <c r="S571" s="5" t="s">
        <v>1503</v>
      </c>
      <c r="T571" s="5" t="s">
        <v>445</v>
      </c>
    </row>
    <row r="572" spans="6:20">
      <c r="F572" s="36" t="s">
        <v>309</v>
      </c>
      <c r="G572" s="5" t="s">
        <v>310</v>
      </c>
      <c r="I572" s="6">
        <v>-2205000</v>
      </c>
      <c r="J572" s="62">
        <v>-1500</v>
      </c>
      <c r="K572" s="62">
        <v>1470</v>
      </c>
      <c r="L572" s="62" t="s">
        <v>1499</v>
      </c>
      <c r="M572" s="100" t="s">
        <v>452</v>
      </c>
      <c r="N572" s="5" t="s">
        <v>464</v>
      </c>
      <c r="O572" s="34" t="s">
        <v>1500</v>
      </c>
      <c r="P572" s="5" t="s">
        <v>1467</v>
      </c>
      <c r="Q572" s="5" t="s">
        <v>1501</v>
      </c>
      <c r="R572" s="5" t="s">
        <v>1535</v>
      </c>
      <c r="S572" s="5" t="s">
        <v>1503</v>
      </c>
      <c r="T572" s="5" t="s">
        <v>445</v>
      </c>
    </row>
    <row r="573" spans="6:20">
      <c r="F573" s="36" t="s">
        <v>309</v>
      </c>
      <c r="G573" s="5" t="s">
        <v>310</v>
      </c>
      <c r="I573" s="6">
        <v>-1295000</v>
      </c>
      <c r="J573" s="62">
        <v>-875</v>
      </c>
      <c r="K573" s="62">
        <v>1480</v>
      </c>
      <c r="L573" s="62" t="s">
        <v>1471</v>
      </c>
      <c r="M573" s="100" t="s">
        <v>452</v>
      </c>
      <c r="N573" s="5" t="s">
        <v>464</v>
      </c>
      <c r="O573" s="34" t="s">
        <v>1509</v>
      </c>
      <c r="P573" s="5" t="s">
        <v>1467</v>
      </c>
      <c r="Q573" s="5" t="s">
        <v>1510</v>
      </c>
      <c r="R573" s="5" t="s">
        <v>1536</v>
      </c>
      <c r="S573" s="5" t="s">
        <v>1512</v>
      </c>
      <c r="T573" s="5" t="s">
        <v>445</v>
      </c>
    </row>
    <row r="574" spans="6:20">
      <c r="F574" s="36" t="s">
        <v>309</v>
      </c>
      <c r="G574" s="5" t="s">
        <v>310</v>
      </c>
      <c r="I574" s="6">
        <v>-2072000</v>
      </c>
      <c r="J574" s="62">
        <v>-1400</v>
      </c>
      <c r="K574" s="62">
        <v>1480</v>
      </c>
      <c r="L574" s="62" t="s">
        <v>1471</v>
      </c>
      <c r="M574" s="100" t="s">
        <v>452</v>
      </c>
      <c r="N574" s="5" t="s">
        <v>464</v>
      </c>
      <c r="O574" s="34" t="s">
        <v>1537</v>
      </c>
      <c r="P574" s="5" t="s">
        <v>1467</v>
      </c>
      <c r="Q574" s="5" t="s">
        <v>1538</v>
      </c>
      <c r="R574" s="5" t="s">
        <v>1539</v>
      </c>
      <c r="S574" s="5" t="s">
        <v>1540</v>
      </c>
      <c r="T574" s="5" t="s">
        <v>445</v>
      </c>
    </row>
    <row r="575" spans="6:20">
      <c r="F575" s="36" t="s">
        <v>309</v>
      </c>
      <c r="G575" s="5" t="s">
        <v>310</v>
      </c>
      <c r="I575" s="6">
        <v>-7878040</v>
      </c>
      <c r="J575" s="62">
        <v>-5323</v>
      </c>
      <c r="K575" s="62">
        <v>1480</v>
      </c>
      <c r="L575" s="62" t="s">
        <v>1465</v>
      </c>
      <c r="M575" s="100" t="s">
        <v>452</v>
      </c>
      <c r="N575" s="5" t="s">
        <v>464</v>
      </c>
      <c r="O575" s="34" t="s">
        <v>1505</v>
      </c>
      <c r="P575" s="5" t="s">
        <v>1467</v>
      </c>
      <c r="Q575" s="5" t="s">
        <v>1506</v>
      </c>
      <c r="R575" s="5" t="s">
        <v>1542</v>
      </c>
      <c r="S575" s="5" t="s">
        <v>1508</v>
      </c>
      <c r="T575" s="5" t="s">
        <v>445</v>
      </c>
    </row>
    <row r="576" spans="6:20">
      <c r="F576" s="36" t="s">
        <v>309</v>
      </c>
      <c r="G576" s="5" t="s">
        <v>310</v>
      </c>
      <c r="I576" s="6">
        <v>-296000</v>
      </c>
      <c r="J576" s="62">
        <v>-200</v>
      </c>
      <c r="K576" s="62">
        <v>1480</v>
      </c>
      <c r="L576" s="62" t="s">
        <v>1752</v>
      </c>
      <c r="M576" s="100" t="s">
        <v>1382</v>
      </c>
      <c r="N576" s="5" t="s">
        <v>464</v>
      </c>
      <c r="O576" s="34" t="s">
        <v>1753</v>
      </c>
      <c r="P576" s="5" t="s">
        <v>1754</v>
      </c>
      <c r="Q576" s="5" t="s">
        <v>1755</v>
      </c>
      <c r="R576" s="5" t="s">
        <v>1756</v>
      </c>
      <c r="S576" s="5" t="s">
        <v>1757</v>
      </c>
      <c r="T576" s="5" t="s">
        <v>445</v>
      </c>
    </row>
    <row r="577" spans="6:20">
      <c r="F577" s="36" t="s">
        <v>309</v>
      </c>
      <c r="G577" s="5" t="s">
        <v>310</v>
      </c>
      <c r="I577" s="6">
        <v>-296000</v>
      </c>
      <c r="J577" s="62">
        <v>-200</v>
      </c>
      <c r="K577" s="62">
        <v>1480</v>
      </c>
      <c r="L577" s="62" t="s">
        <v>1758</v>
      </c>
      <c r="M577" s="100" t="s">
        <v>1382</v>
      </c>
      <c r="N577" s="5" t="s">
        <v>464</v>
      </c>
      <c r="O577" s="34" t="s">
        <v>1759</v>
      </c>
      <c r="P577" s="5" t="s">
        <v>1754</v>
      </c>
      <c r="Q577" s="5" t="s">
        <v>1760</v>
      </c>
      <c r="R577" s="5" t="s">
        <v>1756</v>
      </c>
      <c r="S577" s="5" t="s">
        <v>1761</v>
      </c>
      <c r="T577" s="5" t="s">
        <v>445</v>
      </c>
    </row>
    <row r="578" spans="6:20">
      <c r="F578" s="36" t="s">
        <v>309</v>
      </c>
      <c r="G578" s="5" t="s">
        <v>310</v>
      </c>
      <c r="I578" s="6">
        <v>-592000</v>
      </c>
      <c r="J578" s="62">
        <v>-400</v>
      </c>
      <c r="K578" s="62">
        <v>1480</v>
      </c>
      <c r="L578" s="62" t="s">
        <v>1769</v>
      </c>
      <c r="M578" s="100" t="s">
        <v>1382</v>
      </c>
      <c r="N578" s="5" t="s">
        <v>464</v>
      </c>
      <c r="O578" s="34" t="s">
        <v>1770</v>
      </c>
      <c r="P578" s="5" t="s">
        <v>1754</v>
      </c>
      <c r="Q578" s="5" t="s">
        <v>1771</v>
      </c>
      <c r="R578" s="5" t="s">
        <v>1772</v>
      </c>
      <c r="S578" s="5" t="s">
        <v>1773</v>
      </c>
      <c r="T578" s="5" t="s">
        <v>445</v>
      </c>
    </row>
    <row r="579" spans="6:20">
      <c r="F579" s="36" t="s">
        <v>309</v>
      </c>
      <c r="G579" s="5" t="s">
        <v>310</v>
      </c>
      <c r="I579" s="6">
        <v>-1480000</v>
      </c>
      <c r="J579" s="62">
        <v>-1000</v>
      </c>
      <c r="K579" s="62">
        <v>1480</v>
      </c>
      <c r="L579" s="62" t="s">
        <v>1782</v>
      </c>
      <c r="M579" s="100" t="s">
        <v>1382</v>
      </c>
      <c r="N579" s="5" t="s">
        <v>464</v>
      </c>
      <c r="O579" s="34" t="s">
        <v>1783</v>
      </c>
      <c r="P579" s="5" t="s">
        <v>1754</v>
      </c>
      <c r="Q579" s="5" t="s">
        <v>1784</v>
      </c>
      <c r="R579" s="5" t="s">
        <v>1785</v>
      </c>
      <c r="S579" s="5" t="s">
        <v>1786</v>
      </c>
      <c r="T579" s="5" t="s">
        <v>445</v>
      </c>
    </row>
    <row r="580" spans="6:20">
      <c r="F580" s="36" t="s">
        <v>45</v>
      </c>
      <c r="G580" s="5" t="s">
        <v>44</v>
      </c>
      <c r="I580" s="6">
        <v>3448400</v>
      </c>
      <c r="J580" s="62">
        <v>2330</v>
      </c>
      <c r="K580" s="62">
        <v>1480</v>
      </c>
      <c r="L580" s="62" t="s">
        <v>1499</v>
      </c>
      <c r="M580" s="100" t="s">
        <v>452</v>
      </c>
      <c r="N580" s="5" t="s">
        <v>464</v>
      </c>
      <c r="O580" s="34" t="s">
        <v>1515</v>
      </c>
      <c r="P580" s="5" t="s">
        <v>1467</v>
      </c>
      <c r="Q580" s="5" t="s">
        <v>1516</v>
      </c>
      <c r="R580" s="5" t="s">
        <v>1750</v>
      </c>
      <c r="S580" s="5" t="s">
        <v>1518</v>
      </c>
      <c r="T580" s="5" t="s">
        <v>445</v>
      </c>
    </row>
    <row r="581" spans="6:20">
      <c r="F581" s="36" t="s">
        <v>316</v>
      </c>
      <c r="G581" s="5" t="s">
        <v>317</v>
      </c>
      <c r="I581" s="6">
        <v>1480000</v>
      </c>
      <c r="J581" s="62">
        <v>1000</v>
      </c>
      <c r="K581" s="62">
        <v>1480</v>
      </c>
      <c r="L581" s="62" t="s">
        <v>1717</v>
      </c>
      <c r="M581" s="100" t="s">
        <v>452</v>
      </c>
      <c r="N581" s="5" t="s">
        <v>442</v>
      </c>
      <c r="O581" s="34" t="s">
        <v>1736</v>
      </c>
      <c r="P581" s="5" t="s">
        <v>1467</v>
      </c>
      <c r="Q581" s="5" t="s">
        <v>1737</v>
      </c>
      <c r="R581" s="5" t="s">
        <v>1738</v>
      </c>
      <c r="S581" s="5" t="s">
        <v>1739</v>
      </c>
      <c r="T581" s="5" t="s">
        <v>445</v>
      </c>
    </row>
    <row r="582" spans="6:20">
      <c r="F582" s="36" t="s">
        <v>457</v>
      </c>
      <c r="G582" s="5" t="s">
        <v>458</v>
      </c>
      <c r="I582" s="6">
        <v>-2.7</v>
      </c>
      <c r="J582" s="62">
        <v>0</v>
      </c>
      <c r="K582" s="62">
        <v>1</v>
      </c>
      <c r="L582" s="62" t="s">
        <v>1521</v>
      </c>
      <c r="M582" s="100" t="s">
        <v>452</v>
      </c>
      <c r="N582" s="5" t="s">
        <v>442</v>
      </c>
      <c r="O582" s="34" t="s">
        <v>1821</v>
      </c>
      <c r="P582" s="5" t="s">
        <v>597</v>
      </c>
      <c r="Q582" s="5" t="s">
        <v>1822</v>
      </c>
      <c r="R582" s="5" t="s">
        <v>1822</v>
      </c>
      <c r="S582" s="5" t="s">
        <v>1823</v>
      </c>
      <c r="T582" s="5" t="s">
        <v>445</v>
      </c>
    </row>
    <row r="583" spans="6:20">
      <c r="F583" s="36" t="s">
        <v>457</v>
      </c>
      <c r="G583" s="5" t="s">
        <v>458</v>
      </c>
      <c r="I583" s="6">
        <v>0</v>
      </c>
      <c r="J583" s="62">
        <v>-1.8E-3</v>
      </c>
      <c r="K583" s="62">
        <v>1</v>
      </c>
      <c r="L583" s="62" t="s">
        <v>1521</v>
      </c>
      <c r="M583" s="100" t="s">
        <v>452</v>
      </c>
      <c r="N583" s="5" t="s">
        <v>442</v>
      </c>
      <c r="O583" s="34" t="s">
        <v>1821</v>
      </c>
      <c r="P583" s="5" t="s">
        <v>597</v>
      </c>
      <c r="Q583" s="5" t="s">
        <v>1822</v>
      </c>
      <c r="R583" s="5" t="s">
        <v>1822</v>
      </c>
      <c r="S583" s="5" t="s">
        <v>1823</v>
      </c>
      <c r="T583" s="5" t="s">
        <v>445</v>
      </c>
    </row>
    <row r="584" spans="6:20">
      <c r="F584" s="36" t="s">
        <v>457</v>
      </c>
      <c r="G584" s="5" t="s">
        <v>458</v>
      </c>
      <c r="I584" s="6">
        <v>6.8</v>
      </c>
      <c r="J584" s="62">
        <v>0</v>
      </c>
      <c r="K584" s="62">
        <v>1</v>
      </c>
      <c r="L584" s="62" t="s">
        <v>1499</v>
      </c>
      <c r="M584" s="100" t="s">
        <v>452</v>
      </c>
      <c r="N584" s="5" t="s">
        <v>442</v>
      </c>
      <c r="O584" s="34" t="s">
        <v>1824</v>
      </c>
      <c r="P584" s="5" t="s">
        <v>1467</v>
      </c>
      <c r="Q584" s="5" t="s">
        <v>1825</v>
      </c>
      <c r="R584" s="5" t="s">
        <v>1825</v>
      </c>
      <c r="S584" s="5" t="s">
        <v>1826</v>
      </c>
      <c r="T584" s="5" t="s">
        <v>445</v>
      </c>
    </row>
    <row r="585" spans="6:20">
      <c r="F585" s="36" t="s">
        <v>457</v>
      </c>
      <c r="G585" s="5" t="s">
        <v>458</v>
      </c>
      <c r="I585" s="6">
        <v>0</v>
      </c>
      <c r="J585" s="62">
        <v>4.5999999999999999E-3</v>
      </c>
      <c r="K585" s="62">
        <v>1</v>
      </c>
      <c r="L585" s="62" t="s">
        <v>1499</v>
      </c>
      <c r="M585" s="100" t="s">
        <v>452</v>
      </c>
      <c r="N585" s="5" t="s">
        <v>442</v>
      </c>
      <c r="O585" s="34" t="s">
        <v>1824</v>
      </c>
      <c r="P585" s="5" t="s">
        <v>1467</v>
      </c>
      <c r="Q585" s="5" t="s">
        <v>1825</v>
      </c>
      <c r="R585" s="5" t="s">
        <v>1825</v>
      </c>
      <c r="S585" s="5" t="s">
        <v>1826</v>
      </c>
      <c r="T585" s="5" t="s">
        <v>445</v>
      </c>
    </row>
    <row r="586" spans="6:20">
      <c r="F586" s="36" t="s">
        <v>457</v>
      </c>
      <c r="G586" s="5" t="s">
        <v>458</v>
      </c>
      <c r="I586" s="6">
        <v>0</v>
      </c>
      <c r="J586" s="62">
        <v>4.1000000000000003E-3</v>
      </c>
      <c r="K586" s="62">
        <v>1</v>
      </c>
      <c r="L586" s="62" t="s">
        <v>1717</v>
      </c>
      <c r="M586" s="100" t="s">
        <v>452</v>
      </c>
      <c r="N586" s="5" t="s">
        <v>442</v>
      </c>
      <c r="O586" s="34" t="s">
        <v>1827</v>
      </c>
      <c r="P586" s="5" t="s">
        <v>1467</v>
      </c>
      <c r="Q586" s="5" t="s">
        <v>1828</v>
      </c>
      <c r="R586" s="5" t="s">
        <v>1828</v>
      </c>
      <c r="S586" s="5" t="s">
        <v>1829</v>
      </c>
      <c r="T586" s="5" t="s">
        <v>445</v>
      </c>
    </row>
    <row r="587" spans="6:20">
      <c r="F587" s="36" t="s">
        <v>457</v>
      </c>
      <c r="G587" s="5" t="s">
        <v>458</v>
      </c>
      <c r="I587" s="6">
        <v>6</v>
      </c>
      <c r="J587" s="62">
        <v>0</v>
      </c>
      <c r="K587" s="62">
        <v>1</v>
      </c>
      <c r="L587" s="62" t="s">
        <v>1717</v>
      </c>
      <c r="M587" s="100" t="s">
        <v>452</v>
      </c>
      <c r="N587" s="5" t="s">
        <v>442</v>
      </c>
      <c r="O587" s="34" t="s">
        <v>1827</v>
      </c>
      <c r="P587" s="5" t="s">
        <v>1467</v>
      </c>
      <c r="Q587" s="5" t="s">
        <v>1828</v>
      </c>
      <c r="R587" s="5" t="s">
        <v>1828</v>
      </c>
      <c r="S587" s="5" t="s">
        <v>1829</v>
      </c>
      <c r="T587" s="5" t="s">
        <v>445</v>
      </c>
    </row>
    <row r="588" spans="6:20">
      <c r="F588" s="36" t="s">
        <v>457</v>
      </c>
      <c r="G588" s="5" t="s">
        <v>458</v>
      </c>
      <c r="I588" s="6">
        <v>-7.2</v>
      </c>
      <c r="J588" s="62">
        <v>0</v>
      </c>
      <c r="K588" s="62">
        <v>1</v>
      </c>
      <c r="L588" s="62" t="s">
        <v>1471</v>
      </c>
      <c r="M588" s="100" t="s">
        <v>452</v>
      </c>
      <c r="N588" s="5" t="s">
        <v>442</v>
      </c>
      <c r="O588" s="34" t="s">
        <v>1830</v>
      </c>
      <c r="P588" s="5" t="s">
        <v>1467</v>
      </c>
      <c r="Q588" s="5" t="s">
        <v>1831</v>
      </c>
      <c r="R588" s="5" t="s">
        <v>1831</v>
      </c>
      <c r="S588" s="5" t="s">
        <v>1832</v>
      </c>
      <c r="T588" s="5" t="s">
        <v>445</v>
      </c>
    </row>
    <row r="589" spans="6:20">
      <c r="F589" s="36" t="s">
        <v>457</v>
      </c>
      <c r="G589" s="5" t="s">
        <v>458</v>
      </c>
      <c r="I589" s="6">
        <v>0</v>
      </c>
      <c r="J589" s="62">
        <v>-4.8999999999999998E-3</v>
      </c>
      <c r="K589" s="62">
        <v>1</v>
      </c>
      <c r="L589" s="62" t="s">
        <v>1471</v>
      </c>
      <c r="M589" s="100" t="s">
        <v>452</v>
      </c>
      <c r="N589" s="5" t="s">
        <v>442</v>
      </c>
      <c r="O589" s="34" t="s">
        <v>1830</v>
      </c>
      <c r="P589" s="5" t="s">
        <v>1467</v>
      </c>
      <c r="Q589" s="5" t="s">
        <v>1831</v>
      </c>
      <c r="R589" s="5" t="s">
        <v>1831</v>
      </c>
      <c r="S589" s="5" t="s">
        <v>1832</v>
      </c>
      <c r="T589" s="5" t="s">
        <v>445</v>
      </c>
    </row>
    <row r="590" spans="6:20">
      <c r="F590" s="36" t="s">
        <v>318</v>
      </c>
      <c r="G590" s="5" t="s">
        <v>319</v>
      </c>
      <c r="I590" s="6">
        <v>809560</v>
      </c>
      <c r="J590" s="62">
        <v>547</v>
      </c>
      <c r="K590" s="62">
        <v>1480</v>
      </c>
      <c r="L590" s="62" t="s">
        <v>1499</v>
      </c>
      <c r="M590" s="100" t="s">
        <v>452</v>
      </c>
      <c r="N590" s="5" t="s">
        <v>464</v>
      </c>
      <c r="O590" s="34" t="s">
        <v>1515</v>
      </c>
      <c r="P590" s="5" t="s">
        <v>1467</v>
      </c>
      <c r="Q590" s="5" t="s">
        <v>1516</v>
      </c>
      <c r="R590" s="5" t="s">
        <v>1517</v>
      </c>
      <c r="S590" s="5" t="s">
        <v>1518</v>
      </c>
      <c r="T590" s="5" t="s">
        <v>445</v>
      </c>
    </row>
    <row r="591" spans="6:20">
      <c r="F591" s="36" t="s">
        <v>320</v>
      </c>
      <c r="G591" s="5" t="s">
        <v>321</v>
      </c>
      <c r="I591" s="6">
        <v>-213120</v>
      </c>
      <c r="J591" s="62">
        <v>-144</v>
      </c>
      <c r="K591" s="62">
        <v>1480</v>
      </c>
      <c r="L591" s="62" t="s">
        <v>1465</v>
      </c>
      <c r="M591" s="100" t="s">
        <v>452</v>
      </c>
      <c r="N591" s="5" t="s">
        <v>464</v>
      </c>
      <c r="O591" s="34" t="s">
        <v>1466</v>
      </c>
      <c r="P591" s="5" t="s">
        <v>1467</v>
      </c>
      <c r="Q591" s="5" t="s">
        <v>1468</v>
      </c>
      <c r="R591" s="5" t="s">
        <v>1469</v>
      </c>
      <c r="S591" s="5" t="s">
        <v>1470</v>
      </c>
      <c r="T591" s="5" t="s">
        <v>445</v>
      </c>
    </row>
    <row r="592" spans="6:20">
      <c r="F592" s="36" t="s">
        <v>320</v>
      </c>
      <c r="G592" s="5" t="s">
        <v>321</v>
      </c>
      <c r="I592" s="6">
        <v>-10360</v>
      </c>
      <c r="J592" s="62">
        <v>-7</v>
      </c>
      <c r="K592" s="62">
        <v>1480</v>
      </c>
      <c r="L592" s="62" t="s">
        <v>1471</v>
      </c>
      <c r="M592" s="100" t="s">
        <v>452</v>
      </c>
      <c r="N592" s="5" t="s">
        <v>464</v>
      </c>
      <c r="O592" s="34" t="s">
        <v>1485</v>
      </c>
      <c r="P592" s="5" t="s">
        <v>1467</v>
      </c>
      <c r="Q592" s="5" t="s">
        <v>1486</v>
      </c>
      <c r="R592" s="5" t="s">
        <v>1487</v>
      </c>
      <c r="S592" s="5" t="s">
        <v>1488</v>
      </c>
      <c r="T592" s="5" t="s">
        <v>445</v>
      </c>
    </row>
    <row r="593" spans="6:20">
      <c r="F593" s="36" t="s">
        <v>320</v>
      </c>
      <c r="G593" s="5" t="s">
        <v>321</v>
      </c>
      <c r="I593" s="6">
        <v>10730</v>
      </c>
      <c r="J593" s="62">
        <v>7.25</v>
      </c>
      <c r="K593" s="62">
        <v>1480</v>
      </c>
      <c r="L593" s="62" t="s">
        <v>1465</v>
      </c>
      <c r="M593" s="100" t="s">
        <v>452</v>
      </c>
      <c r="N593" s="5" t="s">
        <v>464</v>
      </c>
      <c r="O593" s="34" t="s">
        <v>1489</v>
      </c>
      <c r="P593" s="5" t="s">
        <v>1467</v>
      </c>
      <c r="Q593" s="5" t="s">
        <v>1490</v>
      </c>
      <c r="R593" s="5" t="s">
        <v>1491</v>
      </c>
      <c r="S593" s="5" t="s">
        <v>1492</v>
      </c>
      <c r="T593" s="5" t="s">
        <v>445</v>
      </c>
    </row>
    <row r="594" spans="6:20">
      <c r="F594" s="36" t="s">
        <v>320</v>
      </c>
      <c r="G594" s="5" t="s">
        <v>321</v>
      </c>
      <c r="I594" s="6">
        <v>-31080</v>
      </c>
      <c r="J594" s="62">
        <v>-21</v>
      </c>
      <c r="K594" s="62">
        <v>1480</v>
      </c>
      <c r="L594" s="62" t="s">
        <v>1471</v>
      </c>
      <c r="M594" s="100" t="s">
        <v>452</v>
      </c>
      <c r="N594" s="5" t="s">
        <v>464</v>
      </c>
      <c r="O594" s="34" t="s">
        <v>1485</v>
      </c>
      <c r="P594" s="5" t="s">
        <v>1467</v>
      </c>
      <c r="Q594" s="5" t="s">
        <v>1486</v>
      </c>
      <c r="R594" s="5" t="s">
        <v>1493</v>
      </c>
      <c r="S594" s="5" t="s">
        <v>1488</v>
      </c>
      <c r="T594" s="5" t="s">
        <v>445</v>
      </c>
    </row>
    <row r="595" spans="6:20">
      <c r="F595" s="36" t="s">
        <v>320</v>
      </c>
      <c r="G595" s="5" t="s">
        <v>321</v>
      </c>
      <c r="I595" s="6">
        <v>32175.200000000001</v>
      </c>
      <c r="J595" s="62">
        <v>21.74</v>
      </c>
      <c r="K595" s="62">
        <v>1480</v>
      </c>
      <c r="L595" s="62" t="s">
        <v>1465</v>
      </c>
      <c r="M595" s="100" t="s">
        <v>452</v>
      </c>
      <c r="N595" s="5" t="s">
        <v>464</v>
      </c>
      <c r="O595" s="34" t="s">
        <v>1489</v>
      </c>
      <c r="P595" s="5" t="s">
        <v>1467</v>
      </c>
      <c r="Q595" s="5" t="s">
        <v>1490</v>
      </c>
      <c r="R595" s="5" t="s">
        <v>1494</v>
      </c>
      <c r="S595" s="5" t="s">
        <v>1492</v>
      </c>
      <c r="T595" s="5" t="s">
        <v>445</v>
      </c>
    </row>
    <row r="596" spans="6:20">
      <c r="F596" s="36" t="s">
        <v>320</v>
      </c>
      <c r="G596" s="5" t="s">
        <v>321</v>
      </c>
      <c r="I596" s="6">
        <v>-18130</v>
      </c>
      <c r="J596" s="62">
        <v>-12.25</v>
      </c>
      <c r="K596" s="62">
        <v>1480</v>
      </c>
      <c r="L596" s="62" t="s">
        <v>1471</v>
      </c>
      <c r="M596" s="100" t="s">
        <v>452</v>
      </c>
      <c r="N596" s="5" t="s">
        <v>464</v>
      </c>
      <c r="O596" s="34" t="s">
        <v>1485</v>
      </c>
      <c r="P596" s="5" t="s">
        <v>1467</v>
      </c>
      <c r="Q596" s="5" t="s">
        <v>1486</v>
      </c>
      <c r="R596" s="5" t="s">
        <v>1495</v>
      </c>
      <c r="S596" s="5" t="s">
        <v>1488</v>
      </c>
      <c r="T596" s="5" t="s">
        <v>445</v>
      </c>
    </row>
    <row r="597" spans="6:20">
      <c r="F597" s="36" t="s">
        <v>320</v>
      </c>
      <c r="G597" s="5" t="s">
        <v>321</v>
      </c>
      <c r="I597" s="6">
        <v>18766.400000000001</v>
      </c>
      <c r="J597" s="62">
        <v>12.68</v>
      </c>
      <c r="K597" s="62">
        <v>1480</v>
      </c>
      <c r="L597" s="62" t="s">
        <v>1465</v>
      </c>
      <c r="M597" s="100" t="s">
        <v>452</v>
      </c>
      <c r="N597" s="5" t="s">
        <v>464</v>
      </c>
      <c r="O597" s="34" t="s">
        <v>1489</v>
      </c>
      <c r="P597" s="5" t="s">
        <v>1467</v>
      </c>
      <c r="Q597" s="5" t="s">
        <v>1490</v>
      </c>
      <c r="R597" s="5" t="s">
        <v>1496</v>
      </c>
      <c r="S597" s="5" t="s">
        <v>1492</v>
      </c>
      <c r="T597" s="5" t="s">
        <v>445</v>
      </c>
    </row>
    <row r="598" spans="6:20">
      <c r="F598" s="36" t="s">
        <v>320</v>
      </c>
      <c r="G598" s="5" t="s">
        <v>321</v>
      </c>
      <c r="I598" s="6">
        <v>-20720</v>
      </c>
      <c r="J598" s="62">
        <v>-14</v>
      </c>
      <c r="K598" s="62">
        <v>1480</v>
      </c>
      <c r="L598" s="62" t="s">
        <v>1471</v>
      </c>
      <c r="M598" s="100" t="s">
        <v>452</v>
      </c>
      <c r="N598" s="5" t="s">
        <v>464</v>
      </c>
      <c r="O598" s="34" t="s">
        <v>1485</v>
      </c>
      <c r="P598" s="5" t="s">
        <v>1467</v>
      </c>
      <c r="Q598" s="5" t="s">
        <v>1486</v>
      </c>
      <c r="R598" s="5" t="s">
        <v>1497</v>
      </c>
      <c r="S598" s="5" t="s">
        <v>1488</v>
      </c>
      <c r="T598" s="5" t="s">
        <v>445</v>
      </c>
    </row>
    <row r="599" spans="6:20">
      <c r="F599" s="36" t="s">
        <v>320</v>
      </c>
      <c r="G599" s="5" t="s">
        <v>321</v>
      </c>
      <c r="I599" s="6">
        <v>21445.200000000001</v>
      </c>
      <c r="J599" s="62">
        <v>14.49</v>
      </c>
      <c r="K599" s="62">
        <v>1480</v>
      </c>
      <c r="L599" s="62" t="s">
        <v>1465</v>
      </c>
      <c r="M599" s="100" t="s">
        <v>452</v>
      </c>
      <c r="N599" s="5" t="s">
        <v>464</v>
      </c>
      <c r="O599" s="34" t="s">
        <v>1489</v>
      </c>
      <c r="P599" s="5" t="s">
        <v>1467</v>
      </c>
      <c r="Q599" s="5" t="s">
        <v>1490</v>
      </c>
      <c r="R599" s="5" t="s">
        <v>1498</v>
      </c>
      <c r="S599" s="5" t="s">
        <v>1492</v>
      </c>
      <c r="T599" s="5" t="s">
        <v>445</v>
      </c>
    </row>
    <row r="600" spans="6:20">
      <c r="F600" s="36" t="s">
        <v>320</v>
      </c>
      <c r="G600" s="5" t="s">
        <v>321</v>
      </c>
      <c r="I600" s="6">
        <v>-7459.2</v>
      </c>
      <c r="J600" s="62">
        <v>-5.04</v>
      </c>
      <c r="K600" s="62">
        <v>1480</v>
      </c>
      <c r="L600" s="62" t="s">
        <v>1471</v>
      </c>
      <c r="M600" s="100" t="s">
        <v>452</v>
      </c>
      <c r="N600" s="5" t="s">
        <v>464</v>
      </c>
      <c r="O600" s="34" t="s">
        <v>1485</v>
      </c>
      <c r="P600" s="5" t="s">
        <v>1467</v>
      </c>
      <c r="Q600" s="5" t="s">
        <v>1486</v>
      </c>
      <c r="R600" s="5" t="s">
        <v>1519</v>
      </c>
      <c r="S600" s="5" t="s">
        <v>1488</v>
      </c>
      <c r="T600" s="5" t="s">
        <v>445</v>
      </c>
    </row>
    <row r="601" spans="6:20">
      <c r="F601" s="36" t="s">
        <v>320</v>
      </c>
      <c r="G601" s="5" t="s">
        <v>321</v>
      </c>
      <c r="I601" s="6">
        <v>7725.6</v>
      </c>
      <c r="J601" s="62">
        <v>5.22</v>
      </c>
      <c r="K601" s="62">
        <v>1480</v>
      </c>
      <c r="L601" s="62" t="s">
        <v>1465</v>
      </c>
      <c r="M601" s="100" t="s">
        <v>452</v>
      </c>
      <c r="N601" s="5" t="s">
        <v>464</v>
      </c>
      <c r="O601" s="34" t="s">
        <v>1489</v>
      </c>
      <c r="P601" s="5" t="s">
        <v>1467</v>
      </c>
      <c r="Q601" s="5" t="s">
        <v>1490</v>
      </c>
      <c r="R601" s="5" t="s">
        <v>1520</v>
      </c>
      <c r="S601" s="5" t="s">
        <v>1492</v>
      </c>
      <c r="T601" s="5" t="s">
        <v>445</v>
      </c>
    </row>
    <row r="602" spans="6:20">
      <c r="F602" s="36" t="s">
        <v>320</v>
      </c>
      <c r="G602" s="5" t="s">
        <v>321</v>
      </c>
      <c r="I602" s="6">
        <v>72520</v>
      </c>
      <c r="J602" s="62">
        <v>49</v>
      </c>
      <c r="K602" s="62">
        <v>1480</v>
      </c>
      <c r="L602" s="62" t="s">
        <v>1465</v>
      </c>
      <c r="M602" s="100" t="s">
        <v>452</v>
      </c>
      <c r="N602" s="5" t="s">
        <v>464</v>
      </c>
      <c r="O602" s="34" t="s">
        <v>1489</v>
      </c>
      <c r="P602" s="5" t="s">
        <v>1467</v>
      </c>
      <c r="Q602" s="5" t="s">
        <v>1490</v>
      </c>
      <c r="R602" s="5" t="s">
        <v>1541</v>
      </c>
      <c r="S602" s="5" t="s">
        <v>1492</v>
      </c>
      <c r="T602" s="5" t="s">
        <v>445</v>
      </c>
    </row>
    <row r="603" spans="6:20">
      <c r="F603" s="36" t="s">
        <v>320</v>
      </c>
      <c r="G603" s="5" t="s">
        <v>321</v>
      </c>
      <c r="I603" s="6">
        <v>444000</v>
      </c>
      <c r="J603" s="62">
        <v>300</v>
      </c>
      <c r="K603" s="62">
        <v>1480</v>
      </c>
      <c r="L603" s="62" t="s">
        <v>1471</v>
      </c>
      <c r="M603" s="100" t="s">
        <v>452</v>
      </c>
      <c r="N603" s="5" t="s">
        <v>464</v>
      </c>
      <c r="O603" s="34" t="s">
        <v>1472</v>
      </c>
      <c r="P603" s="5" t="s">
        <v>1467</v>
      </c>
      <c r="Q603" s="5" t="s">
        <v>1473</v>
      </c>
      <c r="R603" s="5" t="s">
        <v>1691</v>
      </c>
      <c r="S603" s="5" t="s">
        <v>1475</v>
      </c>
      <c r="T603" s="5" t="s">
        <v>445</v>
      </c>
    </row>
    <row r="604" spans="6:20">
      <c r="F604" s="36" t="s">
        <v>320</v>
      </c>
      <c r="G604" s="5" t="s">
        <v>321</v>
      </c>
      <c r="I604" s="6">
        <v>444000</v>
      </c>
      <c r="J604" s="62">
        <v>300</v>
      </c>
      <c r="K604" s="62">
        <v>1480</v>
      </c>
      <c r="L604" s="62" t="s">
        <v>1471</v>
      </c>
      <c r="M604" s="100" t="s">
        <v>452</v>
      </c>
      <c r="N604" s="5" t="s">
        <v>464</v>
      </c>
      <c r="O604" s="34" t="s">
        <v>1476</v>
      </c>
      <c r="P604" s="5" t="s">
        <v>1467</v>
      </c>
      <c r="Q604" s="5" t="s">
        <v>1477</v>
      </c>
      <c r="R604" s="5" t="s">
        <v>1691</v>
      </c>
      <c r="S604" s="5" t="s">
        <v>1478</v>
      </c>
      <c r="T604" s="5" t="s">
        <v>445</v>
      </c>
    </row>
    <row r="605" spans="6:20">
      <c r="F605" s="36" t="s">
        <v>320</v>
      </c>
      <c r="G605" s="5" t="s">
        <v>321</v>
      </c>
      <c r="I605" s="6">
        <v>-444000</v>
      </c>
      <c r="J605" s="62">
        <v>-300</v>
      </c>
      <c r="K605" s="62">
        <v>1480</v>
      </c>
      <c r="L605" s="62" t="s">
        <v>1471</v>
      </c>
      <c r="M605" s="100" t="s">
        <v>452</v>
      </c>
      <c r="N605" s="5" t="s">
        <v>464</v>
      </c>
      <c r="O605" s="34" t="s">
        <v>1479</v>
      </c>
      <c r="P605" s="5" t="s">
        <v>1467</v>
      </c>
      <c r="Q605" s="5" t="s">
        <v>1480</v>
      </c>
      <c r="R605" s="5" t="s">
        <v>1691</v>
      </c>
      <c r="S605" s="5" t="s">
        <v>1481</v>
      </c>
      <c r="T605" s="5" t="s">
        <v>445</v>
      </c>
    </row>
    <row r="606" spans="6:20">
      <c r="F606" s="36" t="s">
        <v>320</v>
      </c>
      <c r="G606" s="5" t="s">
        <v>321</v>
      </c>
      <c r="I606" s="6">
        <v>23931.599999999999</v>
      </c>
      <c r="J606" s="62">
        <v>16.170000000000002</v>
      </c>
      <c r="K606" s="62">
        <v>1480</v>
      </c>
      <c r="L606" s="62" t="s">
        <v>1465</v>
      </c>
      <c r="M606" s="100" t="s">
        <v>452</v>
      </c>
      <c r="N606" s="5" t="s">
        <v>464</v>
      </c>
      <c r="O606" s="34" t="s">
        <v>1489</v>
      </c>
      <c r="P606" s="5" t="s">
        <v>1467</v>
      </c>
      <c r="Q606" s="5" t="s">
        <v>1490</v>
      </c>
      <c r="R606" s="5" t="s">
        <v>1751</v>
      </c>
      <c r="S606" s="5" t="s">
        <v>1492</v>
      </c>
      <c r="T606" s="5" t="s">
        <v>445</v>
      </c>
    </row>
    <row r="607" spans="6:20">
      <c r="F607" s="36" t="s">
        <v>320</v>
      </c>
      <c r="G607" s="5" t="s">
        <v>321</v>
      </c>
      <c r="I607" s="6">
        <v>36707</v>
      </c>
      <c r="J607" s="62">
        <v>25.85</v>
      </c>
      <c r="K607" s="62">
        <v>1420</v>
      </c>
      <c r="L607" s="62" t="s">
        <v>1465</v>
      </c>
      <c r="M607" s="100" t="s">
        <v>1382</v>
      </c>
      <c r="N607" s="5" t="s">
        <v>464</v>
      </c>
      <c r="O607" s="34" t="s">
        <v>1815</v>
      </c>
      <c r="P607" s="5" t="s">
        <v>1754</v>
      </c>
      <c r="Q607" s="5" t="s">
        <v>1816</v>
      </c>
      <c r="R607" s="5" t="s">
        <v>1816</v>
      </c>
      <c r="S607" s="5" t="s">
        <v>1817</v>
      </c>
      <c r="T607" s="5" t="s">
        <v>445</v>
      </c>
    </row>
    <row r="608" spans="6:20">
      <c r="F608" s="36" t="s">
        <v>320</v>
      </c>
      <c r="G608" s="5" t="s">
        <v>321</v>
      </c>
      <c r="I608" s="6">
        <v>2896.8</v>
      </c>
      <c r="J608" s="62">
        <v>2.04</v>
      </c>
      <c r="K608" s="62">
        <v>1420</v>
      </c>
      <c r="L608" s="62" t="s">
        <v>1465</v>
      </c>
      <c r="M608" s="100" t="s">
        <v>1382</v>
      </c>
      <c r="N608" s="5" t="s">
        <v>464</v>
      </c>
      <c r="O608" s="34" t="s">
        <v>1818</v>
      </c>
      <c r="P608" s="5" t="s">
        <v>1754</v>
      </c>
      <c r="Q608" s="5" t="s">
        <v>1819</v>
      </c>
      <c r="R608" s="5" t="s">
        <v>1819</v>
      </c>
      <c r="S608" s="5" t="s">
        <v>1820</v>
      </c>
      <c r="T608" s="5" t="s">
        <v>445</v>
      </c>
    </row>
    <row r="609" spans="1:256">
      <c r="F609" s="36" t="s">
        <v>324</v>
      </c>
      <c r="G609" s="5" t="s">
        <v>325</v>
      </c>
      <c r="I609" s="6">
        <v>-8500000</v>
      </c>
      <c r="J609" s="62">
        <v>-5782.3129251700702</v>
      </c>
      <c r="K609" s="62">
        <v>1470</v>
      </c>
      <c r="L609" s="62" t="s">
        <v>1550</v>
      </c>
      <c r="M609" s="100" t="s">
        <v>452</v>
      </c>
      <c r="N609" s="5" t="s">
        <v>464</v>
      </c>
      <c r="O609" s="34" t="s">
        <v>1602</v>
      </c>
      <c r="P609" s="5" t="s">
        <v>597</v>
      </c>
      <c r="Q609" s="5" t="s">
        <v>1603</v>
      </c>
      <c r="R609" s="5" t="s">
        <v>563</v>
      </c>
      <c r="S609" s="5" t="s">
        <v>1604</v>
      </c>
      <c r="T609" s="5" t="s">
        <v>445</v>
      </c>
    </row>
    <row r="610" spans="1:256">
      <c r="F610" s="36" t="s">
        <v>324</v>
      </c>
      <c r="G610" s="5" t="s">
        <v>325</v>
      </c>
      <c r="I610" s="6">
        <v>-15288000</v>
      </c>
      <c r="J610" s="62">
        <v>-10400</v>
      </c>
      <c r="K610" s="62">
        <v>1470</v>
      </c>
      <c r="L610" s="62" t="s">
        <v>1550</v>
      </c>
      <c r="M610" s="100" t="s">
        <v>452</v>
      </c>
      <c r="N610" s="5" t="s">
        <v>464</v>
      </c>
      <c r="O610" s="34" t="s">
        <v>1605</v>
      </c>
      <c r="P610" s="5" t="s">
        <v>597</v>
      </c>
      <c r="Q610" s="5" t="s">
        <v>1606</v>
      </c>
      <c r="R610" s="5" t="s">
        <v>563</v>
      </c>
      <c r="S610" s="5" t="s">
        <v>1607</v>
      </c>
      <c r="T610" s="5" t="s">
        <v>445</v>
      </c>
    </row>
    <row r="611" spans="1:256">
      <c r="F611" s="36" t="s">
        <v>324</v>
      </c>
      <c r="G611" s="5" t="s">
        <v>325</v>
      </c>
      <c r="I611" s="6">
        <v>-7070000</v>
      </c>
      <c r="J611" s="62">
        <v>-4777.0270270270303</v>
      </c>
      <c r="K611" s="62">
        <v>1480</v>
      </c>
      <c r="L611" s="62" t="s">
        <v>1465</v>
      </c>
      <c r="M611" s="100" t="s">
        <v>452</v>
      </c>
      <c r="N611" s="5" t="s">
        <v>464</v>
      </c>
      <c r="O611" s="34" t="s">
        <v>1608</v>
      </c>
      <c r="P611" s="5" t="s">
        <v>1467</v>
      </c>
      <c r="Q611" s="5" t="s">
        <v>1609</v>
      </c>
      <c r="R611" s="5" t="s">
        <v>563</v>
      </c>
      <c r="S611" s="5" t="s">
        <v>1610</v>
      </c>
      <c r="T611" s="5" t="s">
        <v>445</v>
      </c>
    </row>
    <row r="612" spans="1:256">
      <c r="F612" s="36" t="s">
        <v>324</v>
      </c>
      <c r="G612" s="5" t="s">
        <v>325</v>
      </c>
      <c r="I612" s="6">
        <v>-12136000</v>
      </c>
      <c r="J612" s="62">
        <v>-8200</v>
      </c>
      <c r="K612" s="62">
        <v>1480</v>
      </c>
      <c r="L612" s="62" t="s">
        <v>1465</v>
      </c>
      <c r="M612" s="100" t="s">
        <v>452</v>
      </c>
      <c r="N612" s="5" t="s">
        <v>464</v>
      </c>
      <c r="O612" s="34" t="s">
        <v>1611</v>
      </c>
      <c r="P612" s="5" t="s">
        <v>1467</v>
      </c>
      <c r="Q612" s="5" t="s">
        <v>1612</v>
      </c>
      <c r="R612" s="5" t="s">
        <v>563</v>
      </c>
      <c r="S612" s="5" t="s">
        <v>1613</v>
      </c>
      <c r="T612" s="5" t="s">
        <v>445</v>
      </c>
    </row>
    <row r="613" spans="1:256">
      <c r="F613" s="36" t="s">
        <v>324</v>
      </c>
      <c r="G613" s="5" t="s">
        <v>325</v>
      </c>
      <c r="I613" s="6">
        <v>7070000</v>
      </c>
      <c r="J613" s="62">
        <v>4777.0270270270303</v>
      </c>
      <c r="K613" s="62">
        <v>1480</v>
      </c>
      <c r="L613" s="62" t="s">
        <v>1471</v>
      </c>
      <c r="M613" s="100" t="s">
        <v>452</v>
      </c>
      <c r="N613" s="5" t="s">
        <v>464</v>
      </c>
      <c r="O613" s="34" t="s">
        <v>1701</v>
      </c>
      <c r="P613" s="5" t="s">
        <v>1467</v>
      </c>
      <c r="Q613" s="5" t="s">
        <v>1702</v>
      </c>
      <c r="R613" s="5" t="s">
        <v>1711</v>
      </c>
      <c r="S613" s="5" t="s">
        <v>1704</v>
      </c>
      <c r="T613" s="5" t="s">
        <v>445</v>
      </c>
    </row>
    <row r="614" spans="1:256">
      <c r="F614" s="36" t="s">
        <v>324</v>
      </c>
      <c r="G614" s="5" t="s">
        <v>325</v>
      </c>
      <c r="I614" s="6">
        <v>7070000</v>
      </c>
      <c r="J614" s="62">
        <v>4777.0270270270303</v>
      </c>
      <c r="K614" s="62">
        <v>1480</v>
      </c>
      <c r="L614" s="62" t="s">
        <v>1471</v>
      </c>
      <c r="M614" s="100" t="s">
        <v>452</v>
      </c>
      <c r="N614" s="5" t="s">
        <v>464</v>
      </c>
      <c r="O614" s="34" t="s">
        <v>1705</v>
      </c>
      <c r="P614" s="5" t="s">
        <v>1467</v>
      </c>
      <c r="Q614" s="5" t="s">
        <v>1706</v>
      </c>
      <c r="R614" s="5" t="s">
        <v>1711</v>
      </c>
      <c r="S614" s="5" t="s">
        <v>1707</v>
      </c>
      <c r="T614" s="5" t="s">
        <v>445</v>
      </c>
    </row>
    <row r="615" spans="1:256">
      <c r="F615" s="36" t="s">
        <v>324</v>
      </c>
      <c r="G615" s="5" t="s">
        <v>325</v>
      </c>
      <c r="I615" s="6">
        <v>-7070000</v>
      </c>
      <c r="J615" s="62">
        <v>-4777.0270270270303</v>
      </c>
      <c r="K615" s="62">
        <v>1480</v>
      </c>
      <c r="L615" s="62" t="s">
        <v>1471</v>
      </c>
      <c r="M615" s="100" t="s">
        <v>452</v>
      </c>
      <c r="N615" s="5" t="s">
        <v>464</v>
      </c>
      <c r="O615" s="34" t="s">
        <v>1708</v>
      </c>
      <c r="P615" s="5" t="s">
        <v>1467</v>
      </c>
      <c r="Q615" s="5" t="s">
        <v>1709</v>
      </c>
      <c r="R615" s="5" t="s">
        <v>1711</v>
      </c>
      <c r="S615" s="5" t="s">
        <v>1710</v>
      </c>
      <c r="T615" s="5" t="s">
        <v>445</v>
      </c>
    </row>
    <row r="616" spans="1:256">
      <c r="F616" s="36" t="s">
        <v>324</v>
      </c>
      <c r="G616" s="5" t="s">
        <v>325</v>
      </c>
      <c r="I616" s="6">
        <v>12136000</v>
      </c>
      <c r="J616" s="62">
        <v>8200</v>
      </c>
      <c r="K616" s="62">
        <v>1480</v>
      </c>
      <c r="L616" s="62" t="s">
        <v>1471</v>
      </c>
      <c r="M616" s="100" t="s">
        <v>452</v>
      </c>
      <c r="N616" s="5" t="s">
        <v>464</v>
      </c>
      <c r="O616" s="34" t="s">
        <v>1472</v>
      </c>
      <c r="P616" s="5" t="s">
        <v>1467</v>
      </c>
      <c r="Q616" s="5" t="s">
        <v>1473</v>
      </c>
      <c r="R616" s="5" t="s">
        <v>1712</v>
      </c>
      <c r="S616" s="5" t="s">
        <v>1475</v>
      </c>
      <c r="T616" s="5" t="s">
        <v>445</v>
      </c>
    </row>
    <row r="617" spans="1:256">
      <c r="F617" s="36" t="s">
        <v>324</v>
      </c>
      <c r="G617" s="5" t="s">
        <v>325</v>
      </c>
      <c r="I617" s="6">
        <v>12136000</v>
      </c>
      <c r="J617" s="62">
        <v>8200</v>
      </c>
      <c r="K617" s="62">
        <v>1480</v>
      </c>
      <c r="L617" s="62" t="s">
        <v>1471</v>
      </c>
      <c r="M617" s="100" t="s">
        <v>452</v>
      </c>
      <c r="N617" s="5" t="s">
        <v>464</v>
      </c>
      <c r="O617" s="34" t="s">
        <v>1476</v>
      </c>
      <c r="P617" s="5" t="s">
        <v>1467</v>
      </c>
      <c r="Q617" s="5" t="s">
        <v>1477</v>
      </c>
      <c r="R617" s="5" t="s">
        <v>1712</v>
      </c>
      <c r="S617" s="5" t="s">
        <v>1478</v>
      </c>
      <c r="T617" s="5" t="s">
        <v>445</v>
      </c>
    </row>
    <row r="618" spans="1:256">
      <c r="F618" s="36" t="s">
        <v>324</v>
      </c>
      <c r="G618" s="5" t="s">
        <v>325</v>
      </c>
      <c r="I618" s="6">
        <v>-12136000</v>
      </c>
      <c r="J618" s="62">
        <v>-8200</v>
      </c>
      <c r="K618" s="62">
        <v>1480</v>
      </c>
      <c r="L618" s="62" t="s">
        <v>1471</v>
      </c>
      <c r="M618" s="100" t="s">
        <v>452</v>
      </c>
      <c r="N618" s="5" t="s">
        <v>464</v>
      </c>
      <c r="O618" s="34" t="s">
        <v>1479</v>
      </c>
      <c r="P618" s="5" t="s">
        <v>1467</v>
      </c>
      <c r="Q618" s="5" t="s">
        <v>1480</v>
      </c>
      <c r="R618" s="5" t="s">
        <v>1712</v>
      </c>
      <c r="S618" s="5" t="s">
        <v>1481</v>
      </c>
      <c r="T618" s="5" t="s">
        <v>445</v>
      </c>
    </row>
    <row r="619" spans="1:256">
      <c r="F619" s="36" t="s">
        <v>324</v>
      </c>
      <c r="G619" s="5" t="s">
        <v>325</v>
      </c>
      <c r="I619" s="6">
        <v>8500000</v>
      </c>
      <c r="J619" s="62">
        <v>5782.3129251700702</v>
      </c>
      <c r="K619" s="62">
        <v>1470</v>
      </c>
      <c r="L619" s="62" t="s">
        <v>1521</v>
      </c>
      <c r="M619" s="100" t="s">
        <v>452</v>
      </c>
      <c r="N619" s="5" t="s">
        <v>464</v>
      </c>
      <c r="O619" s="34" t="s">
        <v>1692</v>
      </c>
      <c r="P619" s="5" t="s">
        <v>597</v>
      </c>
      <c r="Q619" s="5" t="s">
        <v>1693</v>
      </c>
      <c r="R619" s="5" t="s">
        <v>1713</v>
      </c>
      <c r="S619" s="5" t="s">
        <v>1695</v>
      </c>
      <c r="T619" s="5" t="s">
        <v>445</v>
      </c>
    </row>
    <row r="620" spans="1:256">
      <c r="F620" s="36" t="s">
        <v>324</v>
      </c>
      <c r="G620" s="5" t="s">
        <v>325</v>
      </c>
      <c r="I620" s="6">
        <v>15288000</v>
      </c>
      <c r="J620" s="62">
        <v>10400</v>
      </c>
      <c r="K620" s="62">
        <v>1470</v>
      </c>
      <c r="L620" s="62" t="s">
        <v>1521</v>
      </c>
      <c r="M620" s="100" t="s">
        <v>452</v>
      </c>
      <c r="N620" s="5" t="s">
        <v>464</v>
      </c>
      <c r="O620" s="34" t="s">
        <v>1522</v>
      </c>
      <c r="P620" s="5" t="s">
        <v>597</v>
      </c>
      <c r="Q620" s="5" t="s">
        <v>1523</v>
      </c>
      <c r="R620" s="5" t="s">
        <v>1714</v>
      </c>
      <c r="S620" s="5" t="s">
        <v>1525</v>
      </c>
      <c r="T620" s="5" t="s">
        <v>445</v>
      </c>
    </row>
    <row r="621" spans="1:256" ht="14.5">
      <c r="A621" s="5"/>
      <c r="B621" s="103"/>
      <c r="C621" s="103"/>
      <c r="D621" s="103"/>
      <c r="F621" s="105"/>
      <c r="G621" s="103"/>
      <c r="H621" s="103"/>
      <c r="I621" s="106"/>
      <c r="J621" s="106"/>
      <c r="K621" s="106"/>
      <c r="L621" s="65"/>
      <c r="M621" s="65"/>
      <c r="N621" s="5"/>
      <c r="X621" s="6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  <c r="AV621" s="103"/>
      <c r="AW621" s="103"/>
      <c r="AX621" s="103"/>
      <c r="AY621" s="103"/>
      <c r="AZ621" s="103"/>
      <c r="BA621" s="103"/>
      <c r="BB621" s="103"/>
      <c r="BC621" s="103"/>
      <c r="BD621" s="103"/>
      <c r="BE621" s="103"/>
      <c r="BF621" s="103"/>
      <c r="BG621" s="103"/>
      <c r="BH621" s="103"/>
      <c r="BI621" s="103"/>
      <c r="BJ621" s="103"/>
      <c r="BK621" s="103"/>
      <c r="BL621" s="103"/>
      <c r="BM621" s="103"/>
      <c r="BN621" s="103"/>
      <c r="BO621" s="103"/>
      <c r="BP621" s="103"/>
      <c r="BQ621" s="103"/>
      <c r="BR621" s="103"/>
      <c r="BS621" s="103"/>
      <c r="BT621" s="103"/>
      <c r="BU621" s="103"/>
      <c r="BV621" s="103"/>
      <c r="BW621" s="103"/>
      <c r="BX621" s="103"/>
      <c r="BY621" s="103"/>
      <c r="BZ621" s="103"/>
      <c r="CA621" s="103"/>
      <c r="CB621" s="103"/>
      <c r="CC621" s="103"/>
      <c r="CD621" s="103"/>
      <c r="CE621" s="103"/>
      <c r="CF621" s="103"/>
      <c r="CG621" s="103"/>
      <c r="CH621" s="103"/>
      <c r="CI621" s="103"/>
      <c r="CJ621" s="103"/>
      <c r="CK621" s="103"/>
      <c r="CL621" s="103"/>
      <c r="CM621" s="103"/>
      <c r="CN621" s="103"/>
      <c r="CO621" s="103"/>
      <c r="CP621" s="103"/>
      <c r="CQ621" s="103"/>
      <c r="CR621" s="103"/>
      <c r="CS621" s="103"/>
      <c r="CT621" s="103"/>
      <c r="CU621" s="103"/>
      <c r="CV621" s="103"/>
      <c r="CW621" s="103"/>
      <c r="CX621" s="103"/>
      <c r="CY621" s="103"/>
      <c r="CZ621" s="103"/>
      <c r="DA621" s="103"/>
      <c r="DB621" s="103"/>
      <c r="DC621" s="103"/>
      <c r="DD621" s="103"/>
      <c r="DE621" s="103"/>
      <c r="DF621" s="103"/>
      <c r="DG621" s="103"/>
      <c r="DH621" s="103"/>
      <c r="DI621" s="103"/>
      <c r="DJ621" s="103"/>
      <c r="DK621" s="103"/>
      <c r="DL621" s="103"/>
      <c r="DM621" s="103"/>
      <c r="DN621" s="103"/>
      <c r="DO621" s="103"/>
      <c r="DP621" s="103"/>
      <c r="DQ621" s="103"/>
      <c r="DR621" s="103"/>
      <c r="DS621" s="103"/>
      <c r="DT621" s="103"/>
      <c r="DU621" s="103"/>
      <c r="DV621" s="103"/>
      <c r="DW621" s="103"/>
      <c r="DX621" s="103"/>
      <c r="DY621" s="103"/>
      <c r="DZ621" s="103"/>
      <c r="EA621" s="103"/>
      <c r="EB621" s="103"/>
      <c r="EC621" s="103"/>
      <c r="ED621" s="103"/>
      <c r="EE621" s="103"/>
      <c r="EF621" s="103"/>
      <c r="EG621" s="103"/>
      <c r="EH621" s="103"/>
      <c r="EI621" s="103"/>
      <c r="EJ621" s="103"/>
      <c r="EK621" s="103"/>
      <c r="EL621" s="103"/>
      <c r="EM621" s="103"/>
      <c r="EN621" s="103"/>
      <c r="EO621" s="103"/>
      <c r="EP621" s="103"/>
      <c r="EQ621" s="103"/>
      <c r="ER621" s="103"/>
      <c r="ES621" s="103"/>
      <c r="ET621" s="103"/>
      <c r="EU621" s="103"/>
      <c r="EV621" s="103"/>
      <c r="EW621" s="103"/>
      <c r="EX621" s="103"/>
      <c r="EY621" s="103"/>
      <c r="EZ621" s="103"/>
      <c r="FA621" s="103"/>
      <c r="FB621" s="103"/>
      <c r="FC621" s="103"/>
      <c r="FD621" s="103"/>
      <c r="FE621" s="103"/>
      <c r="FF621" s="103"/>
      <c r="FG621" s="103"/>
      <c r="FH621" s="103"/>
      <c r="FI621" s="103"/>
      <c r="FJ621" s="103"/>
      <c r="FK621" s="103"/>
      <c r="FL621" s="103"/>
      <c r="FM621" s="103"/>
      <c r="FN621" s="103"/>
      <c r="FO621" s="103"/>
      <c r="FP621" s="103"/>
      <c r="FQ621" s="103"/>
      <c r="FR621" s="103"/>
      <c r="FS621" s="103"/>
      <c r="FT621" s="103"/>
      <c r="FU621" s="103"/>
      <c r="FV621" s="103"/>
      <c r="FW621" s="103"/>
      <c r="FX621" s="103"/>
      <c r="FY621" s="103"/>
      <c r="FZ621" s="103"/>
      <c r="GA621" s="103"/>
      <c r="GB621" s="103"/>
      <c r="GC621" s="103"/>
      <c r="GD621" s="103"/>
      <c r="GE621" s="103"/>
      <c r="GF621" s="103"/>
      <c r="GG621" s="103"/>
      <c r="GH621" s="103"/>
      <c r="GI621" s="103"/>
      <c r="GJ621" s="103"/>
      <c r="GK621" s="103"/>
      <c r="GL621" s="103"/>
      <c r="GM621" s="103"/>
      <c r="GN621" s="103"/>
      <c r="GO621" s="103"/>
      <c r="GP621" s="103"/>
      <c r="GQ621" s="103"/>
      <c r="GR621" s="103"/>
      <c r="GS621" s="103"/>
      <c r="GT621" s="103"/>
      <c r="GU621" s="103"/>
      <c r="GV621" s="103"/>
      <c r="GW621" s="103"/>
      <c r="GX621" s="103"/>
      <c r="GY621" s="103"/>
      <c r="GZ621" s="103"/>
      <c r="HA621" s="103"/>
      <c r="HB621" s="103"/>
      <c r="HC621" s="103"/>
      <c r="HD621" s="103"/>
      <c r="HE621" s="103"/>
      <c r="HF621" s="103"/>
      <c r="HG621" s="103"/>
      <c r="HH621" s="103"/>
      <c r="HI621" s="103"/>
      <c r="HJ621" s="103"/>
      <c r="HK621" s="103"/>
      <c r="HL621" s="103"/>
      <c r="HM621" s="103"/>
      <c r="HN621" s="103"/>
      <c r="HO621" s="103"/>
      <c r="HP621" s="103"/>
      <c r="HQ621" s="103"/>
      <c r="HR621" s="103"/>
      <c r="HS621" s="103"/>
      <c r="HT621" s="103"/>
      <c r="HU621" s="103"/>
      <c r="HV621" s="103"/>
      <c r="HW621" s="103"/>
      <c r="HX621" s="103"/>
      <c r="HY621" s="103"/>
      <c r="HZ621" s="103"/>
      <c r="IA621" s="103"/>
      <c r="IB621" s="103"/>
      <c r="IC621" s="103"/>
      <c r="ID621" s="103"/>
      <c r="IE621" s="103"/>
      <c r="IF621" s="103"/>
      <c r="IG621" s="103"/>
      <c r="IH621" s="103"/>
      <c r="II621" s="103"/>
      <c r="IJ621" s="103"/>
      <c r="IK621" s="103"/>
      <c r="IL621" s="103"/>
      <c r="IM621" s="103"/>
      <c r="IN621" s="103"/>
      <c r="IO621" s="103"/>
      <c r="IP621" s="103"/>
      <c r="IQ621" s="103"/>
      <c r="IR621" s="103"/>
      <c r="IS621" s="103"/>
      <c r="IT621" s="103"/>
      <c r="IU621" s="103"/>
      <c r="IV621" s="103"/>
    </row>
    <row r="622" spans="1:256" ht="14.5">
      <c r="A622" s="103"/>
      <c r="B622" s="103"/>
      <c r="C622" s="103"/>
      <c r="D622" s="103"/>
      <c r="F622" s="105"/>
      <c r="G622" s="103"/>
      <c r="H622" s="103"/>
      <c r="I622" s="106"/>
      <c r="J622" s="106"/>
      <c r="K622" s="106"/>
      <c r="L622" s="65"/>
      <c r="M622" s="65"/>
      <c r="N622" s="5"/>
      <c r="X622" s="6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  <c r="AV622" s="103"/>
      <c r="AW622" s="103"/>
      <c r="AX622" s="103"/>
      <c r="AY622" s="103"/>
      <c r="AZ622" s="103"/>
      <c r="BA622" s="103"/>
      <c r="BB622" s="103"/>
      <c r="BC622" s="103"/>
      <c r="BD622" s="103"/>
      <c r="BE622" s="103"/>
      <c r="BF622" s="103"/>
      <c r="BG622" s="103"/>
      <c r="BH622" s="103"/>
      <c r="BI622" s="103"/>
      <c r="BJ622" s="103"/>
      <c r="BK622" s="103"/>
      <c r="BL622" s="103"/>
      <c r="BM622" s="103"/>
      <c r="BN622" s="103"/>
      <c r="BO622" s="103"/>
      <c r="BP622" s="103"/>
      <c r="BQ622" s="103"/>
      <c r="BR622" s="103"/>
      <c r="BS622" s="103"/>
      <c r="BT622" s="103"/>
      <c r="BU622" s="103"/>
      <c r="BV622" s="103"/>
      <c r="BW622" s="103"/>
      <c r="BX622" s="103"/>
      <c r="BY622" s="103"/>
      <c r="BZ622" s="103"/>
      <c r="CA622" s="103"/>
      <c r="CB622" s="103"/>
      <c r="CC622" s="103"/>
      <c r="CD622" s="103"/>
      <c r="CE622" s="103"/>
      <c r="CF622" s="103"/>
      <c r="CG622" s="103"/>
      <c r="CH622" s="103"/>
      <c r="CI622" s="103"/>
      <c r="CJ622" s="103"/>
      <c r="CK622" s="103"/>
      <c r="CL622" s="103"/>
      <c r="CM622" s="103"/>
      <c r="CN622" s="103"/>
      <c r="CO622" s="103"/>
      <c r="CP622" s="103"/>
      <c r="CQ622" s="103"/>
      <c r="CR622" s="103"/>
      <c r="CS622" s="103"/>
      <c r="CT622" s="103"/>
      <c r="CU622" s="103"/>
      <c r="CV622" s="103"/>
      <c r="CW622" s="103"/>
      <c r="CX622" s="103"/>
      <c r="CY622" s="103"/>
      <c r="CZ622" s="103"/>
      <c r="DA622" s="103"/>
      <c r="DB622" s="103"/>
      <c r="DC622" s="103"/>
      <c r="DD622" s="103"/>
      <c r="DE622" s="103"/>
      <c r="DF622" s="103"/>
      <c r="DG622" s="103"/>
      <c r="DH622" s="103"/>
      <c r="DI622" s="103"/>
      <c r="DJ622" s="103"/>
      <c r="DK622" s="103"/>
      <c r="DL622" s="103"/>
      <c r="DM622" s="103"/>
      <c r="DN622" s="103"/>
      <c r="DO622" s="103"/>
      <c r="DP622" s="103"/>
      <c r="DQ622" s="103"/>
      <c r="DR622" s="103"/>
      <c r="DS622" s="103"/>
      <c r="DT622" s="103"/>
      <c r="DU622" s="103"/>
      <c r="DV622" s="103"/>
      <c r="DW622" s="103"/>
      <c r="DX622" s="103"/>
      <c r="DY622" s="103"/>
      <c r="DZ622" s="103"/>
      <c r="EA622" s="103"/>
      <c r="EB622" s="103"/>
      <c r="EC622" s="103"/>
      <c r="ED622" s="103"/>
      <c r="EE622" s="103"/>
      <c r="EF622" s="103"/>
      <c r="EG622" s="103"/>
      <c r="EH622" s="103"/>
      <c r="EI622" s="103"/>
      <c r="EJ622" s="103"/>
      <c r="EK622" s="103"/>
      <c r="EL622" s="103"/>
      <c r="EM622" s="103"/>
      <c r="EN622" s="103"/>
      <c r="EO622" s="103"/>
      <c r="EP622" s="103"/>
      <c r="EQ622" s="103"/>
      <c r="ER622" s="103"/>
      <c r="ES622" s="103"/>
      <c r="ET622" s="103"/>
      <c r="EU622" s="103"/>
      <c r="EV622" s="103"/>
      <c r="EW622" s="103"/>
      <c r="EX622" s="103"/>
      <c r="EY622" s="103"/>
      <c r="EZ622" s="103"/>
      <c r="FA622" s="103"/>
      <c r="FB622" s="103"/>
      <c r="FC622" s="103"/>
      <c r="FD622" s="103"/>
      <c r="FE622" s="103"/>
      <c r="FF622" s="103"/>
      <c r="FG622" s="103"/>
      <c r="FH622" s="103"/>
      <c r="FI622" s="103"/>
      <c r="FJ622" s="103"/>
      <c r="FK622" s="103"/>
      <c r="FL622" s="103"/>
      <c r="FM622" s="103"/>
      <c r="FN622" s="103"/>
      <c r="FO622" s="103"/>
      <c r="FP622" s="103"/>
      <c r="FQ622" s="103"/>
      <c r="FR622" s="103"/>
      <c r="FS622" s="103"/>
      <c r="FT622" s="103"/>
      <c r="FU622" s="103"/>
      <c r="FV622" s="103"/>
      <c r="FW622" s="103"/>
      <c r="FX622" s="103"/>
      <c r="FY622" s="103"/>
      <c r="FZ622" s="103"/>
      <c r="GA622" s="103"/>
      <c r="GB622" s="103"/>
      <c r="GC622" s="103"/>
      <c r="GD622" s="103"/>
      <c r="GE622" s="103"/>
      <c r="GF622" s="103"/>
      <c r="GG622" s="103"/>
      <c r="GH622" s="103"/>
      <c r="GI622" s="103"/>
      <c r="GJ622" s="103"/>
      <c r="GK622" s="103"/>
      <c r="GL622" s="103"/>
      <c r="GM622" s="103"/>
      <c r="GN622" s="103"/>
      <c r="GO622" s="103"/>
      <c r="GP622" s="103"/>
      <c r="GQ622" s="103"/>
      <c r="GR622" s="103"/>
      <c r="GS622" s="103"/>
      <c r="GT622" s="103"/>
      <c r="GU622" s="103"/>
      <c r="GV622" s="103"/>
      <c r="GW622" s="103"/>
      <c r="GX622" s="103"/>
      <c r="GY622" s="103"/>
      <c r="GZ622" s="103"/>
      <c r="HA622" s="103"/>
      <c r="HB622" s="103"/>
      <c r="HC622" s="103"/>
      <c r="HD622" s="103"/>
      <c r="HE622" s="103"/>
      <c r="HF622" s="103"/>
      <c r="HG622" s="103"/>
      <c r="HH622" s="103"/>
      <c r="HI622" s="103"/>
      <c r="HJ622" s="103"/>
      <c r="HK622" s="103"/>
      <c r="HL622" s="103"/>
      <c r="HM622" s="103"/>
      <c r="HN622" s="103"/>
      <c r="HO622" s="103"/>
      <c r="HP622" s="103"/>
      <c r="HQ622" s="103"/>
      <c r="HR622" s="103"/>
      <c r="HS622" s="103"/>
      <c r="HT622" s="103"/>
      <c r="HU622" s="103"/>
      <c r="HV622" s="103"/>
      <c r="HW622" s="103"/>
      <c r="HX622" s="103"/>
      <c r="HY622" s="103"/>
      <c r="HZ622" s="103"/>
      <c r="IA622" s="103"/>
      <c r="IB622" s="103"/>
      <c r="IC622" s="103"/>
      <c r="ID622" s="103"/>
      <c r="IE622" s="103"/>
      <c r="IF622" s="103"/>
      <c r="IG622" s="103"/>
      <c r="IH622" s="103"/>
      <c r="II622" s="103"/>
      <c r="IJ622" s="103"/>
      <c r="IK622" s="103"/>
      <c r="IL622" s="103"/>
      <c r="IM622" s="103"/>
      <c r="IN622" s="103"/>
      <c r="IO622" s="103"/>
      <c r="IP622" s="103"/>
      <c r="IQ622" s="103"/>
      <c r="IR622" s="103"/>
      <c r="IS622" s="103"/>
      <c r="IT622" s="103"/>
      <c r="IU622" s="103"/>
      <c r="IV622" s="103"/>
    </row>
    <row r="623" spans="1:256" ht="14.5">
      <c r="A623" s="103"/>
      <c r="B623" s="103"/>
      <c r="C623" s="103"/>
      <c r="D623" s="103"/>
      <c r="F623" s="105"/>
      <c r="G623" s="103"/>
      <c r="H623" s="103"/>
      <c r="I623" s="106"/>
      <c r="J623" s="106"/>
      <c r="K623" s="106"/>
      <c r="L623" s="65"/>
      <c r="M623" s="65"/>
      <c r="N623" s="5"/>
      <c r="X623" s="6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  <c r="AV623" s="103"/>
      <c r="AW623" s="103"/>
      <c r="AX623" s="103"/>
      <c r="AY623" s="103"/>
      <c r="AZ623" s="103"/>
      <c r="BA623" s="103"/>
      <c r="BB623" s="103"/>
      <c r="BC623" s="103"/>
      <c r="BD623" s="103"/>
      <c r="BE623" s="103"/>
      <c r="BF623" s="103"/>
      <c r="BG623" s="103"/>
      <c r="BH623" s="103"/>
      <c r="BI623" s="103"/>
      <c r="BJ623" s="103"/>
      <c r="BK623" s="103"/>
      <c r="BL623" s="103"/>
      <c r="BM623" s="103"/>
      <c r="BN623" s="103"/>
      <c r="BO623" s="103"/>
      <c r="BP623" s="103"/>
      <c r="BQ623" s="103"/>
      <c r="BR623" s="103"/>
      <c r="BS623" s="103"/>
      <c r="BT623" s="103"/>
      <c r="BU623" s="103"/>
      <c r="BV623" s="103"/>
      <c r="BW623" s="103"/>
      <c r="BX623" s="103"/>
      <c r="BY623" s="103"/>
      <c r="BZ623" s="103"/>
      <c r="CA623" s="103"/>
      <c r="CB623" s="103"/>
      <c r="CC623" s="103"/>
      <c r="CD623" s="103"/>
      <c r="CE623" s="103"/>
      <c r="CF623" s="103"/>
      <c r="CG623" s="103"/>
      <c r="CH623" s="103"/>
      <c r="CI623" s="103"/>
      <c r="CJ623" s="103"/>
      <c r="CK623" s="103"/>
      <c r="CL623" s="103"/>
      <c r="CM623" s="103"/>
      <c r="CN623" s="103"/>
      <c r="CO623" s="103"/>
      <c r="CP623" s="103"/>
      <c r="CQ623" s="103"/>
      <c r="CR623" s="103"/>
      <c r="CS623" s="103"/>
      <c r="CT623" s="103"/>
      <c r="CU623" s="103"/>
      <c r="CV623" s="103"/>
      <c r="CW623" s="103"/>
      <c r="CX623" s="103"/>
      <c r="CY623" s="103"/>
      <c r="CZ623" s="103"/>
      <c r="DA623" s="103"/>
      <c r="DB623" s="103"/>
      <c r="DC623" s="103"/>
      <c r="DD623" s="103"/>
      <c r="DE623" s="103"/>
      <c r="DF623" s="103"/>
      <c r="DG623" s="103"/>
      <c r="DH623" s="103"/>
      <c r="DI623" s="103"/>
      <c r="DJ623" s="103"/>
      <c r="DK623" s="103"/>
      <c r="DL623" s="103"/>
      <c r="DM623" s="103"/>
      <c r="DN623" s="103"/>
      <c r="DO623" s="103"/>
      <c r="DP623" s="103"/>
      <c r="DQ623" s="103"/>
      <c r="DR623" s="103"/>
      <c r="DS623" s="103"/>
      <c r="DT623" s="103"/>
      <c r="DU623" s="103"/>
      <c r="DV623" s="103"/>
      <c r="DW623" s="103"/>
      <c r="DX623" s="103"/>
      <c r="DY623" s="103"/>
      <c r="DZ623" s="103"/>
      <c r="EA623" s="103"/>
      <c r="EB623" s="103"/>
      <c r="EC623" s="103"/>
      <c r="ED623" s="103"/>
      <c r="EE623" s="103"/>
      <c r="EF623" s="103"/>
      <c r="EG623" s="103"/>
      <c r="EH623" s="103"/>
      <c r="EI623" s="103"/>
      <c r="EJ623" s="103"/>
      <c r="EK623" s="103"/>
      <c r="EL623" s="103"/>
      <c r="EM623" s="103"/>
      <c r="EN623" s="103"/>
      <c r="EO623" s="103"/>
      <c r="EP623" s="103"/>
      <c r="EQ623" s="103"/>
      <c r="ER623" s="103"/>
      <c r="ES623" s="103"/>
      <c r="ET623" s="103"/>
      <c r="EU623" s="103"/>
      <c r="EV623" s="103"/>
      <c r="EW623" s="103"/>
      <c r="EX623" s="103"/>
      <c r="EY623" s="103"/>
      <c r="EZ623" s="103"/>
      <c r="FA623" s="103"/>
      <c r="FB623" s="103"/>
      <c r="FC623" s="103"/>
      <c r="FD623" s="103"/>
      <c r="FE623" s="103"/>
      <c r="FF623" s="103"/>
      <c r="FG623" s="103"/>
      <c r="FH623" s="103"/>
      <c r="FI623" s="103"/>
      <c r="FJ623" s="103"/>
      <c r="FK623" s="103"/>
      <c r="FL623" s="103"/>
      <c r="FM623" s="103"/>
      <c r="FN623" s="103"/>
      <c r="FO623" s="103"/>
      <c r="FP623" s="103"/>
      <c r="FQ623" s="103"/>
      <c r="FR623" s="103"/>
      <c r="FS623" s="103"/>
      <c r="FT623" s="103"/>
      <c r="FU623" s="103"/>
      <c r="FV623" s="103"/>
      <c r="FW623" s="103"/>
      <c r="FX623" s="103"/>
      <c r="FY623" s="103"/>
      <c r="FZ623" s="103"/>
      <c r="GA623" s="103"/>
      <c r="GB623" s="103"/>
      <c r="GC623" s="103"/>
      <c r="GD623" s="103"/>
      <c r="GE623" s="103"/>
      <c r="GF623" s="103"/>
      <c r="GG623" s="103"/>
      <c r="GH623" s="103"/>
      <c r="GI623" s="103"/>
      <c r="GJ623" s="103"/>
      <c r="GK623" s="103"/>
      <c r="GL623" s="103"/>
      <c r="GM623" s="103"/>
      <c r="GN623" s="103"/>
      <c r="GO623" s="103"/>
      <c r="GP623" s="103"/>
      <c r="GQ623" s="103"/>
      <c r="GR623" s="103"/>
      <c r="GS623" s="103"/>
      <c r="GT623" s="103"/>
      <c r="GU623" s="103"/>
      <c r="GV623" s="103"/>
      <c r="GW623" s="103"/>
      <c r="GX623" s="103"/>
      <c r="GY623" s="103"/>
      <c r="GZ623" s="103"/>
      <c r="HA623" s="103"/>
      <c r="HB623" s="103"/>
      <c r="HC623" s="103"/>
      <c r="HD623" s="103"/>
      <c r="HE623" s="103"/>
      <c r="HF623" s="103"/>
      <c r="HG623" s="103"/>
      <c r="HH623" s="103"/>
      <c r="HI623" s="103"/>
      <c r="HJ623" s="103"/>
      <c r="HK623" s="103"/>
      <c r="HL623" s="103"/>
      <c r="HM623" s="103"/>
      <c r="HN623" s="103"/>
      <c r="HO623" s="103"/>
      <c r="HP623" s="103"/>
      <c r="HQ623" s="103"/>
      <c r="HR623" s="103"/>
      <c r="HS623" s="103"/>
      <c r="HT623" s="103"/>
      <c r="HU623" s="103"/>
      <c r="HV623" s="103"/>
      <c r="HW623" s="103"/>
      <c r="HX623" s="103"/>
      <c r="HY623" s="103"/>
      <c r="HZ623" s="103"/>
      <c r="IA623" s="103"/>
      <c r="IB623" s="103"/>
      <c r="IC623" s="103"/>
      <c r="ID623" s="103"/>
      <c r="IE623" s="103"/>
      <c r="IF623" s="103"/>
      <c r="IG623" s="103"/>
      <c r="IH623" s="103"/>
      <c r="II623" s="103"/>
      <c r="IJ623" s="103"/>
      <c r="IK623" s="103"/>
      <c r="IL623" s="103"/>
      <c r="IM623" s="103"/>
      <c r="IN623" s="103"/>
      <c r="IO623" s="103"/>
      <c r="IP623" s="103"/>
      <c r="IQ623" s="103"/>
      <c r="IR623" s="103"/>
      <c r="IS623" s="103"/>
      <c r="IT623" s="103"/>
      <c r="IU623" s="103"/>
      <c r="IV623" s="103"/>
    </row>
    <row r="625" spans="1:23">
      <c r="A625" s="10" t="s">
        <v>75</v>
      </c>
      <c r="B625" s="10" t="s">
        <v>75</v>
      </c>
      <c r="C625" s="10" t="s">
        <v>75</v>
      </c>
      <c r="D625" s="10" t="s">
        <v>75</v>
      </c>
      <c r="E625" s="10" t="s">
        <v>75</v>
      </c>
      <c r="F625" s="11" t="s">
        <v>75</v>
      </c>
      <c r="G625" s="11" t="s">
        <v>75</v>
      </c>
      <c r="H625" s="11" t="s">
        <v>75</v>
      </c>
      <c r="I625" s="35" t="s">
        <v>75</v>
      </c>
      <c r="J625" s="35" t="s">
        <v>75</v>
      </c>
      <c r="K625" s="35" t="s">
        <v>75</v>
      </c>
      <c r="L625" s="102" t="s">
        <v>75</v>
      </c>
      <c r="M625" s="11" t="s">
        <v>75</v>
      </c>
      <c r="N625" s="11" t="s">
        <v>75</v>
      </c>
      <c r="O625" s="11" t="s">
        <v>75</v>
      </c>
      <c r="P625" s="11" t="s">
        <v>75</v>
      </c>
      <c r="Q625" s="11" t="s">
        <v>75</v>
      </c>
      <c r="R625" s="11" t="s">
        <v>75</v>
      </c>
      <c r="S625" s="11" t="s">
        <v>75</v>
      </c>
      <c r="T625" s="11" t="s">
        <v>75</v>
      </c>
      <c r="U625" s="11" t="s">
        <v>75</v>
      </c>
      <c r="V625" s="11" t="s">
        <v>75</v>
      </c>
      <c r="W625" s="11" t="s">
        <v>75</v>
      </c>
    </row>
  </sheetData>
  <autoFilter ref="A10:AA625" xr:uid="{00000000-0009-0000-0000-000002000000}"/>
  <sortState xmlns:xlrd2="http://schemas.microsoft.com/office/spreadsheetml/2017/richdata2" ref="A230:IX238">
    <sortCondition ref="F230"/>
  </sortState>
  <conditionalFormatting sqref="G7:G8">
    <cfRule type="cellIs" dxfId="26" priority="1" stopIfTrue="1" operator="equal">
      <formula>"Check"</formula>
    </cfRule>
  </conditionalFormatting>
  <pageMargins left="0.75" right="0.75" top="1" bottom="1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12"/>
  <sheetViews>
    <sheetView zoomScale="55" zoomScaleNormal="55" workbookViewId="0">
      <pane xSplit="7" ySplit="11" topLeftCell="H252" activePane="bottomRight" state="frozen"/>
      <selection pane="topRight" activeCell="H1" sqref="H1"/>
      <selection pane="bottomLeft" activeCell="A12" sqref="A12"/>
      <selection pane="bottomRight" activeCell="H262" sqref="H262"/>
    </sheetView>
  </sheetViews>
  <sheetFormatPr baseColWidth="10" defaultColWidth="10.83203125" defaultRowHeight="13"/>
  <cols>
    <col min="1" max="1" width="15" style="9" customWidth="1"/>
    <col min="2" max="2" width="29.83203125" style="5" bestFit="1" customWidth="1"/>
    <col min="3" max="3" width="20.5" style="5" customWidth="1"/>
    <col min="4" max="4" width="13.1640625" style="34" bestFit="1" customWidth="1"/>
    <col min="5" max="5" width="33.1640625" style="88" bestFit="1" customWidth="1"/>
    <col min="6" max="6" width="10.5" style="36" bestFit="1" customWidth="1"/>
    <col min="7" max="7" width="24.33203125" style="5" customWidth="1"/>
    <col min="8" max="8" width="13" style="5" bestFit="1" customWidth="1"/>
    <col min="9" max="9" width="22.5" style="62" customWidth="1"/>
    <col min="10" max="10" width="19.1640625" style="62" customWidth="1"/>
    <col min="11" max="11" width="20.1640625" style="62" customWidth="1"/>
    <col min="12" max="12" width="13.1640625" style="100" customWidth="1"/>
    <col min="13" max="13" width="18.83203125" style="5" customWidth="1"/>
    <col min="14" max="14" width="12.5" style="34" customWidth="1"/>
    <col min="15" max="15" width="28.1640625" style="5" customWidth="1"/>
    <col min="16" max="16" width="36.1640625" style="5" customWidth="1"/>
    <col min="17" max="17" width="13.83203125" style="5" customWidth="1"/>
    <col min="18" max="18" width="109.33203125" style="5" bestFit="1" customWidth="1"/>
    <col min="19" max="19" width="15.83203125" style="5" customWidth="1"/>
    <col min="20" max="20" width="21.5" style="5" customWidth="1"/>
    <col min="21" max="21" width="38.83203125" style="5" bestFit="1" customWidth="1"/>
    <col min="22" max="22" width="35.5" style="5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+SUMIF($E$10:$E$259,H4,$I$10:$I$259)</f>
        <v>5481342.54</v>
      </c>
      <c r="J4" s="298">
        <f>+SUMIF($E$10:$E$259,H4,$J$10:$J$259)</f>
        <v>3853.3284322556956</v>
      </c>
      <c r="K4" s="299">
        <f>+I4/J4</f>
        <v>1422.4955480348929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ROUND(SUM(I10:I612),0)</f>
        <v>0</v>
      </c>
      <c r="J7" s="61">
        <f>ROUND(SUM(J10:J612),0)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SUM(I10:I259)</f>
        <v>30528431.810000002</v>
      </c>
      <c r="J9" s="104">
        <f>SUM(J10:J259)</f>
        <v>20615.660836973319</v>
      </c>
      <c r="L9" s="62"/>
      <c r="M9" s="62"/>
      <c r="N9" s="62"/>
    </row>
    <row r="10" spans="1:40" ht="32">
      <c r="B10" s="12" t="s">
        <v>81</v>
      </c>
      <c r="C10" s="9"/>
      <c r="D10" s="12" t="s">
        <v>71</v>
      </c>
      <c r="E10" s="12" t="s">
        <v>72</v>
      </c>
      <c r="F10" s="37" t="s">
        <v>22</v>
      </c>
      <c r="G10" s="7" t="s">
        <v>21</v>
      </c>
      <c r="H10" s="7"/>
      <c r="I10" s="8" t="s">
        <v>20</v>
      </c>
      <c r="J10" s="8" t="s">
        <v>18</v>
      </c>
      <c r="K10" s="71" t="s">
        <v>70</v>
      </c>
      <c r="L10" s="101" t="s">
        <v>16</v>
      </c>
      <c r="M10" s="7" t="s">
        <v>15</v>
      </c>
      <c r="N10" s="7" t="s">
        <v>14</v>
      </c>
      <c r="O10" s="7" t="s">
        <v>13</v>
      </c>
      <c r="P10" s="7" t="s">
        <v>12</v>
      </c>
      <c r="Q10" s="7" t="s">
        <v>11</v>
      </c>
      <c r="R10" s="7" t="s">
        <v>10</v>
      </c>
      <c r="S10" s="7" t="s">
        <v>9</v>
      </c>
      <c r="T10" s="7" t="s">
        <v>8</v>
      </c>
      <c r="U10" s="7" t="s">
        <v>7</v>
      </c>
      <c r="V10" s="7" t="s">
        <v>6</v>
      </c>
      <c r="W10" s="7" t="s">
        <v>5</v>
      </c>
      <c r="X10" s="8" t="s">
        <v>19</v>
      </c>
      <c r="Y10" s="7"/>
      <c r="Z10" s="7" t="s">
        <v>18</v>
      </c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2" spans="1:40" ht="28">
      <c r="B12" s="9"/>
      <c r="C12" s="5" t="s">
        <v>1857</v>
      </c>
      <c r="D12" s="214" t="s">
        <v>383</v>
      </c>
      <c r="E12" s="212" t="str">
        <f>+VLOOKUP(F12,Resumen_Base!$B$6:$F$69,5,0)</f>
        <v>Fixed Asset's Payments (Investments) Mejoras/equipamiento Lodge</v>
      </c>
      <c r="F12" s="5" t="s">
        <v>46</v>
      </c>
      <c r="G12" s="34" t="s">
        <v>47</v>
      </c>
      <c r="H12" s="5" t="str">
        <f t="shared" ref="H12:H75" si="0">+D12&amp;F12</f>
        <v>DEL12020103</v>
      </c>
      <c r="I12" s="306">
        <v>424500</v>
      </c>
      <c r="J12" s="307">
        <v>300</v>
      </c>
      <c r="K12" s="6">
        <v>1415</v>
      </c>
      <c r="L12" s="5" t="s">
        <v>1902</v>
      </c>
      <c r="M12" s="62" t="s">
        <v>452</v>
      </c>
      <c r="N12" s="62" t="s">
        <v>464</v>
      </c>
      <c r="O12" s="62" t="s">
        <v>1907</v>
      </c>
      <c r="P12" s="100" t="s">
        <v>1895</v>
      </c>
      <c r="Q12" s="5" t="s">
        <v>1908</v>
      </c>
      <c r="R12" s="34" t="s">
        <v>2093</v>
      </c>
      <c r="S12" s="5" t="s">
        <v>1910</v>
      </c>
      <c r="T12" s="5" t="s">
        <v>445</v>
      </c>
    </row>
    <row r="13" spans="1:40" ht="28">
      <c r="B13" s="9"/>
      <c r="C13" s="5" t="s">
        <v>1857</v>
      </c>
      <c r="D13" s="214" t="s">
        <v>383</v>
      </c>
      <c r="E13" s="212" t="str">
        <f>+VLOOKUP(F13,Resumen_Base!$B$6:$F$69,5,0)</f>
        <v>Fixed Asset's Payments (Investments) Mejoras/equipamiento Lodge</v>
      </c>
      <c r="F13" s="5" t="s">
        <v>4</v>
      </c>
      <c r="G13" s="34" t="s">
        <v>3</v>
      </c>
      <c r="H13" s="5" t="str">
        <f t="shared" si="0"/>
        <v>DEL12020301</v>
      </c>
      <c r="I13" s="306">
        <v>257724</v>
      </c>
      <c r="J13" s="307">
        <v>180.85894736842101</v>
      </c>
      <c r="K13" s="6">
        <v>1425</v>
      </c>
      <c r="L13" s="5" t="s">
        <v>1911</v>
      </c>
      <c r="M13" s="62" t="s">
        <v>452</v>
      </c>
      <c r="N13" s="62" t="s">
        <v>464</v>
      </c>
      <c r="O13" s="62" t="s">
        <v>2060</v>
      </c>
      <c r="P13" s="100" t="s">
        <v>1895</v>
      </c>
      <c r="Q13" s="5" t="s">
        <v>2061</v>
      </c>
      <c r="R13" s="34" t="s">
        <v>2062</v>
      </c>
      <c r="S13" s="5" t="s">
        <v>2063</v>
      </c>
      <c r="T13" s="5" t="s">
        <v>445</v>
      </c>
    </row>
    <row r="14" spans="1:40" ht="28">
      <c r="B14" s="9"/>
      <c r="C14" s="5" t="s">
        <v>1857</v>
      </c>
      <c r="D14" s="214" t="s">
        <v>383</v>
      </c>
      <c r="E14" s="212" t="str">
        <f>+VLOOKUP(F14,Resumen_Base!$B$6:$F$69,5,0)</f>
        <v>Fixed Asset's Payments (Investments) Mejoras/equipamiento Lodge</v>
      </c>
      <c r="F14" s="5" t="s">
        <v>4</v>
      </c>
      <c r="G14" s="34" t="s">
        <v>3</v>
      </c>
      <c r="H14" s="5" t="str">
        <f t="shared" si="0"/>
        <v>DEL12020301</v>
      </c>
      <c r="I14" s="306">
        <v>665998</v>
      </c>
      <c r="J14" s="307">
        <v>470.66996466431101</v>
      </c>
      <c r="K14" s="6">
        <v>1415</v>
      </c>
      <c r="L14" s="5" t="s">
        <v>1893</v>
      </c>
      <c r="M14" s="62" t="s">
        <v>452</v>
      </c>
      <c r="N14" s="62" t="s">
        <v>464</v>
      </c>
      <c r="O14" s="62" t="s">
        <v>2079</v>
      </c>
      <c r="P14" s="100" t="s">
        <v>1895</v>
      </c>
      <c r="Q14" s="5" t="s">
        <v>2080</v>
      </c>
      <c r="R14" s="34" t="s">
        <v>2088</v>
      </c>
      <c r="S14" s="5" t="s">
        <v>2082</v>
      </c>
      <c r="T14" s="5" t="s">
        <v>445</v>
      </c>
    </row>
    <row r="15" spans="1:40" ht="28">
      <c r="B15" s="9"/>
      <c r="C15" s="5" t="s">
        <v>1857</v>
      </c>
      <c r="D15" s="214" t="s">
        <v>383</v>
      </c>
      <c r="E15" s="212" t="str">
        <f>+VLOOKUP(F15,Resumen_Base!$B$6:$F$69,5,0)</f>
        <v>Fixed Asset's Payments (Investments) Mejoras/equipamiento Lodge</v>
      </c>
      <c r="F15" s="5" t="s">
        <v>4</v>
      </c>
      <c r="G15" s="34" t="s">
        <v>3</v>
      </c>
      <c r="H15" s="5" t="str">
        <f t="shared" si="0"/>
        <v>DEL12020301</v>
      </c>
      <c r="I15" s="306">
        <v>269998</v>
      </c>
      <c r="J15" s="307">
        <v>190.81130742049501</v>
      </c>
      <c r="K15" s="6">
        <v>1415</v>
      </c>
      <c r="L15" s="5" t="s">
        <v>1902</v>
      </c>
      <c r="M15" s="62" t="s">
        <v>452</v>
      </c>
      <c r="N15" s="62" t="s">
        <v>464</v>
      </c>
      <c r="O15" s="62" t="s">
        <v>2066</v>
      </c>
      <c r="P15" s="100" t="s">
        <v>1895</v>
      </c>
      <c r="Q15" s="5" t="s">
        <v>2067</v>
      </c>
      <c r="R15" s="34" t="s">
        <v>2089</v>
      </c>
      <c r="S15" s="5" t="s">
        <v>2069</v>
      </c>
      <c r="T15" s="5" t="s">
        <v>445</v>
      </c>
    </row>
    <row r="16" spans="1:40" ht="28">
      <c r="B16" s="9"/>
      <c r="C16" s="5" t="s">
        <v>1857</v>
      </c>
      <c r="D16" s="214" t="s">
        <v>383</v>
      </c>
      <c r="E16" s="212" t="str">
        <f>+VLOOKUP(F16,Resumen_Base!$B$6:$F$69,5,0)</f>
        <v>Fixed Asset's Payments (Investments) Mejoras/equipamiento Lodge</v>
      </c>
      <c r="F16" s="5" t="s">
        <v>4</v>
      </c>
      <c r="G16" s="34" t="s">
        <v>3</v>
      </c>
      <c r="H16" s="5" t="str">
        <f t="shared" si="0"/>
        <v>DEL12020301</v>
      </c>
      <c r="I16" s="306">
        <v>288300</v>
      </c>
      <c r="J16" s="307">
        <v>202.31578947368399</v>
      </c>
      <c r="K16" s="6">
        <v>1425</v>
      </c>
      <c r="L16" s="5" t="s">
        <v>1911</v>
      </c>
      <c r="M16" s="62" t="s">
        <v>452</v>
      </c>
      <c r="N16" s="62" t="s">
        <v>464</v>
      </c>
      <c r="O16" s="62" t="s">
        <v>2060</v>
      </c>
      <c r="P16" s="100" t="s">
        <v>1895</v>
      </c>
      <c r="Q16" s="5" t="s">
        <v>2061</v>
      </c>
      <c r="R16" s="34" t="s">
        <v>2090</v>
      </c>
      <c r="S16" s="5" t="s">
        <v>2063</v>
      </c>
      <c r="T16" s="5" t="s">
        <v>445</v>
      </c>
    </row>
    <row r="17" spans="2:20" ht="28">
      <c r="B17" s="9"/>
      <c r="C17" s="5" t="s">
        <v>1857</v>
      </c>
      <c r="D17" s="214" t="s">
        <v>383</v>
      </c>
      <c r="E17" s="212" t="str">
        <f>+VLOOKUP(F17,Resumen_Base!$B$6:$F$69,5,0)</f>
        <v>Fixed Asset's Payments (Investments) Mejoras/equipamiento Lodge</v>
      </c>
      <c r="F17" s="5" t="s">
        <v>4</v>
      </c>
      <c r="G17" s="34" t="s">
        <v>3</v>
      </c>
      <c r="H17" s="5" t="str">
        <f t="shared" si="0"/>
        <v>DEL12020301</v>
      </c>
      <c r="I17" s="306">
        <v>288990.27</v>
      </c>
      <c r="J17" s="307">
        <v>204.233406360424</v>
      </c>
      <c r="K17" s="6">
        <v>1415</v>
      </c>
      <c r="L17" s="5" t="s">
        <v>1893</v>
      </c>
      <c r="M17" s="62" t="s">
        <v>452</v>
      </c>
      <c r="N17" s="62" t="s">
        <v>464</v>
      </c>
      <c r="O17" s="62" t="s">
        <v>2079</v>
      </c>
      <c r="P17" s="100" t="s">
        <v>1895</v>
      </c>
      <c r="Q17" s="5" t="s">
        <v>2080</v>
      </c>
      <c r="R17" s="34" t="s">
        <v>2091</v>
      </c>
      <c r="S17" s="5" t="s">
        <v>2082</v>
      </c>
      <c r="T17" s="5" t="s">
        <v>445</v>
      </c>
    </row>
    <row r="18" spans="2:20" ht="14">
      <c r="B18" s="9"/>
      <c r="C18" s="5" t="s">
        <v>1857</v>
      </c>
      <c r="D18" s="214" t="s">
        <v>383</v>
      </c>
      <c r="E18" s="212" t="str">
        <f>+VLOOKUP(F18,Resumen_Base!$B$6:$F$69,5,0)</f>
        <v>Shop</v>
      </c>
      <c r="F18" s="5" t="s">
        <v>130</v>
      </c>
      <c r="G18" s="34" t="s">
        <v>131</v>
      </c>
      <c r="H18" s="5" t="str">
        <f t="shared" si="0"/>
        <v>DEL4104</v>
      </c>
      <c r="I18" s="306">
        <v>-171000</v>
      </c>
      <c r="J18" s="307">
        <v>-120</v>
      </c>
      <c r="K18" s="6">
        <v>1425</v>
      </c>
      <c r="L18" s="5" t="s">
        <v>1955</v>
      </c>
      <c r="M18" s="62" t="s">
        <v>1382</v>
      </c>
      <c r="N18" s="62" t="s">
        <v>464</v>
      </c>
      <c r="O18" s="62" t="s">
        <v>2105</v>
      </c>
      <c r="P18" s="100" t="s">
        <v>2106</v>
      </c>
      <c r="Q18" s="5" t="s">
        <v>2107</v>
      </c>
      <c r="R18" s="34" t="s">
        <v>2108</v>
      </c>
      <c r="S18" s="5" t="s">
        <v>2109</v>
      </c>
      <c r="T18" s="5" t="s">
        <v>445</v>
      </c>
    </row>
    <row r="19" spans="2:20" ht="14">
      <c r="B19" s="9"/>
      <c r="C19" s="5" t="s">
        <v>1857</v>
      </c>
      <c r="D19" s="214" t="s">
        <v>383</v>
      </c>
      <c r="E19" s="212" t="str">
        <f>+VLOOKUP(F19,Resumen_Base!$B$6:$F$69,5,0)</f>
        <v>Shop</v>
      </c>
      <c r="F19" s="5" t="s">
        <v>130</v>
      </c>
      <c r="G19" s="34" t="s">
        <v>131</v>
      </c>
      <c r="H19" s="5" t="str">
        <f t="shared" si="0"/>
        <v>DEL4104</v>
      </c>
      <c r="I19" s="306">
        <v>-85500</v>
      </c>
      <c r="J19" s="307">
        <v>-60</v>
      </c>
      <c r="K19" s="6">
        <v>1425</v>
      </c>
      <c r="L19" s="5" t="s">
        <v>1955</v>
      </c>
      <c r="M19" s="62" t="s">
        <v>1382</v>
      </c>
      <c r="N19" s="62" t="s">
        <v>464</v>
      </c>
      <c r="O19" s="62" t="s">
        <v>2105</v>
      </c>
      <c r="P19" s="100" t="s">
        <v>2106</v>
      </c>
      <c r="Q19" s="5" t="s">
        <v>2107</v>
      </c>
      <c r="R19" s="34" t="s">
        <v>2108</v>
      </c>
      <c r="S19" s="5" t="s">
        <v>2109</v>
      </c>
      <c r="T19" s="5" t="s">
        <v>445</v>
      </c>
    </row>
    <row r="20" spans="2:20" ht="14">
      <c r="B20" s="9"/>
      <c r="C20" s="5" t="s">
        <v>1857</v>
      </c>
      <c r="D20" s="214" t="s">
        <v>383</v>
      </c>
      <c r="E20" s="212" t="str">
        <f>+VLOOKUP(F20,Resumen_Base!$B$6:$F$69,5,0)</f>
        <v>Shop</v>
      </c>
      <c r="F20" s="5" t="s">
        <v>130</v>
      </c>
      <c r="G20" s="34" t="s">
        <v>131</v>
      </c>
      <c r="H20" s="5" t="str">
        <f t="shared" si="0"/>
        <v>DEL4104</v>
      </c>
      <c r="I20" s="306">
        <v>-34200</v>
      </c>
      <c r="J20" s="307">
        <v>-24</v>
      </c>
      <c r="K20" s="6">
        <v>1425</v>
      </c>
      <c r="L20" s="5" t="s">
        <v>1969</v>
      </c>
      <c r="M20" s="62" t="s">
        <v>1382</v>
      </c>
      <c r="N20" s="62" t="s">
        <v>464</v>
      </c>
      <c r="O20" s="62" t="s">
        <v>2110</v>
      </c>
      <c r="P20" s="100" t="s">
        <v>2106</v>
      </c>
      <c r="Q20" s="5" t="s">
        <v>2111</v>
      </c>
      <c r="R20" s="34" t="s">
        <v>2112</v>
      </c>
      <c r="S20" s="5" t="s">
        <v>2113</v>
      </c>
      <c r="T20" s="5" t="s">
        <v>445</v>
      </c>
    </row>
    <row r="21" spans="2:20" ht="14">
      <c r="B21" s="9"/>
      <c r="C21" s="5" t="s">
        <v>1857</v>
      </c>
      <c r="D21" s="214" t="s">
        <v>383</v>
      </c>
      <c r="E21" s="212" t="str">
        <f>+VLOOKUP(F21,Resumen_Base!$B$6:$F$69,5,0)</f>
        <v>Shop</v>
      </c>
      <c r="F21" s="5" t="s">
        <v>130</v>
      </c>
      <c r="G21" s="34" t="s">
        <v>131</v>
      </c>
      <c r="H21" s="5" t="str">
        <f t="shared" si="0"/>
        <v>DEL4104</v>
      </c>
      <c r="I21" s="306">
        <v>-42750</v>
      </c>
      <c r="J21" s="307">
        <v>-30</v>
      </c>
      <c r="K21" s="6">
        <v>1425</v>
      </c>
      <c r="L21" s="5" t="s">
        <v>1969</v>
      </c>
      <c r="M21" s="62" t="s">
        <v>1382</v>
      </c>
      <c r="N21" s="62" t="s">
        <v>464</v>
      </c>
      <c r="O21" s="62" t="s">
        <v>2110</v>
      </c>
      <c r="P21" s="100" t="s">
        <v>2106</v>
      </c>
      <c r="Q21" s="5" t="s">
        <v>2111</v>
      </c>
      <c r="R21" s="34" t="s">
        <v>2112</v>
      </c>
      <c r="S21" s="5" t="s">
        <v>2113</v>
      </c>
      <c r="T21" s="5" t="s">
        <v>445</v>
      </c>
    </row>
    <row r="22" spans="2:20" ht="14">
      <c r="B22" s="9"/>
      <c r="C22" s="5" t="s">
        <v>1857</v>
      </c>
      <c r="D22" s="214" t="s">
        <v>383</v>
      </c>
      <c r="E22" s="212" t="str">
        <f>+VLOOKUP(F22,Resumen_Base!$B$6:$F$69,5,0)</f>
        <v>Shop</v>
      </c>
      <c r="F22" s="5" t="s">
        <v>130</v>
      </c>
      <c r="G22" s="34" t="s">
        <v>131</v>
      </c>
      <c r="H22" s="5" t="str">
        <f t="shared" si="0"/>
        <v>DEL4104</v>
      </c>
      <c r="I22" s="306">
        <v>-42750</v>
      </c>
      <c r="J22" s="307">
        <v>-30</v>
      </c>
      <c r="K22" s="6">
        <v>1425</v>
      </c>
      <c r="L22" s="5" t="s">
        <v>1969</v>
      </c>
      <c r="M22" s="62" t="s">
        <v>1382</v>
      </c>
      <c r="N22" s="62" t="s">
        <v>464</v>
      </c>
      <c r="O22" s="62" t="s">
        <v>2110</v>
      </c>
      <c r="P22" s="100" t="s">
        <v>2106</v>
      </c>
      <c r="Q22" s="5" t="s">
        <v>2111</v>
      </c>
      <c r="R22" s="34" t="s">
        <v>2112</v>
      </c>
      <c r="S22" s="5" t="s">
        <v>2113</v>
      </c>
      <c r="T22" s="5" t="s">
        <v>445</v>
      </c>
    </row>
    <row r="23" spans="2:20" ht="14">
      <c r="B23" s="9"/>
      <c r="C23" s="5" t="s">
        <v>1857</v>
      </c>
      <c r="D23" s="214" t="s">
        <v>383</v>
      </c>
      <c r="E23" s="212" t="str">
        <f>+VLOOKUP(F23,Resumen_Base!$B$6:$F$69,5,0)</f>
        <v>Shop</v>
      </c>
      <c r="F23" s="5" t="s">
        <v>130</v>
      </c>
      <c r="G23" s="34" t="s">
        <v>131</v>
      </c>
      <c r="H23" s="5" t="str">
        <f t="shared" si="0"/>
        <v>DEL4104</v>
      </c>
      <c r="I23" s="306">
        <v>-85500</v>
      </c>
      <c r="J23" s="307">
        <v>-60</v>
      </c>
      <c r="K23" s="6">
        <v>1425</v>
      </c>
      <c r="L23" s="5" t="s">
        <v>1969</v>
      </c>
      <c r="M23" s="62" t="s">
        <v>1382</v>
      </c>
      <c r="N23" s="62" t="s">
        <v>464</v>
      </c>
      <c r="O23" s="62" t="s">
        <v>2110</v>
      </c>
      <c r="P23" s="100" t="s">
        <v>2106</v>
      </c>
      <c r="Q23" s="5" t="s">
        <v>2111</v>
      </c>
      <c r="R23" s="34" t="s">
        <v>2112</v>
      </c>
      <c r="S23" s="5" t="s">
        <v>2113</v>
      </c>
      <c r="T23" s="5" t="s">
        <v>445</v>
      </c>
    </row>
    <row r="24" spans="2:20" ht="14">
      <c r="B24" s="9"/>
      <c r="C24" s="5" t="s">
        <v>1857</v>
      </c>
      <c r="D24" s="214" t="s">
        <v>383</v>
      </c>
      <c r="E24" s="212" t="str">
        <f>+VLOOKUP(F24,Resumen_Base!$B$6:$F$69,5,0)</f>
        <v>Shop</v>
      </c>
      <c r="F24" s="5" t="s">
        <v>130</v>
      </c>
      <c r="G24" s="34" t="s">
        <v>131</v>
      </c>
      <c r="H24" s="5" t="str">
        <f t="shared" si="0"/>
        <v>DEL4104</v>
      </c>
      <c r="I24" s="306">
        <v>-86400</v>
      </c>
      <c r="J24" s="307">
        <v>-60</v>
      </c>
      <c r="K24" s="6">
        <v>1440</v>
      </c>
      <c r="L24" s="5" t="s">
        <v>1939</v>
      </c>
      <c r="M24" s="62" t="s">
        <v>1382</v>
      </c>
      <c r="N24" s="62" t="s">
        <v>464</v>
      </c>
      <c r="O24" s="62" t="s">
        <v>2114</v>
      </c>
      <c r="P24" s="100" t="s">
        <v>2106</v>
      </c>
      <c r="Q24" s="5" t="s">
        <v>2115</v>
      </c>
      <c r="R24" s="34" t="s">
        <v>2116</v>
      </c>
      <c r="S24" s="5" t="s">
        <v>2117</v>
      </c>
      <c r="T24" s="5" t="s">
        <v>445</v>
      </c>
    </row>
    <row r="25" spans="2:20" ht="14">
      <c r="B25" s="9"/>
      <c r="C25" s="5" t="s">
        <v>1857</v>
      </c>
      <c r="D25" s="214" t="s">
        <v>383</v>
      </c>
      <c r="E25" s="212" t="str">
        <f>+VLOOKUP(F25,Resumen_Base!$B$6:$F$69,5,0)</f>
        <v>Shop</v>
      </c>
      <c r="F25" s="5" t="s">
        <v>130</v>
      </c>
      <c r="G25" s="34" t="s">
        <v>131</v>
      </c>
      <c r="H25" s="5" t="str">
        <f t="shared" si="0"/>
        <v>DEL4104</v>
      </c>
      <c r="I25" s="306">
        <v>-85500</v>
      </c>
      <c r="J25" s="307">
        <v>-60</v>
      </c>
      <c r="K25" s="6">
        <v>1425</v>
      </c>
      <c r="L25" s="5" t="s">
        <v>1969</v>
      </c>
      <c r="M25" s="62" t="s">
        <v>1382</v>
      </c>
      <c r="N25" s="62" t="s">
        <v>464</v>
      </c>
      <c r="O25" s="62" t="s">
        <v>2118</v>
      </c>
      <c r="P25" s="100" t="s">
        <v>2106</v>
      </c>
      <c r="Q25" s="5" t="s">
        <v>2119</v>
      </c>
      <c r="R25" s="34" t="s">
        <v>2120</v>
      </c>
      <c r="S25" s="5" t="s">
        <v>2121</v>
      </c>
      <c r="T25" s="5" t="s">
        <v>445</v>
      </c>
    </row>
    <row r="26" spans="2:20" ht="14">
      <c r="B26" s="9"/>
      <c r="C26" s="5" t="s">
        <v>1857</v>
      </c>
      <c r="D26" s="214" t="s">
        <v>383</v>
      </c>
      <c r="E26" s="212" t="str">
        <f>+VLOOKUP(F26,Resumen_Base!$B$6:$F$69,5,0)</f>
        <v>Shop</v>
      </c>
      <c r="F26" s="5" t="s">
        <v>130</v>
      </c>
      <c r="G26" s="34" t="s">
        <v>131</v>
      </c>
      <c r="H26" s="5" t="str">
        <f t="shared" si="0"/>
        <v>DEL4104</v>
      </c>
      <c r="I26" s="306">
        <v>-85500</v>
      </c>
      <c r="J26" s="307">
        <v>-60</v>
      </c>
      <c r="K26" s="6">
        <v>1425</v>
      </c>
      <c r="L26" s="5" t="s">
        <v>1969</v>
      </c>
      <c r="M26" s="62" t="s">
        <v>1382</v>
      </c>
      <c r="N26" s="62" t="s">
        <v>464</v>
      </c>
      <c r="O26" s="62" t="s">
        <v>2126</v>
      </c>
      <c r="P26" s="100" t="s">
        <v>2106</v>
      </c>
      <c r="Q26" s="5" t="s">
        <v>2127</v>
      </c>
      <c r="R26" s="34" t="s">
        <v>2128</v>
      </c>
      <c r="S26" s="5" t="s">
        <v>2129</v>
      </c>
      <c r="T26" s="5" t="s">
        <v>445</v>
      </c>
    </row>
    <row r="27" spans="2:20" ht="14">
      <c r="B27" s="9"/>
      <c r="C27" s="5" t="s">
        <v>1857</v>
      </c>
      <c r="D27" s="214" t="s">
        <v>383</v>
      </c>
      <c r="E27" s="212" t="str">
        <f>+VLOOKUP(F27,Resumen_Base!$B$6:$F$69,5,0)</f>
        <v>Shop</v>
      </c>
      <c r="F27" s="5" t="s">
        <v>130</v>
      </c>
      <c r="G27" s="34" t="s">
        <v>131</v>
      </c>
      <c r="H27" s="5" t="str">
        <f t="shared" si="0"/>
        <v>DEL4104</v>
      </c>
      <c r="I27" s="306">
        <v>-85500</v>
      </c>
      <c r="J27" s="307">
        <v>-60</v>
      </c>
      <c r="K27" s="6">
        <v>1425</v>
      </c>
      <c r="L27" s="5" t="s">
        <v>1969</v>
      </c>
      <c r="M27" s="62" t="s">
        <v>1382</v>
      </c>
      <c r="N27" s="62" t="s">
        <v>464</v>
      </c>
      <c r="O27" s="62" t="s">
        <v>2126</v>
      </c>
      <c r="P27" s="100" t="s">
        <v>2106</v>
      </c>
      <c r="Q27" s="5" t="s">
        <v>2127</v>
      </c>
      <c r="R27" s="34" t="s">
        <v>2128</v>
      </c>
      <c r="S27" s="5" t="s">
        <v>2129</v>
      </c>
      <c r="T27" s="5" t="s">
        <v>445</v>
      </c>
    </row>
    <row r="28" spans="2:20" ht="14">
      <c r="B28" s="9"/>
      <c r="C28" s="5" t="s">
        <v>1857</v>
      </c>
      <c r="D28" s="214" t="s">
        <v>383</v>
      </c>
      <c r="E28" s="212" t="str">
        <f>+VLOOKUP(F28,Resumen_Base!$B$6:$F$69,5,0)</f>
        <v>Canon Lodge/Labor Permits:</v>
      </c>
      <c r="F28" s="5" t="s">
        <v>141</v>
      </c>
      <c r="G28" s="34" t="s">
        <v>142</v>
      </c>
      <c r="H28" s="5" t="str">
        <f t="shared" si="0"/>
        <v>DEL5208</v>
      </c>
      <c r="I28" s="306">
        <v>384000</v>
      </c>
      <c r="J28" s="307">
        <v>271.37809187279203</v>
      </c>
      <c r="K28" s="6">
        <v>1415</v>
      </c>
      <c r="L28" s="5" t="s">
        <v>1902</v>
      </c>
      <c r="M28" s="62" t="s">
        <v>452</v>
      </c>
      <c r="N28" s="62" t="s">
        <v>464</v>
      </c>
      <c r="O28" s="62" t="s">
        <v>2066</v>
      </c>
      <c r="P28" s="100" t="s">
        <v>1895</v>
      </c>
      <c r="Q28" s="5" t="s">
        <v>2067</v>
      </c>
      <c r="R28" s="34" t="s">
        <v>2092</v>
      </c>
      <c r="S28" s="5" t="s">
        <v>2069</v>
      </c>
      <c r="T28" s="5" t="s">
        <v>445</v>
      </c>
    </row>
    <row r="29" spans="2:20" ht="14">
      <c r="B29" s="9"/>
      <c r="C29" s="5" t="s">
        <v>1857</v>
      </c>
      <c r="D29" s="214" t="s">
        <v>383</v>
      </c>
      <c r="E29" s="212" t="str">
        <f>+VLOOKUP(F29,Resumen_Base!$B$6:$F$69,5,0)</f>
        <v>Food &amp; Wine</v>
      </c>
      <c r="F29" s="5" t="s">
        <v>43</v>
      </c>
      <c r="G29" s="34" t="s">
        <v>42</v>
      </c>
      <c r="H29" s="5" t="str">
        <f t="shared" si="0"/>
        <v>DEL5213</v>
      </c>
      <c r="I29" s="306">
        <v>-1304896.46</v>
      </c>
      <c r="J29" s="307">
        <v>-915.71681403508796</v>
      </c>
      <c r="K29" s="6">
        <v>1425</v>
      </c>
      <c r="L29" s="5" t="s">
        <v>1911</v>
      </c>
      <c r="M29" s="62" t="s">
        <v>452</v>
      </c>
      <c r="N29" s="62" t="s">
        <v>464</v>
      </c>
      <c r="O29" s="62" t="s">
        <v>2096</v>
      </c>
      <c r="P29" s="100" t="s">
        <v>1895</v>
      </c>
      <c r="Q29" s="5" t="s">
        <v>2097</v>
      </c>
      <c r="R29" s="34" t="s">
        <v>2098</v>
      </c>
      <c r="S29" s="5" t="s">
        <v>2099</v>
      </c>
      <c r="T29" s="5" t="s">
        <v>445</v>
      </c>
    </row>
    <row r="30" spans="2:20" ht="14">
      <c r="B30" s="9"/>
      <c r="C30" s="5" t="s">
        <v>1857</v>
      </c>
      <c r="D30" s="214" t="s">
        <v>383</v>
      </c>
      <c r="E30" s="212" t="str">
        <f>+VLOOKUP(F30,Resumen_Base!$B$6:$F$69,5,0)</f>
        <v>Miscellaneous &amp; Shipping</v>
      </c>
      <c r="F30" s="5" t="s">
        <v>54</v>
      </c>
      <c r="G30" s="34" t="s">
        <v>55</v>
      </c>
      <c r="H30" s="5" t="str">
        <f t="shared" si="0"/>
        <v>DEL5219</v>
      </c>
      <c r="I30" s="306">
        <v>259637</v>
      </c>
      <c r="J30" s="307">
        <v>180.30347222222201</v>
      </c>
      <c r="K30" s="6">
        <v>1440</v>
      </c>
      <c r="L30" s="5" t="s">
        <v>1939</v>
      </c>
      <c r="M30" s="62" t="s">
        <v>452</v>
      </c>
      <c r="N30" s="62" t="s">
        <v>464</v>
      </c>
      <c r="O30" s="62" t="s">
        <v>1940</v>
      </c>
      <c r="P30" s="100" t="s">
        <v>1895</v>
      </c>
      <c r="Q30" s="5" t="s">
        <v>1941</v>
      </c>
      <c r="R30" s="34" t="s">
        <v>1984</v>
      </c>
      <c r="S30" s="5" t="s">
        <v>1943</v>
      </c>
      <c r="T30" s="5" t="s">
        <v>445</v>
      </c>
    </row>
    <row r="31" spans="2:20" ht="14">
      <c r="B31" s="9"/>
      <c r="C31" s="5" t="s">
        <v>1857</v>
      </c>
      <c r="D31" s="214" t="s">
        <v>383</v>
      </c>
      <c r="E31" s="212" t="str">
        <f>+VLOOKUP(F31,Resumen_Base!$B$6:$F$69,5,0)</f>
        <v>Services/House</v>
      </c>
      <c r="F31" s="5" t="s">
        <v>148</v>
      </c>
      <c r="G31" s="34" t="s">
        <v>283</v>
      </c>
      <c r="H31" s="5" t="str">
        <f t="shared" si="0"/>
        <v>DEL5226</v>
      </c>
      <c r="I31" s="306">
        <v>1969680</v>
      </c>
      <c r="J31" s="307">
        <v>1392</v>
      </c>
      <c r="K31" s="6">
        <v>1415</v>
      </c>
      <c r="L31" s="5" t="s">
        <v>1893</v>
      </c>
      <c r="M31" s="62" t="s">
        <v>452</v>
      </c>
      <c r="N31" s="62" t="s">
        <v>464</v>
      </c>
      <c r="O31" s="62" t="s">
        <v>1894</v>
      </c>
      <c r="P31" s="100" t="s">
        <v>1895</v>
      </c>
      <c r="Q31" s="5" t="s">
        <v>1896</v>
      </c>
      <c r="R31" s="34" t="s">
        <v>1901</v>
      </c>
      <c r="S31" s="5" t="s">
        <v>1898</v>
      </c>
      <c r="T31" s="5" t="s">
        <v>445</v>
      </c>
    </row>
    <row r="32" spans="2:20" ht="14">
      <c r="B32" s="9"/>
      <c r="C32" s="5" t="s">
        <v>1857</v>
      </c>
      <c r="D32" s="214" t="s">
        <v>383</v>
      </c>
      <c r="E32" s="212" t="str">
        <f>+VLOOKUP(F32,Resumen_Base!$B$6:$F$69,5,0)</f>
        <v>Services/House</v>
      </c>
      <c r="F32" s="5" t="s">
        <v>148</v>
      </c>
      <c r="G32" s="34" t="s">
        <v>283</v>
      </c>
      <c r="H32" s="5" t="str">
        <f t="shared" si="0"/>
        <v>DEL5226</v>
      </c>
      <c r="I32" s="306">
        <v>20000</v>
      </c>
      <c r="J32" s="307">
        <v>14.0350877192982</v>
      </c>
      <c r="K32" s="6">
        <v>1425</v>
      </c>
      <c r="L32" s="5" t="s">
        <v>1955</v>
      </c>
      <c r="M32" s="62" t="s">
        <v>452</v>
      </c>
      <c r="N32" s="62" t="s">
        <v>464</v>
      </c>
      <c r="O32" s="62" t="s">
        <v>1956</v>
      </c>
      <c r="P32" s="100" t="s">
        <v>1895</v>
      </c>
      <c r="Q32" s="5" t="s">
        <v>1957</v>
      </c>
      <c r="R32" s="34" t="s">
        <v>2014</v>
      </c>
      <c r="S32" s="5" t="s">
        <v>1959</v>
      </c>
      <c r="T32" s="5" t="s">
        <v>445</v>
      </c>
    </row>
    <row r="33" spans="1:20" ht="14">
      <c r="B33" s="9"/>
      <c r="C33" s="5" t="s">
        <v>1857</v>
      </c>
      <c r="D33" s="214" t="s">
        <v>383</v>
      </c>
      <c r="E33" s="212" t="str">
        <f>+VLOOKUP(F33,Resumen_Base!$B$6:$F$69,5,0)</f>
        <v>Services/House</v>
      </c>
      <c r="F33" s="5" t="s">
        <v>148</v>
      </c>
      <c r="G33" s="34" t="s">
        <v>283</v>
      </c>
      <c r="H33" s="5" t="str">
        <f t="shared" si="0"/>
        <v>DEL5226</v>
      </c>
      <c r="I33" s="306">
        <v>60000</v>
      </c>
      <c r="J33" s="307">
        <v>41.6666666666667</v>
      </c>
      <c r="K33" s="6">
        <v>1440</v>
      </c>
      <c r="L33" s="5" t="s">
        <v>1939</v>
      </c>
      <c r="M33" s="62" t="s">
        <v>452</v>
      </c>
      <c r="N33" s="62" t="s">
        <v>464</v>
      </c>
      <c r="O33" s="62" t="s">
        <v>1940</v>
      </c>
      <c r="P33" s="100" t="s">
        <v>1895</v>
      </c>
      <c r="Q33" s="5" t="s">
        <v>1941</v>
      </c>
      <c r="R33" s="34" t="s">
        <v>2015</v>
      </c>
      <c r="S33" s="5" t="s">
        <v>1943</v>
      </c>
      <c r="T33" s="5" t="s">
        <v>445</v>
      </c>
    </row>
    <row r="34" spans="1:20" ht="14">
      <c r="B34" s="9"/>
      <c r="C34" s="5" t="s">
        <v>1857</v>
      </c>
      <c r="D34" s="214" t="s">
        <v>383</v>
      </c>
      <c r="E34" s="212" t="str">
        <f>+VLOOKUP(F34,Resumen_Base!$B$6:$F$69,5,0)</f>
        <v>Services/House</v>
      </c>
      <c r="F34" s="5" t="s">
        <v>148</v>
      </c>
      <c r="G34" s="34" t="s">
        <v>283</v>
      </c>
      <c r="H34" s="5" t="str">
        <f t="shared" si="0"/>
        <v>DEL5226</v>
      </c>
      <c r="I34" s="306">
        <v>80000</v>
      </c>
      <c r="J34" s="307">
        <v>56.140350877193001</v>
      </c>
      <c r="K34" s="6">
        <v>1425</v>
      </c>
      <c r="L34" s="5" t="s">
        <v>1969</v>
      </c>
      <c r="M34" s="62" t="s">
        <v>452</v>
      </c>
      <c r="N34" s="62" t="s">
        <v>464</v>
      </c>
      <c r="O34" s="62" t="s">
        <v>1970</v>
      </c>
      <c r="P34" s="100" t="s">
        <v>1895</v>
      </c>
      <c r="Q34" s="5" t="s">
        <v>1971</v>
      </c>
      <c r="R34" s="34" t="s">
        <v>2018</v>
      </c>
      <c r="S34" s="5" t="s">
        <v>1972</v>
      </c>
      <c r="T34" s="5" t="s">
        <v>445</v>
      </c>
    </row>
    <row r="35" spans="1:20" ht="14">
      <c r="B35" s="9"/>
      <c r="C35" s="5" t="s">
        <v>1857</v>
      </c>
      <c r="D35" s="214" t="s">
        <v>383</v>
      </c>
      <c r="E35" s="212" t="str">
        <f>+VLOOKUP(F35,Resumen_Base!$B$6:$F$69,5,0)</f>
        <v>Services/House</v>
      </c>
      <c r="F35" s="5" t="s">
        <v>148</v>
      </c>
      <c r="G35" s="34" t="s">
        <v>283</v>
      </c>
      <c r="H35" s="5" t="str">
        <f t="shared" si="0"/>
        <v>DEL5226</v>
      </c>
      <c r="I35" s="306">
        <v>120000</v>
      </c>
      <c r="J35" s="307">
        <v>84.210526315789494</v>
      </c>
      <c r="K35" s="6">
        <v>1425</v>
      </c>
      <c r="L35" s="5" t="s">
        <v>1955</v>
      </c>
      <c r="M35" s="62" t="s">
        <v>452</v>
      </c>
      <c r="N35" s="62" t="s">
        <v>464</v>
      </c>
      <c r="O35" s="62" t="s">
        <v>1956</v>
      </c>
      <c r="P35" s="100" t="s">
        <v>1895</v>
      </c>
      <c r="Q35" s="5" t="s">
        <v>1957</v>
      </c>
      <c r="R35" s="34" t="s">
        <v>2020</v>
      </c>
      <c r="S35" s="5" t="s">
        <v>1959</v>
      </c>
      <c r="T35" s="5" t="s">
        <v>445</v>
      </c>
    </row>
    <row r="36" spans="1:20" ht="14">
      <c r="B36" s="9"/>
      <c r="C36" s="5" t="s">
        <v>1857</v>
      </c>
      <c r="D36" s="214" t="s">
        <v>383</v>
      </c>
      <c r="E36" s="212" t="str">
        <f>+VLOOKUP(F36,Resumen_Base!$B$6:$F$69,5,0)</f>
        <v>Services/House</v>
      </c>
      <c r="F36" s="5" t="s">
        <v>148</v>
      </c>
      <c r="G36" s="34" t="s">
        <v>283</v>
      </c>
      <c r="H36" s="5" t="str">
        <f t="shared" si="0"/>
        <v>DEL5226</v>
      </c>
      <c r="I36" s="306">
        <v>2900</v>
      </c>
      <c r="J36" s="307">
        <v>2.0138888888888902</v>
      </c>
      <c r="K36" s="6">
        <v>1440</v>
      </c>
      <c r="L36" s="5" t="s">
        <v>1939</v>
      </c>
      <c r="M36" s="62" t="s">
        <v>452</v>
      </c>
      <c r="N36" s="62" t="s">
        <v>464</v>
      </c>
      <c r="O36" s="62" t="s">
        <v>1940</v>
      </c>
      <c r="P36" s="100" t="s">
        <v>1895</v>
      </c>
      <c r="Q36" s="5" t="s">
        <v>1941</v>
      </c>
      <c r="R36" s="34" t="s">
        <v>2021</v>
      </c>
      <c r="S36" s="5" t="s">
        <v>1943</v>
      </c>
      <c r="T36" s="5" t="s">
        <v>445</v>
      </c>
    </row>
    <row r="37" spans="1:20" ht="14">
      <c r="B37" s="9"/>
      <c r="C37" s="5" t="s">
        <v>1857</v>
      </c>
      <c r="D37" s="214" t="s">
        <v>383</v>
      </c>
      <c r="E37" s="212" t="str">
        <f>+VLOOKUP(F37,Resumen_Base!$B$6:$F$69,5,0)</f>
        <v>Services/House</v>
      </c>
      <c r="F37" s="5" t="s">
        <v>148</v>
      </c>
      <c r="G37" s="34" t="s">
        <v>283</v>
      </c>
      <c r="H37" s="5" t="str">
        <f t="shared" si="0"/>
        <v>DEL5226</v>
      </c>
      <c r="I37" s="306">
        <v>5800</v>
      </c>
      <c r="J37" s="307">
        <v>4.0277777777777803</v>
      </c>
      <c r="K37" s="6">
        <v>1440</v>
      </c>
      <c r="L37" s="5" t="s">
        <v>1939</v>
      </c>
      <c r="M37" s="62" t="s">
        <v>452</v>
      </c>
      <c r="N37" s="62" t="s">
        <v>464</v>
      </c>
      <c r="O37" s="62" t="s">
        <v>1940</v>
      </c>
      <c r="P37" s="100" t="s">
        <v>1895</v>
      </c>
      <c r="Q37" s="5" t="s">
        <v>1941</v>
      </c>
      <c r="R37" s="34" t="s">
        <v>2022</v>
      </c>
      <c r="S37" s="5" t="s">
        <v>1943</v>
      </c>
      <c r="T37" s="5" t="s">
        <v>445</v>
      </c>
    </row>
    <row r="38" spans="1:20" ht="14">
      <c r="B38" s="9"/>
      <c r="C38" s="5" t="s">
        <v>1857</v>
      </c>
      <c r="D38" s="214" t="s">
        <v>383</v>
      </c>
      <c r="E38" s="212" t="str">
        <f>+VLOOKUP(F38,Resumen_Base!$B$6:$F$69,5,0)</f>
        <v>Services/House</v>
      </c>
      <c r="F38" s="5" t="s">
        <v>148</v>
      </c>
      <c r="G38" s="34" t="s">
        <v>283</v>
      </c>
      <c r="H38" s="5" t="str">
        <f t="shared" si="0"/>
        <v>DEL5226</v>
      </c>
      <c r="I38" s="306">
        <v>8700</v>
      </c>
      <c r="J38" s="307">
        <v>6.0416666666666696</v>
      </c>
      <c r="K38" s="6">
        <v>1440</v>
      </c>
      <c r="L38" s="5" t="s">
        <v>1939</v>
      </c>
      <c r="M38" s="62" t="s">
        <v>452</v>
      </c>
      <c r="N38" s="62" t="s">
        <v>464</v>
      </c>
      <c r="O38" s="62" t="s">
        <v>1940</v>
      </c>
      <c r="P38" s="100" t="s">
        <v>1895</v>
      </c>
      <c r="Q38" s="5" t="s">
        <v>1941</v>
      </c>
      <c r="R38" s="34" t="s">
        <v>2023</v>
      </c>
      <c r="S38" s="5" t="s">
        <v>1943</v>
      </c>
      <c r="T38" s="5" t="s">
        <v>445</v>
      </c>
    </row>
    <row r="39" spans="1:20" ht="14">
      <c r="B39" s="9"/>
      <c r="C39" s="5" t="s">
        <v>1857</v>
      </c>
      <c r="D39" s="214" t="s">
        <v>383</v>
      </c>
      <c r="E39" s="212" t="str">
        <f>+VLOOKUP(F39,Resumen_Base!$B$6:$F$69,5,0)</f>
        <v>Services/House</v>
      </c>
      <c r="F39" s="5" t="s">
        <v>148</v>
      </c>
      <c r="G39" s="34" t="s">
        <v>283</v>
      </c>
      <c r="H39" s="5" t="str">
        <f t="shared" si="0"/>
        <v>DEL5226</v>
      </c>
      <c r="I39" s="306">
        <v>1584000</v>
      </c>
      <c r="J39" s="307">
        <v>1100</v>
      </c>
      <c r="K39" s="6">
        <v>1440</v>
      </c>
      <c r="L39" s="5" t="s">
        <v>1939</v>
      </c>
      <c r="M39" s="62" t="s">
        <v>452</v>
      </c>
      <c r="N39" s="62" t="s">
        <v>464</v>
      </c>
      <c r="O39" s="62" t="s">
        <v>2007</v>
      </c>
      <c r="P39" s="100" t="s">
        <v>1895</v>
      </c>
      <c r="Q39" s="5" t="s">
        <v>2008</v>
      </c>
      <c r="R39" s="34" t="s">
        <v>2045</v>
      </c>
      <c r="S39" s="5" t="s">
        <v>2010</v>
      </c>
      <c r="T39" s="5" t="s">
        <v>445</v>
      </c>
    </row>
    <row r="40" spans="1:20" ht="14">
      <c r="B40" s="9"/>
      <c r="C40" s="5" t="s">
        <v>1857</v>
      </c>
      <c r="D40" s="214" t="s">
        <v>383</v>
      </c>
      <c r="E40" s="212" t="str">
        <f>+VLOOKUP(F40,Resumen_Base!$B$6:$F$69,5,0)</f>
        <v>Services/House</v>
      </c>
      <c r="F40" s="5" t="s">
        <v>148</v>
      </c>
      <c r="G40" s="34" t="s">
        <v>283</v>
      </c>
      <c r="H40" s="5" t="str">
        <f t="shared" si="0"/>
        <v>DEL5226</v>
      </c>
      <c r="I40" s="306">
        <v>1382400</v>
      </c>
      <c r="J40" s="307">
        <v>960</v>
      </c>
      <c r="K40" s="6">
        <v>1440</v>
      </c>
      <c r="L40" s="5" t="s">
        <v>1939</v>
      </c>
      <c r="M40" s="62" t="s">
        <v>452</v>
      </c>
      <c r="N40" s="62" t="s">
        <v>464</v>
      </c>
      <c r="O40" s="62" t="s">
        <v>2007</v>
      </c>
      <c r="P40" s="100" t="s">
        <v>1895</v>
      </c>
      <c r="Q40" s="5" t="s">
        <v>2008</v>
      </c>
      <c r="R40" s="34" t="s">
        <v>2046</v>
      </c>
      <c r="S40" s="5" t="s">
        <v>2010</v>
      </c>
      <c r="T40" s="5" t="s">
        <v>445</v>
      </c>
    </row>
    <row r="41" spans="1:20" ht="14">
      <c r="B41" s="9"/>
      <c r="C41" s="5" t="s">
        <v>1857</v>
      </c>
      <c r="D41" s="214" t="s">
        <v>383</v>
      </c>
      <c r="E41" s="212" t="str">
        <f>+VLOOKUP(F41,Resumen_Base!$B$6:$F$69,5,0)</f>
        <v>Services/House</v>
      </c>
      <c r="F41" s="5" t="s">
        <v>148</v>
      </c>
      <c r="G41" s="34" t="s">
        <v>283</v>
      </c>
      <c r="H41" s="5" t="str">
        <f t="shared" si="0"/>
        <v>DEL5226</v>
      </c>
      <c r="I41" s="306">
        <v>323000</v>
      </c>
      <c r="J41" s="307">
        <v>228.268551236749</v>
      </c>
      <c r="K41" s="6">
        <v>1415</v>
      </c>
      <c r="L41" s="5" t="s">
        <v>1902</v>
      </c>
      <c r="M41" s="62" t="s">
        <v>452</v>
      </c>
      <c r="N41" s="62" t="s">
        <v>464</v>
      </c>
      <c r="O41" s="62" t="s">
        <v>2066</v>
      </c>
      <c r="P41" s="100" t="s">
        <v>1895</v>
      </c>
      <c r="Q41" s="5" t="s">
        <v>2067</v>
      </c>
      <c r="R41" s="34" t="s">
        <v>2068</v>
      </c>
      <c r="S41" s="5" t="s">
        <v>2069</v>
      </c>
      <c r="T41" s="5" t="s">
        <v>445</v>
      </c>
    </row>
    <row r="42" spans="1:20" ht="14">
      <c r="B42" s="9"/>
      <c r="C42" s="5" t="s">
        <v>1857</v>
      </c>
      <c r="D42" s="214" t="s">
        <v>383</v>
      </c>
      <c r="E42" s="212" t="str">
        <f>+VLOOKUP(F42,Resumen_Base!$B$6:$F$69,5,0)</f>
        <v>Guides</v>
      </c>
      <c r="F42" s="5" t="s">
        <v>149</v>
      </c>
      <c r="G42" s="34" t="s">
        <v>284</v>
      </c>
      <c r="H42" s="5" t="str">
        <f t="shared" si="0"/>
        <v>DEL5227</v>
      </c>
      <c r="I42" s="306">
        <v>855000</v>
      </c>
      <c r="J42" s="307">
        <v>600</v>
      </c>
      <c r="K42" s="6">
        <v>1425</v>
      </c>
      <c r="L42" s="5" t="s">
        <v>1969</v>
      </c>
      <c r="M42" s="62" t="s">
        <v>452</v>
      </c>
      <c r="N42" s="62" t="s">
        <v>464</v>
      </c>
      <c r="O42" s="62" t="s">
        <v>2003</v>
      </c>
      <c r="P42" s="100" t="s">
        <v>1895</v>
      </c>
      <c r="Q42" s="5" t="s">
        <v>2004</v>
      </c>
      <c r="R42" s="34" t="s">
        <v>2005</v>
      </c>
      <c r="S42" s="5" t="s">
        <v>2006</v>
      </c>
      <c r="T42" s="5" t="s">
        <v>445</v>
      </c>
    </row>
    <row r="43" spans="1:20" ht="56">
      <c r="A43" s="341" t="s">
        <v>2171</v>
      </c>
      <c r="B43" s="88" t="s">
        <v>2174</v>
      </c>
      <c r="C43" s="5" t="s">
        <v>1857</v>
      </c>
      <c r="D43" s="214" t="s">
        <v>383</v>
      </c>
      <c r="E43" s="212" t="str">
        <f>+VLOOKUP(F43,Resumen_Base!$B$6:$F$69,5,0)</f>
        <v>Guides</v>
      </c>
      <c r="F43" s="5" t="s">
        <v>149</v>
      </c>
      <c r="G43" s="34" t="s">
        <v>284</v>
      </c>
      <c r="H43" s="5" t="str">
        <f t="shared" si="0"/>
        <v>DEL5227</v>
      </c>
      <c r="I43" s="306">
        <f>+J43*K43</f>
        <v>1296000</v>
      </c>
      <c r="J43" s="307">
        <f>1250-350</f>
        <v>900</v>
      </c>
      <c r="K43" s="6">
        <v>1440</v>
      </c>
      <c r="L43" s="5" t="s">
        <v>1939</v>
      </c>
      <c r="M43" s="62" t="s">
        <v>452</v>
      </c>
      <c r="N43" s="62" t="s">
        <v>464</v>
      </c>
      <c r="O43" s="62" t="s">
        <v>2007</v>
      </c>
      <c r="P43" s="100" t="s">
        <v>1895</v>
      </c>
      <c r="Q43" s="5" t="s">
        <v>2008</v>
      </c>
      <c r="R43" s="34" t="s">
        <v>2009</v>
      </c>
      <c r="S43" s="5" t="s">
        <v>2010</v>
      </c>
      <c r="T43" s="5" t="s">
        <v>445</v>
      </c>
    </row>
    <row r="44" spans="1:20" ht="28">
      <c r="A44" s="341" t="s">
        <v>2170</v>
      </c>
      <c r="B44" s="88" t="s">
        <v>2174</v>
      </c>
      <c r="C44" s="5" t="s">
        <v>1857</v>
      </c>
      <c r="D44" s="214" t="s">
        <v>383</v>
      </c>
      <c r="E44" s="212" t="str">
        <f>+VLOOKUP(F44,Resumen_Base!$B$6:$F$69,5,0)</f>
        <v>Electricity - Gas for Boats &amp; Vehicles</v>
      </c>
      <c r="F44" s="179" t="s">
        <v>60</v>
      </c>
      <c r="G44" s="168" t="s">
        <v>236</v>
      </c>
      <c r="H44" s="5" t="str">
        <f t="shared" si="0"/>
        <v>DEL5248</v>
      </c>
      <c r="I44" s="306">
        <v>133280</v>
      </c>
      <c r="J44" s="307">
        <v>93.529824561403501</v>
      </c>
      <c r="K44" s="6">
        <v>1425</v>
      </c>
      <c r="L44" s="5" t="s">
        <v>1969</v>
      </c>
      <c r="M44" s="62" t="s">
        <v>452</v>
      </c>
      <c r="N44" s="62" t="s">
        <v>464</v>
      </c>
      <c r="O44" s="62" t="s">
        <v>1970</v>
      </c>
      <c r="P44" s="100" t="s">
        <v>1895</v>
      </c>
      <c r="Q44" s="5" t="s">
        <v>1971</v>
      </c>
      <c r="R44" s="34" t="s">
        <v>2025</v>
      </c>
      <c r="S44" s="5" t="s">
        <v>1972</v>
      </c>
      <c r="T44" s="5" t="s">
        <v>445</v>
      </c>
    </row>
    <row r="45" spans="1:20" ht="14">
      <c r="B45" s="9"/>
      <c r="C45" s="5" t="s">
        <v>1857</v>
      </c>
      <c r="D45" s="214" t="s">
        <v>383</v>
      </c>
      <c r="E45" s="212" t="str">
        <f>+VLOOKUP(F45,Resumen_Base!$B$6:$F$69,5,0)</f>
        <v>Guides</v>
      </c>
      <c r="F45" s="5" t="s">
        <v>149</v>
      </c>
      <c r="G45" s="34" t="s">
        <v>284</v>
      </c>
      <c r="H45" s="5" t="str">
        <f t="shared" si="0"/>
        <v>DEL5227</v>
      </c>
      <c r="I45" s="306">
        <v>2830000</v>
      </c>
      <c r="J45" s="307">
        <v>2000</v>
      </c>
      <c r="K45" s="6">
        <v>1415</v>
      </c>
      <c r="L45" s="5" t="s">
        <v>1893</v>
      </c>
      <c r="M45" s="62" t="s">
        <v>452</v>
      </c>
      <c r="N45" s="62" t="s">
        <v>464</v>
      </c>
      <c r="O45" s="62" t="s">
        <v>1894</v>
      </c>
      <c r="P45" s="100" t="s">
        <v>1895</v>
      </c>
      <c r="Q45" s="5" t="s">
        <v>1896</v>
      </c>
      <c r="R45" s="34" t="s">
        <v>2058</v>
      </c>
      <c r="S45" s="5" t="s">
        <v>1898</v>
      </c>
      <c r="T45" s="5" t="s">
        <v>445</v>
      </c>
    </row>
    <row r="46" spans="1:20" ht="14">
      <c r="B46" s="9"/>
      <c r="C46" s="5" t="s">
        <v>1857</v>
      </c>
      <c r="D46" s="214" t="s">
        <v>383</v>
      </c>
      <c r="E46" s="212" t="str">
        <f>+VLOOKUP(F46,Resumen_Base!$B$6:$F$69,5,0)</f>
        <v>Manager</v>
      </c>
      <c r="F46" s="5" t="s">
        <v>150</v>
      </c>
      <c r="G46" s="34" t="s">
        <v>285</v>
      </c>
      <c r="H46" s="5" t="str">
        <f t="shared" si="0"/>
        <v>DEL5228</v>
      </c>
      <c r="I46" s="306">
        <v>670710</v>
      </c>
      <c r="J46" s="307">
        <v>474</v>
      </c>
      <c r="K46" s="6">
        <v>1415</v>
      </c>
      <c r="L46" s="5" t="s">
        <v>1893</v>
      </c>
      <c r="M46" s="62" t="s">
        <v>452</v>
      </c>
      <c r="N46" s="62" t="s">
        <v>464</v>
      </c>
      <c r="O46" s="62" t="s">
        <v>1894</v>
      </c>
      <c r="P46" s="100" t="s">
        <v>1895</v>
      </c>
      <c r="Q46" s="5" t="s">
        <v>1896</v>
      </c>
      <c r="R46" s="34" t="s">
        <v>1900</v>
      </c>
      <c r="S46" s="5" t="s">
        <v>1898</v>
      </c>
      <c r="T46" s="5" t="s">
        <v>445</v>
      </c>
    </row>
    <row r="47" spans="1:20" ht="14">
      <c r="B47" s="9"/>
      <c r="C47" s="5" t="s">
        <v>1857</v>
      </c>
      <c r="D47" s="214" t="s">
        <v>383</v>
      </c>
      <c r="E47" s="212" t="str">
        <f>+VLOOKUP(F47,Resumen_Base!$B$6:$F$69,5,0)</f>
        <v>Manager</v>
      </c>
      <c r="F47" s="5" t="s">
        <v>150</v>
      </c>
      <c r="G47" s="34" t="s">
        <v>285</v>
      </c>
      <c r="H47" s="5" t="str">
        <f t="shared" si="0"/>
        <v>DEL5228</v>
      </c>
      <c r="I47" s="306">
        <v>2376000</v>
      </c>
      <c r="J47" s="307">
        <v>1650</v>
      </c>
      <c r="K47" s="6">
        <v>1440</v>
      </c>
      <c r="L47" s="5" t="s">
        <v>1939</v>
      </c>
      <c r="M47" s="62" t="s">
        <v>452</v>
      </c>
      <c r="N47" s="62" t="s">
        <v>464</v>
      </c>
      <c r="O47" s="62" t="s">
        <v>2007</v>
      </c>
      <c r="P47" s="100" t="s">
        <v>1895</v>
      </c>
      <c r="Q47" s="5" t="s">
        <v>2008</v>
      </c>
      <c r="R47" s="34" t="s">
        <v>2047</v>
      </c>
      <c r="S47" s="5" t="s">
        <v>2010</v>
      </c>
      <c r="T47" s="5" t="s">
        <v>445</v>
      </c>
    </row>
    <row r="48" spans="1:20" ht="14">
      <c r="B48" s="9"/>
      <c r="C48" s="5" t="s">
        <v>1857</v>
      </c>
      <c r="D48" s="214" t="s">
        <v>383</v>
      </c>
      <c r="E48" s="212" t="str">
        <f>+VLOOKUP(F48,Resumen_Base!$B$6:$F$69,5,0)</f>
        <v>Social Security Contributions</v>
      </c>
      <c r="F48" s="5" t="s">
        <v>153</v>
      </c>
      <c r="G48" s="34" t="s">
        <v>154</v>
      </c>
      <c r="H48" s="5" t="str">
        <f t="shared" si="0"/>
        <v>DEL5235</v>
      </c>
      <c r="I48" s="306">
        <v>799475</v>
      </c>
      <c r="J48" s="307">
        <v>565</v>
      </c>
      <c r="K48" s="6">
        <v>1415</v>
      </c>
      <c r="L48" s="5" t="s">
        <v>1893</v>
      </c>
      <c r="M48" s="62" t="s">
        <v>452</v>
      </c>
      <c r="N48" s="62" t="s">
        <v>464</v>
      </c>
      <c r="O48" s="62" t="s">
        <v>1894</v>
      </c>
      <c r="P48" s="100" t="s">
        <v>1895</v>
      </c>
      <c r="Q48" s="5" t="s">
        <v>1896</v>
      </c>
      <c r="R48" s="34" t="s">
        <v>1899</v>
      </c>
      <c r="S48" s="5" t="s">
        <v>1898</v>
      </c>
      <c r="T48" s="5" t="s">
        <v>445</v>
      </c>
    </row>
    <row r="49" spans="2:20" ht="14">
      <c r="B49" s="9"/>
      <c r="C49" s="5" t="s">
        <v>1857</v>
      </c>
      <c r="D49" s="214" t="s">
        <v>383</v>
      </c>
      <c r="E49" s="212" t="str">
        <f>+VLOOKUP(F49,Resumen_Base!$B$6:$F$69,5,0)</f>
        <v>Social Security Contributions</v>
      </c>
      <c r="F49" s="5" t="s">
        <v>157</v>
      </c>
      <c r="G49" s="34" t="s">
        <v>158</v>
      </c>
      <c r="H49" s="5" t="str">
        <f t="shared" si="0"/>
        <v>DEL5237</v>
      </c>
      <c r="I49" s="306">
        <v>273095</v>
      </c>
      <c r="J49" s="307">
        <v>193</v>
      </c>
      <c r="K49" s="6">
        <v>1415</v>
      </c>
      <c r="L49" s="5" t="s">
        <v>1893</v>
      </c>
      <c r="M49" s="62" t="s">
        <v>452</v>
      </c>
      <c r="N49" s="62" t="s">
        <v>464</v>
      </c>
      <c r="O49" s="62" t="s">
        <v>1894</v>
      </c>
      <c r="P49" s="100" t="s">
        <v>1895</v>
      </c>
      <c r="Q49" s="5" t="s">
        <v>1896</v>
      </c>
      <c r="R49" s="34" t="s">
        <v>1897</v>
      </c>
      <c r="S49" s="5" t="s">
        <v>1898</v>
      </c>
      <c r="T49" s="5" t="s">
        <v>445</v>
      </c>
    </row>
    <row r="50" spans="2:20" ht="14">
      <c r="B50" s="9"/>
      <c r="C50" s="5" t="s">
        <v>1857</v>
      </c>
      <c r="D50" s="214" t="s">
        <v>383</v>
      </c>
      <c r="E50" s="212" t="str">
        <f>+VLOOKUP(F50,Resumen_Base!$B$6:$F$69,5,0)</f>
        <v>Electricity</v>
      </c>
      <c r="F50" s="5" t="s">
        <v>39</v>
      </c>
      <c r="G50" s="34" t="s">
        <v>38</v>
      </c>
      <c r="H50" s="5" t="str">
        <f t="shared" si="0"/>
        <v>DEL5247</v>
      </c>
      <c r="I50" s="306">
        <v>20000</v>
      </c>
      <c r="J50" s="307">
        <v>14.0350877192982</v>
      </c>
      <c r="K50" s="6">
        <v>1425</v>
      </c>
      <c r="L50" s="5" t="s">
        <v>1955</v>
      </c>
      <c r="M50" s="62" t="s">
        <v>452</v>
      </c>
      <c r="N50" s="62" t="s">
        <v>464</v>
      </c>
      <c r="O50" s="62" t="s">
        <v>1956</v>
      </c>
      <c r="P50" s="100" t="s">
        <v>1895</v>
      </c>
      <c r="Q50" s="5" t="s">
        <v>1957</v>
      </c>
      <c r="R50" s="34" t="s">
        <v>1057</v>
      </c>
      <c r="S50" s="5" t="s">
        <v>1959</v>
      </c>
      <c r="T50" s="5" t="s">
        <v>445</v>
      </c>
    </row>
    <row r="51" spans="2:20" ht="14">
      <c r="B51" s="9"/>
      <c r="C51" s="5" t="s">
        <v>1857</v>
      </c>
      <c r="D51" s="214" t="s">
        <v>383</v>
      </c>
      <c r="E51" s="212" t="str">
        <f>+VLOOKUP(F51,Resumen_Base!$B$6:$F$69,5,0)</f>
        <v>Electricity</v>
      </c>
      <c r="F51" s="5" t="s">
        <v>39</v>
      </c>
      <c r="G51" s="34" t="s">
        <v>38</v>
      </c>
      <c r="H51" s="5" t="str">
        <f t="shared" si="0"/>
        <v>DEL5247</v>
      </c>
      <c r="I51" s="306">
        <v>94000</v>
      </c>
      <c r="J51" s="307">
        <v>65.964912280701796</v>
      </c>
      <c r="K51" s="6">
        <v>1425</v>
      </c>
      <c r="L51" s="5" t="s">
        <v>1969</v>
      </c>
      <c r="M51" s="62" t="s">
        <v>452</v>
      </c>
      <c r="N51" s="62" t="s">
        <v>464</v>
      </c>
      <c r="O51" s="62" t="s">
        <v>1970</v>
      </c>
      <c r="P51" s="100" t="s">
        <v>1895</v>
      </c>
      <c r="Q51" s="5" t="s">
        <v>1971</v>
      </c>
      <c r="R51" s="34" t="s">
        <v>1057</v>
      </c>
      <c r="S51" s="5" t="s">
        <v>1972</v>
      </c>
      <c r="T51" s="5" t="s">
        <v>445</v>
      </c>
    </row>
    <row r="52" spans="2:20" ht="14">
      <c r="B52" s="9"/>
      <c r="C52" s="5" t="s">
        <v>1857</v>
      </c>
      <c r="D52" s="214" t="s">
        <v>383</v>
      </c>
      <c r="E52" s="212" t="str">
        <f>+VLOOKUP(F52,Resumen_Base!$B$6:$F$69,5,0)</f>
        <v>Electricity</v>
      </c>
      <c r="F52" s="5" t="s">
        <v>39</v>
      </c>
      <c r="G52" s="34" t="s">
        <v>38</v>
      </c>
      <c r="H52" s="5" t="str">
        <f t="shared" si="0"/>
        <v>DEL5247</v>
      </c>
      <c r="I52" s="306">
        <v>59365</v>
      </c>
      <c r="J52" s="307">
        <v>41.2256944444444</v>
      </c>
      <c r="K52" s="6">
        <v>1440</v>
      </c>
      <c r="L52" s="5" t="s">
        <v>1939</v>
      </c>
      <c r="M52" s="62" t="s">
        <v>452</v>
      </c>
      <c r="N52" s="62" t="s">
        <v>464</v>
      </c>
      <c r="O52" s="62" t="s">
        <v>1940</v>
      </c>
      <c r="P52" s="100" t="s">
        <v>1895</v>
      </c>
      <c r="Q52" s="5" t="s">
        <v>1941</v>
      </c>
      <c r="R52" s="34" t="s">
        <v>1293</v>
      </c>
      <c r="S52" s="5" t="s">
        <v>1943</v>
      </c>
      <c r="T52" s="5" t="s">
        <v>445</v>
      </c>
    </row>
    <row r="53" spans="2:20" ht="14">
      <c r="B53" s="9"/>
      <c r="C53" s="5" t="s">
        <v>1857</v>
      </c>
      <c r="D53" s="214" t="s">
        <v>383</v>
      </c>
      <c r="E53" s="212" t="str">
        <f>+VLOOKUP(F53,Resumen_Base!$B$6:$F$69,5,0)</f>
        <v>Electricity</v>
      </c>
      <c r="F53" s="5" t="s">
        <v>39</v>
      </c>
      <c r="G53" s="34" t="s">
        <v>38</v>
      </c>
      <c r="H53" s="5" t="str">
        <f t="shared" si="0"/>
        <v>DEL5247</v>
      </c>
      <c r="I53" s="306">
        <v>175418</v>
      </c>
      <c r="J53" s="307">
        <v>121.818055555556</v>
      </c>
      <c r="K53" s="6">
        <v>1440</v>
      </c>
      <c r="L53" s="5" t="s">
        <v>1939</v>
      </c>
      <c r="M53" s="62" t="s">
        <v>452</v>
      </c>
      <c r="N53" s="62" t="s">
        <v>464</v>
      </c>
      <c r="O53" s="62" t="s">
        <v>1940</v>
      </c>
      <c r="P53" s="100" t="s">
        <v>1895</v>
      </c>
      <c r="Q53" s="5" t="s">
        <v>1941</v>
      </c>
      <c r="R53" s="34" t="s">
        <v>1293</v>
      </c>
      <c r="S53" s="5" t="s">
        <v>1943</v>
      </c>
      <c r="T53" s="5" t="s">
        <v>445</v>
      </c>
    </row>
    <row r="54" spans="2:20" ht="14">
      <c r="B54" s="9"/>
      <c r="C54" s="5" t="s">
        <v>1857</v>
      </c>
      <c r="D54" s="214" t="s">
        <v>383</v>
      </c>
      <c r="E54" s="212" t="str">
        <f>+VLOOKUP(F54,Resumen_Base!$B$6:$F$69,5,0)</f>
        <v>Electricity</v>
      </c>
      <c r="F54" s="5" t="s">
        <v>39</v>
      </c>
      <c r="G54" s="34" t="s">
        <v>38</v>
      </c>
      <c r="H54" s="5" t="str">
        <f t="shared" si="0"/>
        <v>DEL5247</v>
      </c>
      <c r="I54" s="306">
        <v>80000</v>
      </c>
      <c r="J54" s="307">
        <v>56.140350877193001</v>
      </c>
      <c r="K54" s="6">
        <v>1425</v>
      </c>
      <c r="L54" s="5" t="s">
        <v>1955</v>
      </c>
      <c r="M54" s="62" t="s">
        <v>452</v>
      </c>
      <c r="N54" s="62" t="s">
        <v>464</v>
      </c>
      <c r="O54" s="62" t="s">
        <v>1956</v>
      </c>
      <c r="P54" s="100" t="s">
        <v>1895</v>
      </c>
      <c r="Q54" s="5" t="s">
        <v>1957</v>
      </c>
      <c r="R54" s="34" t="s">
        <v>1293</v>
      </c>
      <c r="S54" s="5" t="s">
        <v>1959</v>
      </c>
      <c r="T54" s="5" t="s">
        <v>445</v>
      </c>
    </row>
    <row r="55" spans="2:20" ht="14">
      <c r="B55" s="9"/>
      <c r="C55" s="5" t="s">
        <v>1857</v>
      </c>
      <c r="D55" s="214" t="s">
        <v>383</v>
      </c>
      <c r="E55" s="212" t="str">
        <f>+VLOOKUP(F55,Resumen_Base!$B$6:$F$69,5,0)</f>
        <v>Electricity</v>
      </c>
      <c r="F55" s="5" t="s">
        <v>39</v>
      </c>
      <c r="G55" s="34" t="s">
        <v>38</v>
      </c>
      <c r="H55" s="5" t="str">
        <f t="shared" si="0"/>
        <v>DEL5247</v>
      </c>
      <c r="I55" s="306">
        <v>94000</v>
      </c>
      <c r="J55" s="307">
        <v>65.964912280701796</v>
      </c>
      <c r="K55" s="6">
        <v>1425</v>
      </c>
      <c r="L55" s="5" t="s">
        <v>1955</v>
      </c>
      <c r="M55" s="62" t="s">
        <v>452</v>
      </c>
      <c r="N55" s="62" t="s">
        <v>464</v>
      </c>
      <c r="O55" s="62" t="s">
        <v>1956</v>
      </c>
      <c r="P55" s="100" t="s">
        <v>1895</v>
      </c>
      <c r="Q55" s="5" t="s">
        <v>1957</v>
      </c>
      <c r="R55" s="34" t="s">
        <v>1293</v>
      </c>
      <c r="S55" s="5" t="s">
        <v>1959</v>
      </c>
      <c r="T55" s="5" t="s">
        <v>445</v>
      </c>
    </row>
    <row r="56" spans="2:20" ht="14">
      <c r="B56" s="9"/>
      <c r="C56" s="5" t="s">
        <v>1857</v>
      </c>
      <c r="D56" s="214" t="s">
        <v>383</v>
      </c>
      <c r="E56" s="212" t="str">
        <f>+VLOOKUP(F56,Resumen_Base!$B$6:$F$69,5,0)</f>
        <v>Electricity</v>
      </c>
      <c r="F56" s="5" t="s">
        <v>39</v>
      </c>
      <c r="G56" s="34" t="s">
        <v>38</v>
      </c>
      <c r="H56" s="5" t="str">
        <f t="shared" si="0"/>
        <v>DEL5247</v>
      </c>
      <c r="I56" s="306">
        <v>67850</v>
      </c>
      <c r="J56" s="307">
        <v>47.614035087719301</v>
      </c>
      <c r="K56" s="6">
        <v>1425</v>
      </c>
      <c r="L56" s="5" t="s">
        <v>1969</v>
      </c>
      <c r="M56" s="62" t="s">
        <v>452</v>
      </c>
      <c r="N56" s="62" t="s">
        <v>464</v>
      </c>
      <c r="O56" s="62" t="s">
        <v>1970</v>
      </c>
      <c r="P56" s="100" t="s">
        <v>1895</v>
      </c>
      <c r="Q56" s="5" t="s">
        <v>1971</v>
      </c>
      <c r="R56" s="34" t="s">
        <v>1293</v>
      </c>
      <c r="S56" s="5" t="s">
        <v>1972</v>
      </c>
      <c r="T56" s="5" t="s">
        <v>445</v>
      </c>
    </row>
    <row r="57" spans="2:20" ht="14">
      <c r="B57" s="9"/>
      <c r="C57" s="5" t="s">
        <v>1857</v>
      </c>
      <c r="D57" s="214" t="s">
        <v>383</v>
      </c>
      <c r="E57" s="212" t="str">
        <f>+VLOOKUP(F57,Resumen_Base!$B$6:$F$69,5,0)</f>
        <v>Electricity - Gas for Boats &amp; Vehicles</v>
      </c>
      <c r="F57" s="5" t="s">
        <v>60</v>
      </c>
      <c r="G57" s="34" t="s">
        <v>61</v>
      </c>
      <c r="H57" s="5" t="str">
        <f t="shared" si="0"/>
        <v>DEL5248</v>
      </c>
      <c r="I57" s="306">
        <v>354200</v>
      </c>
      <c r="J57" s="307">
        <v>248.561403508772</v>
      </c>
      <c r="K57" s="6">
        <v>1425</v>
      </c>
      <c r="L57" s="5" t="s">
        <v>1969</v>
      </c>
      <c r="M57" s="62" t="s">
        <v>452</v>
      </c>
      <c r="N57" s="62" t="s">
        <v>464</v>
      </c>
      <c r="O57" s="62" t="s">
        <v>1970</v>
      </c>
      <c r="P57" s="100" t="s">
        <v>1895</v>
      </c>
      <c r="Q57" s="5" t="s">
        <v>1971</v>
      </c>
      <c r="R57" s="34" t="s">
        <v>651</v>
      </c>
      <c r="S57" s="5" t="s">
        <v>1972</v>
      </c>
      <c r="T57" s="5" t="s">
        <v>445</v>
      </c>
    </row>
    <row r="58" spans="2:20" ht="14">
      <c r="B58" s="9"/>
      <c r="C58" s="5" t="s">
        <v>1857</v>
      </c>
      <c r="D58" s="214" t="s">
        <v>383</v>
      </c>
      <c r="E58" s="212" t="str">
        <f>+VLOOKUP(F58,Resumen_Base!$B$6:$F$69,5,0)</f>
        <v>Electricity - Gas for Boats &amp; Vehicles</v>
      </c>
      <c r="F58" s="5" t="s">
        <v>60</v>
      </c>
      <c r="G58" s="34" t="s">
        <v>61</v>
      </c>
      <c r="H58" s="5" t="str">
        <f t="shared" si="0"/>
        <v>DEL5248</v>
      </c>
      <c r="I58" s="306">
        <v>122379</v>
      </c>
      <c r="J58" s="307">
        <v>85.88</v>
      </c>
      <c r="K58" s="6">
        <v>1425</v>
      </c>
      <c r="L58" s="5" t="s">
        <v>1969</v>
      </c>
      <c r="M58" s="62" t="s">
        <v>452</v>
      </c>
      <c r="N58" s="62" t="s">
        <v>464</v>
      </c>
      <c r="O58" s="62" t="s">
        <v>1970</v>
      </c>
      <c r="P58" s="100" t="s">
        <v>1895</v>
      </c>
      <c r="Q58" s="5" t="s">
        <v>1971</v>
      </c>
      <c r="R58" s="34" t="s">
        <v>651</v>
      </c>
      <c r="S58" s="5" t="s">
        <v>1972</v>
      </c>
      <c r="T58" s="5" t="s">
        <v>445</v>
      </c>
    </row>
    <row r="59" spans="2:20" ht="14">
      <c r="B59" s="9"/>
      <c r="C59" s="5" t="s">
        <v>1857</v>
      </c>
      <c r="D59" s="214" t="s">
        <v>383</v>
      </c>
      <c r="E59" s="212" t="str">
        <f>+VLOOKUP(F59,Resumen_Base!$B$6:$F$69,5,0)</f>
        <v>Electricity - Gas for Boats &amp; Vehicles</v>
      </c>
      <c r="F59" s="5" t="s">
        <v>60</v>
      </c>
      <c r="G59" s="34" t="s">
        <v>61</v>
      </c>
      <c r="H59" s="5" t="str">
        <f t="shared" si="0"/>
        <v>DEL5248</v>
      </c>
      <c r="I59" s="306">
        <v>278936</v>
      </c>
      <c r="J59" s="307">
        <v>193.705555555556</v>
      </c>
      <c r="K59" s="6">
        <v>1440</v>
      </c>
      <c r="L59" s="5" t="s">
        <v>1939</v>
      </c>
      <c r="M59" s="62" t="s">
        <v>452</v>
      </c>
      <c r="N59" s="62" t="s">
        <v>464</v>
      </c>
      <c r="O59" s="62" t="s">
        <v>1940</v>
      </c>
      <c r="P59" s="100" t="s">
        <v>1895</v>
      </c>
      <c r="Q59" s="5" t="s">
        <v>1941</v>
      </c>
      <c r="R59" s="34" t="s">
        <v>2000</v>
      </c>
      <c r="S59" s="5" t="s">
        <v>1943</v>
      </c>
      <c r="T59" s="5" t="s">
        <v>445</v>
      </c>
    </row>
    <row r="60" spans="2:20" ht="14">
      <c r="B60" s="9"/>
      <c r="C60" s="5" t="s">
        <v>1857</v>
      </c>
      <c r="D60" s="214" t="s">
        <v>383</v>
      </c>
      <c r="E60" s="212" t="str">
        <f>+VLOOKUP(F60,Resumen_Base!$B$6:$F$69,5,0)</f>
        <v>Electricity - Gas for Boats &amp; Vehicles</v>
      </c>
      <c r="F60" s="5" t="s">
        <v>60</v>
      </c>
      <c r="G60" s="34" t="s">
        <v>61</v>
      </c>
      <c r="H60" s="5" t="str">
        <f t="shared" si="0"/>
        <v>DEL5248</v>
      </c>
      <c r="I60" s="306">
        <v>160000</v>
      </c>
      <c r="J60" s="307">
        <v>112.280701754386</v>
      </c>
      <c r="K60" s="6">
        <v>1425</v>
      </c>
      <c r="L60" s="5" t="s">
        <v>1955</v>
      </c>
      <c r="M60" s="62" t="s">
        <v>452</v>
      </c>
      <c r="N60" s="62" t="s">
        <v>464</v>
      </c>
      <c r="O60" s="62" t="s">
        <v>1956</v>
      </c>
      <c r="P60" s="100" t="s">
        <v>1895</v>
      </c>
      <c r="Q60" s="5" t="s">
        <v>1957</v>
      </c>
      <c r="R60" s="34" t="s">
        <v>2000</v>
      </c>
      <c r="S60" s="5" t="s">
        <v>1959</v>
      </c>
      <c r="T60" s="5" t="s">
        <v>445</v>
      </c>
    </row>
    <row r="61" spans="2:20" ht="14">
      <c r="B61" s="9"/>
      <c r="C61" s="5" t="s">
        <v>1857</v>
      </c>
      <c r="D61" s="214" t="s">
        <v>383</v>
      </c>
      <c r="E61" s="212" t="str">
        <f>+VLOOKUP(F61,Resumen_Base!$B$6:$F$69,5,0)</f>
        <v>Electricity - Gas for Boats &amp; Vehicles</v>
      </c>
      <c r="F61" s="5" t="s">
        <v>60</v>
      </c>
      <c r="G61" s="34" t="s">
        <v>61</v>
      </c>
      <c r="H61" s="5" t="str">
        <f t="shared" si="0"/>
        <v>DEL5248</v>
      </c>
      <c r="I61" s="306">
        <v>107400</v>
      </c>
      <c r="J61" s="307">
        <v>74.5833333333333</v>
      </c>
      <c r="K61" s="6">
        <v>1440</v>
      </c>
      <c r="L61" s="5" t="s">
        <v>1939</v>
      </c>
      <c r="M61" s="62" t="s">
        <v>452</v>
      </c>
      <c r="N61" s="62" t="s">
        <v>464</v>
      </c>
      <c r="O61" s="62" t="s">
        <v>1940</v>
      </c>
      <c r="P61" s="100" t="s">
        <v>1895</v>
      </c>
      <c r="Q61" s="5" t="s">
        <v>1941</v>
      </c>
      <c r="R61" s="34" t="s">
        <v>2001</v>
      </c>
      <c r="S61" s="5" t="s">
        <v>1943</v>
      </c>
      <c r="T61" s="5" t="s">
        <v>445</v>
      </c>
    </row>
    <row r="62" spans="2:20" ht="14">
      <c r="B62" s="9"/>
      <c r="C62" s="5" t="s">
        <v>1857</v>
      </c>
      <c r="D62" s="214" t="s">
        <v>383</v>
      </c>
      <c r="E62" s="212" t="str">
        <f>+VLOOKUP(F62,Resumen_Base!$B$6:$F$69,5,0)</f>
        <v>Electricity - Gas for Boats &amp; Vehicles</v>
      </c>
      <c r="F62" s="5" t="s">
        <v>60</v>
      </c>
      <c r="G62" s="34" t="s">
        <v>61</v>
      </c>
      <c r="H62" s="5" t="str">
        <f t="shared" si="0"/>
        <v>DEL5248</v>
      </c>
      <c r="I62" s="306">
        <v>137771</v>
      </c>
      <c r="J62" s="307">
        <v>95.674305555555506</v>
      </c>
      <c r="K62" s="6">
        <v>1440</v>
      </c>
      <c r="L62" s="5" t="s">
        <v>1939</v>
      </c>
      <c r="M62" s="62" t="s">
        <v>452</v>
      </c>
      <c r="N62" s="62" t="s">
        <v>464</v>
      </c>
      <c r="O62" s="62" t="s">
        <v>1940</v>
      </c>
      <c r="P62" s="100" t="s">
        <v>1895</v>
      </c>
      <c r="Q62" s="5" t="s">
        <v>1941</v>
      </c>
      <c r="R62" s="34" t="s">
        <v>2001</v>
      </c>
      <c r="S62" s="5" t="s">
        <v>1943</v>
      </c>
      <c r="T62" s="5" t="s">
        <v>445</v>
      </c>
    </row>
    <row r="63" spans="2:20" ht="14">
      <c r="B63" s="9"/>
      <c r="C63" s="5" t="s">
        <v>1857</v>
      </c>
      <c r="D63" s="214" t="s">
        <v>383</v>
      </c>
      <c r="E63" s="212" t="str">
        <f>+VLOOKUP(F63,Resumen_Base!$B$6:$F$69,5,0)</f>
        <v>Electricity - Gas for Boats &amp; Vehicles</v>
      </c>
      <c r="F63" s="5" t="s">
        <v>60</v>
      </c>
      <c r="G63" s="34" t="s">
        <v>61</v>
      </c>
      <c r="H63" s="5" t="str">
        <f t="shared" si="0"/>
        <v>DEL5248</v>
      </c>
      <c r="I63" s="306">
        <v>181420</v>
      </c>
      <c r="J63" s="307">
        <v>125.986111111111</v>
      </c>
      <c r="K63" s="6">
        <v>1440</v>
      </c>
      <c r="L63" s="5" t="s">
        <v>1939</v>
      </c>
      <c r="M63" s="62" t="s">
        <v>452</v>
      </c>
      <c r="N63" s="62" t="s">
        <v>464</v>
      </c>
      <c r="O63" s="62" t="s">
        <v>1940</v>
      </c>
      <c r="P63" s="100" t="s">
        <v>1895</v>
      </c>
      <c r="Q63" s="5" t="s">
        <v>1941</v>
      </c>
      <c r="R63" s="34" t="s">
        <v>2001</v>
      </c>
      <c r="S63" s="5" t="s">
        <v>1943</v>
      </c>
      <c r="T63" s="5" t="s">
        <v>445</v>
      </c>
    </row>
    <row r="64" spans="2:20" ht="14">
      <c r="B64" s="9"/>
      <c r="C64" s="5" t="s">
        <v>1857</v>
      </c>
      <c r="D64" s="214" t="s">
        <v>383</v>
      </c>
      <c r="E64" s="212" t="str">
        <f>+VLOOKUP(F64,Resumen_Base!$B$6:$F$69,5,0)</f>
        <v>Electricity - Gas for Boats &amp; Vehicles</v>
      </c>
      <c r="F64" s="5" t="s">
        <v>60</v>
      </c>
      <c r="G64" s="34" t="s">
        <v>61</v>
      </c>
      <c r="H64" s="5" t="str">
        <f t="shared" si="0"/>
        <v>DEL5248</v>
      </c>
      <c r="I64" s="306">
        <v>263600</v>
      </c>
      <c r="J64" s="307">
        <v>183.055555555556</v>
      </c>
      <c r="K64" s="6">
        <v>1440</v>
      </c>
      <c r="L64" s="5" t="s">
        <v>1939</v>
      </c>
      <c r="M64" s="62" t="s">
        <v>452</v>
      </c>
      <c r="N64" s="62" t="s">
        <v>464</v>
      </c>
      <c r="O64" s="62" t="s">
        <v>1940</v>
      </c>
      <c r="P64" s="100" t="s">
        <v>1895</v>
      </c>
      <c r="Q64" s="5" t="s">
        <v>1941</v>
      </c>
      <c r="R64" s="34" t="s">
        <v>2001</v>
      </c>
      <c r="S64" s="5" t="s">
        <v>1943</v>
      </c>
      <c r="T64" s="5" t="s">
        <v>445</v>
      </c>
    </row>
    <row r="65" spans="2:20" ht="14">
      <c r="B65" s="9"/>
      <c r="C65" s="5" t="s">
        <v>1857</v>
      </c>
      <c r="D65" s="214" t="s">
        <v>383</v>
      </c>
      <c r="E65" s="212" t="str">
        <f>+VLOOKUP(F65,Resumen_Base!$B$6:$F$69,5,0)</f>
        <v>Electricity - Gas for Boats &amp; Vehicles</v>
      </c>
      <c r="F65" s="5" t="s">
        <v>60</v>
      </c>
      <c r="G65" s="34" t="s">
        <v>61</v>
      </c>
      <c r="H65" s="5" t="str">
        <f t="shared" si="0"/>
        <v>DEL5248</v>
      </c>
      <c r="I65" s="306">
        <v>297840</v>
      </c>
      <c r="J65" s="307">
        <v>209.01052631578901</v>
      </c>
      <c r="K65" s="6">
        <v>1425</v>
      </c>
      <c r="L65" s="5" t="s">
        <v>1955</v>
      </c>
      <c r="M65" s="62" t="s">
        <v>452</v>
      </c>
      <c r="N65" s="62" t="s">
        <v>464</v>
      </c>
      <c r="O65" s="62" t="s">
        <v>1956</v>
      </c>
      <c r="P65" s="100" t="s">
        <v>1895</v>
      </c>
      <c r="Q65" s="5" t="s">
        <v>1957</v>
      </c>
      <c r="R65" s="34" t="s">
        <v>2002</v>
      </c>
      <c r="S65" s="5" t="s">
        <v>1959</v>
      </c>
      <c r="T65" s="5" t="s">
        <v>445</v>
      </c>
    </row>
    <row r="66" spans="2:20" ht="14">
      <c r="B66" s="9"/>
      <c r="C66" s="5" t="s">
        <v>1857</v>
      </c>
      <c r="D66" s="214" t="s">
        <v>383</v>
      </c>
      <c r="E66" s="212" t="str">
        <f>+VLOOKUP(F66,Resumen_Base!$B$6:$F$69,5,0)</f>
        <v>Electricity - Gas for Boats &amp; Vehicles</v>
      </c>
      <c r="F66" s="5" t="s">
        <v>60</v>
      </c>
      <c r="G66" s="34" t="s">
        <v>61</v>
      </c>
      <c r="H66" s="5" t="str">
        <f t="shared" si="0"/>
        <v>DEL5248</v>
      </c>
      <c r="I66" s="306">
        <v>167000</v>
      </c>
      <c r="J66" s="307">
        <v>117.19298245614</v>
      </c>
      <c r="K66" s="6">
        <v>1425</v>
      </c>
      <c r="L66" s="5" t="s">
        <v>1955</v>
      </c>
      <c r="M66" s="62" t="s">
        <v>452</v>
      </c>
      <c r="N66" s="62" t="s">
        <v>464</v>
      </c>
      <c r="O66" s="62" t="s">
        <v>1956</v>
      </c>
      <c r="P66" s="100" t="s">
        <v>1895</v>
      </c>
      <c r="Q66" s="5" t="s">
        <v>1957</v>
      </c>
      <c r="R66" s="34" t="s">
        <v>1631</v>
      </c>
      <c r="S66" s="5" t="s">
        <v>1959</v>
      </c>
      <c r="T66" s="5" t="s">
        <v>445</v>
      </c>
    </row>
    <row r="67" spans="2:20" ht="14">
      <c r="B67" s="9"/>
      <c r="C67" s="5" t="s">
        <v>1857</v>
      </c>
      <c r="D67" s="214" t="s">
        <v>383</v>
      </c>
      <c r="E67" s="212" t="str">
        <f>+VLOOKUP(F67,Resumen_Base!$B$6:$F$69,5,0)</f>
        <v>Electricity - Gas for Boats &amp; Vehicles</v>
      </c>
      <c r="F67" s="5" t="s">
        <v>60</v>
      </c>
      <c r="G67" s="34" t="s">
        <v>61</v>
      </c>
      <c r="H67" s="5" t="str">
        <f t="shared" si="0"/>
        <v>DEL5248</v>
      </c>
      <c r="I67" s="306">
        <v>133300</v>
      </c>
      <c r="J67" s="307">
        <v>93.543859649122794</v>
      </c>
      <c r="K67" s="6">
        <v>1425</v>
      </c>
      <c r="L67" s="5" t="s">
        <v>1955</v>
      </c>
      <c r="M67" s="62" t="s">
        <v>452</v>
      </c>
      <c r="N67" s="62" t="s">
        <v>464</v>
      </c>
      <c r="O67" s="62" t="s">
        <v>1956</v>
      </c>
      <c r="P67" s="100" t="s">
        <v>1895</v>
      </c>
      <c r="Q67" s="5" t="s">
        <v>1957</v>
      </c>
      <c r="R67" s="34" t="s">
        <v>1631</v>
      </c>
      <c r="S67" s="5" t="s">
        <v>1959</v>
      </c>
      <c r="T67" s="5" t="s">
        <v>445</v>
      </c>
    </row>
    <row r="68" spans="2:20" ht="14">
      <c r="B68" s="9"/>
      <c r="C68" s="5" t="s">
        <v>1857</v>
      </c>
      <c r="D68" s="214" t="s">
        <v>383</v>
      </c>
      <c r="E68" s="212" t="str">
        <f>+VLOOKUP(F68,Resumen_Base!$B$6:$F$69,5,0)</f>
        <v>Electricity - Gas for Boats &amp; Vehicles</v>
      </c>
      <c r="F68" s="5" t="s">
        <v>60</v>
      </c>
      <c r="G68" s="34" t="s">
        <v>61</v>
      </c>
      <c r="H68" s="5" t="str">
        <f t="shared" si="0"/>
        <v>DEL5248</v>
      </c>
      <c r="I68" s="306">
        <v>147900</v>
      </c>
      <c r="J68" s="307">
        <v>103.789473684211</v>
      </c>
      <c r="K68" s="6">
        <v>1425</v>
      </c>
      <c r="L68" s="5" t="s">
        <v>1955</v>
      </c>
      <c r="M68" s="62" t="s">
        <v>452</v>
      </c>
      <c r="N68" s="62" t="s">
        <v>464</v>
      </c>
      <c r="O68" s="62" t="s">
        <v>1956</v>
      </c>
      <c r="P68" s="100" t="s">
        <v>1895</v>
      </c>
      <c r="Q68" s="5" t="s">
        <v>1957</v>
      </c>
      <c r="R68" s="34" t="s">
        <v>1631</v>
      </c>
      <c r="S68" s="5" t="s">
        <v>1959</v>
      </c>
      <c r="T68" s="5" t="s">
        <v>445</v>
      </c>
    </row>
    <row r="69" spans="2:20" ht="14">
      <c r="B69" s="9"/>
      <c r="C69" s="5" t="s">
        <v>1857</v>
      </c>
      <c r="D69" s="214" t="s">
        <v>383</v>
      </c>
      <c r="E69" s="212" t="str">
        <f>+VLOOKUP(F69,Resumen_Base!$B$6:$F$69,5,0)</f>
        <v>Propane</v>
      </c>
      <c r="F69" s="5" t="s">
        <v>37</v>
      </c>
      <c r="G69" s="34" t="s">
        <v>36</v>
      </c>
      <c r="H69" s="5" t="str">
        <f t="shared" si="0"/>
        <v>DEL5249</v>
      </c>
      <c r="I69" s="306">
        <v>52000</v>
      </c>
      <c r="J69" s="307">
        <v>36.491228070175403</v>
      </c>
      <c r="K69" s="6">
        <v>1425</v>
      </c>
      <c r="L69" s="5" t="s">
        <v>1955</v>
      </c>
      <c r="M69" s="62" t="s">
        <v>452</v>
      </c>
      <c r="N69" s="62" t="s">
        <v>464</v>
      </c>
      <c r="O69" s="62" t="s">
        <v>1956</v>
      </c>
      <c r="P69" s="100" t="s">
        <v>1895</v>
      </c>
      <c r="Q69" s="5" t="s">
        <v>1957</v>
      </c>
      <c r="R69" s="34" t="s">
        <v>1958</v>
      </c>
      <c r="S69" s="5" t="s">
        <v>1959</v>
      </c>
      <c r="T69" s="5" t="s">
        <v>445</v>
      </c>
    </row>
    <row r="70" spans="2:20" ht="14">
      <c r="B70" s="9"/>
      <c r="C70" s="5" t="s">
        <v>1857</v>
      </c>
      <c r="D70" s="214" t="s">
        <v>383</v>
      </c>
      <c r="E70" s="212" t="str">
        <f>+VLOOKUP(F70,Resumen_Base!$B$6:$F$69,5,0)</f>
        <v>Propane</v>
      </c>
      <c r="F70" s="5" t="s">
        <v>37</v>
      </c>
      <c r="G70" s="34" t="s">
        <v>36</v>
      </c>
      <c r="H70" s="5" t="str">
        <f t="shared" si="0"/>
        <v>DEL5249</v>
      </c>
      <c r="I70" s="306">
        <v>130000</v>
      </c>
      <c r="J70" s="307">
        <v>91.228070175438603</v>
      </c>
      <c r="K70" s="6">
        <v>1425</v>
      </c>
      <c r="L70" s="5" t="s">
        <v>1955</v>
      </c>
      <c r="M70" s="62" t="s">
        <v>452</v>
      </c>
      <c r="N70" s="62" t="s">
        <v>464</v>
      </c>
      <c r="O70" s="62" t="s">
        <v>1956</v>
      </c>
      <c r="P70" s="100" t="s">
        <v>1895</v>
      </c>
      <c r="Q70" s="5" t="s">
        <v>1957</v>
      </c>
      <c r="R70" s="34" t="s">
        <v>1961</v>
      </c>
      <c r="S70" s="5" t="s">
        <v>1959</v>
      </c>
      <c r="T70" s="5" t="s">
        <v>445</v>
      </c>
    </row>
    <row r="71" spans="2:20" ht="14">
      <c r="B71" s="9"/>
      <c r="C71" s="5" t="s">
        <v>1857</v>
      </c>
      <c r="D71" s="214" t="s">
        <v>383</v>
      </c>
      <c r="E71" s="212" t="str">
        <f>+VLOOKUP(F71,Resumen_Base!$B$6:$F$69,5,0)</f>
        <v>Propane</v>
      </c>
      <c r="F71" s="5" t="s">
        <v>37</v>
      </c>
      <c r="G71" s="34" t="s">
        <v>36</v>
      </c>
      <c r="H71" s="5" t="str">
        <f t="shared" si="0"/>
        <v>DEL5249</v>
      </c>
      <c r="I71" s="306">
        <v>156000</v>
      </c>
      <c r="J71" s="307">
        <v>110.247349823322</v>
      </c>
      <c r="K71" s="6">
        <v>1415</v>
      </c>
      <c r="L71" s="5" t="s">
        <v>1902</v>
      </c>
      <c r="M71" s="62" t="s">
        <v>452</v>
      </c>
      <c r="N71" s="62" t="s">
        <v>464</v>
      </c>
      <c r="O71" s="62" t="s">
        <v>1945</v>
      </c>
      <c r="P71" s="100" t="s">
        <v>1895</v>
      </c>
      <c r="Q71" s="5" t="s">
        <v>1946</v>
      </c>
      <c r="R71" s="34" t="s">
        <v>1962</v>
      </c>
      <c r="S71" s="5" t="s">
        <v>1948</v>
      </c>
      <c r="T71" s="5" t="s">
        <v>445</v>
      </c>
    </row>
    <row r="72" spans="2:20" ht="14">
      <c r="B72" s="9"/>
      <c r="C72" s="5" t="s">
        <v>1857</v>
      </c>
      <c r="D72" s="214" t="s">
        <v>383</v>
      </c>
      <c r="E72" s="212" t="str">
        <f>+VLOOKUP(F72,Resumen_Base!$B$6:$F$69,5,0)</f>
        <v>Propane</v>
      </c>
      <c r="F72" s="5" t="s">
        <v>37</v>
      </c>
      <c r="G72" s="34" t="s">
        <v>36</v>
      </c>
      <c r="H72" s="5" t="str">
        <f t="shared" si="0"/>
        <v>DEL5249</v>
      </c>
      <c r="I72" s="306">
        <v>156000</v>
      </c>
      <c r="J72" s="307">
        <v>110.247349823322</v>
      </c>
      <c r="K72" s="6">
        <v>1415</v>
      </c>
      <c r="L72" s="5" t="s">
        <v>1902</v>
      </c>
      <c r="M72" s="62" t="s">
        <v>452</v>
      </c>
      <c r="N72" s="62" t="s">
        <v>464</v>
      </c>
      <c r="O72" s="62" t="s">
        <v>1949</v>
      </c>
      <c r="P72" s="100" t="s">
        <v>1895</v>
      </c>
      <c r="Q72" s="5" t="s">
        <v>1950</v>
      </c>
      <c r="R72" s="34" t="s">
        <v>1962</v>
      </c>
      <c r="S72" s="5" t="s">
        <v>1951</v>
      </c>
      <c r="T72" s="5" t="s">
        <v>445</v>
      </c>
    </row>
    <row r="73" spans="2:20" ht="14">
      <c r="B73" s="9"/>
      <c r="C73" s="5" t="s">
        <v>1857</v>
      </c>
      <c r="D73" s="214" t="s">
        <v>383</v>
      </c>
      <c r="E73" s="212" t="str">
        <f>+VLOOKUP(F73,Resumen_Base!$B$6:$F$69,5,0)</f>
        <v>Propane</v>
      </c>
      <c r="F73" s="5" t="s">
        <v>37</v>
      </c>
      <c r="G73" s="34" t="s">
        <v>36</v>
      </c>
      <c r="H73" s="5" t="str">
        <f t="shared" si="0"/>
        <v>DEL5249</v>
      </c>
      <c r="I73" s="306">
        <v>-156000</v>
      </c>
      <c r="J73" s="307">
        <v>-110.247349823322</v>
      </c>
      <c r="K73" s="6">
        <v>1415</v>
      </c>
      <c r="L73" s="5" t="s">
        <v>1902</v>
      </c>
      <c r="M73" s="62" t="s">
        <v>452</v>
      </c>
      <c r="N73" s="62" t="s">
        <v>464</v>
      </c>
      <c r="O73" s="62" t="s">
        <v>1952</v>
      </c>
      <c r="P73" s="100" t="s">
        <v>1895</v>
      </c>
      <c r="Q73" s="5" t="s">
        <v>1953</v>
      </c>
      <c r="R73" s="34" t="s">
        <v>1962</v>
      </c>
      <c r="S73" s="5" t="s">
        <v>1954</v>
      </c>
      <c r="T73" s="5" t="s">
        <v>445</v>
      </c>
    </row>
    <row r="74" spans="2:20" ht="14">
      <c r="B74" s="9"/>
      <c r="C74" s="5" t="s">
        <v>1857</v>
      </c>
      <c r="D74" s="214" t="s">
        <v>383</v>
      </c>
      <c r="E74" s="212" t="str">
        <f>+VLOOKUP(F74,Resumen_Base!$B$6:$F$69,5,0)</f>
        <v>Propane</v>
      </c>
      <c r="F74" s="5" t="s">
        <v>37</v>
      </c>
      <c r="G74" s="34" t="s">
        <v>36</v>
      </c>
      <c r="H74" s="5" t="str">
        <f t="shared" si="0"/>
        <v>DEL5249</v>
      </c>
      <c r="I74" s="306">
        <v>23100</v>
      </c>
      <c r="J74" s="307">
        <v>16.0416666666667</v>
      </c>
      <c r="K74" s="6">
        <v>1440</v>
      </c>
      <c r="L74" s="5" t="s">
        <v>1939</v>
      </c>
      <c r="M74" s="62" t="s">
        <v>452</v>
      </c>
      <c r="N74" s="62" t="s">
        <v>464</v>
      </c>
      <c r="O74" s="62" t="s">
        <v>1940</v>
      </c>
      <c r="P74" s="100" t="s">
        <v>1895</v>
      </c>
      <c r="Q74" s="5" t="s">
        <v>1941</v>
      </c>
      <c r="R74" s="34" t="s">
        <v>1985</v>
      </c>
      <c r="S74" s="5" t="s">
        <v>1943</v>
      </c>
      <c r="T74" s="5" t="s">
        <v>445</v>
      </c>
    </row>
    <row r="75" spans="2:20" ht="14">
      <c r="B75" s="9"/>
      <c r="C75" s="5" t="s">
        <v>1857</v>
      </c>
      <c r="D75" s="214" t="s">
        <v>383</v>
      </c>
      <c r="E75" s="212" t="str">
        <f>+VLOOKUP(F75,Resumen_Base!$B$6:$F$69,5,0)</f>
        <v>Propane</v>
      </c>
      <c r="F75" s="5" t="s">
        <v>37</v>
      </c>
      <c r="G75" s="34" t="s">
        <v>36</v>
      </c>
      <c r="H75" s="5" t="str">
        <f t="shared" si="0"/>
        <v>DEL5249</v>
      </c>
      <c r="I75" s="306">
        <v>23000</v>
      </c>
      <c r="J75" s="307">
        <v>15.9722222222222</v>
      </c>
      <c r="K75" s="6">
        <v>1440</v>
      </c>
      <c r="L75" s="5" t="s">
        <v>1939</v>
      </c>
      <c r="M75" s="62" t="s">
        <v>452</v>
      </c>
      <c r="N75" s="62" t="s">
        <v>464</v>
      </c>
      <c r="O75" s="62" t="s">
        <v>1940</v>
      </c>
      <c r="P75" s="100" t="s">
        <v>1895</v>
      </c>
      <c r="Q75" s="5" t="s">
        <v>1941</v>
      </c>
      <c r="R75" s="34" t="s">
        <v>1986</v>
      </c>
      <c r="S75" s="5" t="s">
        <v>1943</v>
      </c>
      <c r="T75" s="5" t="s">
        <v>445</v>
      </c>
    </row>
    <row r="76" spans="2:20" ht="14">
      <c r="B76" s="9"/>
      <c r="C76" s="5" t="s">
        <v>1857</v>
      </c>
      <c r="D76" s="214" t="s">
        <v>383</v>
      </c>
      <c r="E76" s="212" t="str">
        <f>+VLOOKUP(F76,Resumen_Base!$B$6:$F$69,5,0)</f>
        <v>Propane</v>
      </c>
      <c r="F76" s="5" t="s">
        <v>37</v>
      </c>
      <c r="G76" s="34" t="s">
        <v>36</v>
      </c>
      <c r="H76" s="5" t="str">
        <f t="shared" ref="H76:H139" si="1">+D76&amp;F76</f>
        <v>DEL5249</v>
      </c>
      <c r="I76" s="306">
        <v>49000</v>
      </c>
      <c r="J76" s="307">
        <v>34.385964912280699</v>
      </c>
      <c r="K76" s="6">
        <v>1425</v>
      </c>
      <c r="L76" s="5" t="s">
        <v>1969</v>
      </c>
      <c r="M76" s="62" t="s">
        <v>452</v>
      </c>
      <c r="N76" s="62" t="s">
        <v>464</v>
      </c>
      <c r="O76" s="62" t="s">
        <v>1970</v>
      </c>
      <c r="P76" s="100" t="s">
        <v>1895</v>
      </c>
      <c r="Q76" s="5" t="s">
        <v>1971</v>
      </c>
      <c r="R76" s="34" t="s">
        <v>1671</v>
      </c>
      <c r="S76" s="5" t="s">
        <v>1972</v>
      </c>
      <c r="T76" s="5" t="s">
        <v>445</v>
      </c>
    </row>
    <row r="77" spans="2:20" ht="14">
      <c r="B77" s="9"/>
      <c r="C77" s="5" t="s">
        <v>1857</v>
      </c>
      <c r="D77" s="214" t="s">
        <v>383</v>
      </c>
      <c r="E77" s="212" t="str">
        <f>+VLOOKUP(F77,Resumen_Base!$B$6:$F$69,5,0)</f>
        <v>Food &amp; Wine</v>
      </c>
      <c r="F77" s="5" t="s">
        <v>35</v>
      </c>
      <c r="G77" s="34" t="s">
        <v>34</v>
      </c>
      <c r="H77" s="5" t="str">
        <f t="shared" si="1"/>
        <v>DEL5250</v>
      </c>
      <c r="I77" s="306">
        <v>12000</v>
      </c>
      <c r="J77" s="307">
        <v>8.3333333333333304</v>
      </c>
      <c r="K77" s="6">
        <v>1440</v>
      </c>
      <c r="L77" s="5" t="s">
        <v>1939</v>
      </c>
      <c r="M77" s="62" t="s">
        <v>452</v>
      </c>
      <c r="N77" s="62" t="s">
        <v>464</v>
      </c>
      <c r="O77" s="62" t="s">
        <v>1940</v>
      </c>
      <c r="P77" s="100" t="s">
        <v>1895</v>
      </c>
      <c r="Q77" s="5" t="s">
        <v>1941</v>
      </c>
      <c r="R77" s="34" t="s">
        <v>1942</v>
      </c>
      <c r="S77" s="5" t="s">
        <v>1943</v>
      </c>
      <c r="T77" s="5" t="s">
        <v>445</v>
      </c>
    </row>
    <row r="78" spans="2:20" ht="14">
      <c r="B78" s="9"/>
      <c r="C78" s="5" t="s">
        <v>1857</v>
      </c>
      <c r="D78" s="214" t="s">
        <v>383</v>
      </c>
      <c r="E78" s="212" t="str">
        <f>+VLOOKUP(F78,Resumen_Base!$B$6:$F$69,5,0)</f>
        <v>Food &amp; Wine</v>
      </c>
      <c r="F78" s="5" t="s">
        <v>35</v>
      </c>
      <c r="G78" s="34" t="s">
        <v>34</v>
      </c>
      <c r="H78" s="5" t="str">
        <f t="shared" si="1"/>
        <v>DEL5250</v>
      </c>
      <c r="I78" s="306">
        <v>46320</v>
      </c>
      <c r="J78" s="307">
        <v>32.734982332155496</v>
      </c>
      <c r="K78" s="6">
        <v>1415</v>
      </c>
      <c r="L78" s="5" t="s">
        <v>1902</v>
      </c>
      <c r="M78" s="62" t="s">
        <v>452</v>
      </c>
      <c r="N78" s="62" t="s">
        <v>464</v>
      </c>
      <c r="O78" s="62" t="s">
        <v>1945</v>
      </c>
      <c r="P78" s="100" t="s">
        <v>1895</v>
      </c>
      <c r="Q78" s="5" t="s">
        <v>1946</v>
      </c>
      <c r="R78" s="34" t="s">
        <v>1974</v>
      </c>
      <c r="S78" s="5" t="s">
        <v>1948</v>
      </c>
      <c r="T78" s="5" t="s">
        <v>445</v>
      </c>
    </row>
    <row r="79" spans="2:20" ht="14">
      <c r="B79" s="9"/>
      <c r="C79" s="5" t="s">
        <v>1857</v>
      </c>
      <c r="D79" s="214" t="s">
        <v>383</v>
      </c>
      <c r="E79" s="212" t="str">
        <f>+VLOOKUP(F79,Resumen_Base!$B$6:$F$69,5,0)</f>
        <v>Food &amp; Wine</v>
      </c>
      <c r="F79" s="5" t="s">
        <v>35</v>
      </c>
      <c r="G79" s="34" t="s">
        <v>34</v>
      </c>
      <c r="H79" s="5" t="str">
        <f t="shared" si="1"/>
        <v>DEL5250</v>
      </c>
      <c r="I79" s="306">
        <v>46320</v>
      </c>
      <c r="J79" s="307">
        <v>32.734982332155496</v>
      </c>
      <c r="K79" s="6">
        <v>1415</v>
      </c>
      <c r="L79" s="5" t="s">
        <v>1902</v>
      </c>
      <c r="M79" s="62" t="s">
        <v>452</v>
      </c>
      <c r="N79" s="62" t="s">
        <v>464</v>
      </c>
      <c r="O79" s="62" t="s">
        <v>1949</v>
      </c>
      <c r="P79" s="100" t="s">
        <v>1895</v>
      </c>
      <c r="Q79" s="5" t="s">
        <v>1950</v>
      </c>
      <c r="R79" s="34" t="s">
        <v>1974</v>
      </c>
      <c r="S79" s="5" t="s">
        <v>1951</v>
      </c>
      <c r="T79" s="5" t="s">
        <v>445</v>
      </c>
    </row>
    <row r="80" spans="2:20" ht="14">
      <c r="B80" s="9"/>
      <c r="C80" s="5" t="s">
        <v>1857</v>
      </c>
      <c r="D80" s="214" t="s">
        <v>383</v>
      </c>
      <c r="E80" s="212" t="str">
        <f>+VLOOKUP(F80,Resumen_Base!$B$6:$F$69,5,0)</f>
        <v>Food &amp; Wine</v>
      </c>
      <c r="F80" s="5" t="s">
        <v>35</v>
      </c>
      <c r="G80" s="34" t="s">
        <v>34</v>
      </c>
      <c r="H80" s="5" t="str">
        <f t="shared" si="1"/>
        <v>DEL5250</v>
      </c>
      <c r="I80" s="306">
        <v>-46320</v>
      </c>
      <c r="J80" s="307">
        <v>-32.734982332155496</v>
      </c>
      <c r="K80" s="6">
        <v>1415</v>
      </c>
      <c r="L80" s="5" t="s">
        <v>1902</v>
      </c>
      <c r="M80" s="62" t="s">
        <v>452</v>
      </c>
      <c r="N80" s="62" t="s">
        <v>464</v>
      </c>
      <c r="O80" s="62" t="s">
        <v>1952</v>
      </c>
      <c r="P80" s="100" t="s">
        <v>1895</v>
      </c>
      <c r="Q80" s="5" t="s">
        <v>1953</v>
      </c>
      <c r="R80" s="34" t="s">
        <v>1974</v>
      </c>
      <c r="S80" s="5" t="s">
        <v>1954</v>
      </c>
      <c r="T80" s="5" t="s">
        <v>445</v>
      </c>
    </row>
    <row r="81" spans="2:20" ht="14">
      <c r="B81" s="9"/>
      <c r="C81" s="5" t="s">
        <v>1857</v>
      </c>
      <c r="D81" s="214" t="s">
        <v>383</v>
      </c>
      <c r="E81" s="212" t="str">
        <f>+VLOOKUP(F81,Resumen_Base!$B$6:$F$69,5,0)</f>
        <v>Food &amp; Wine</v>
      </c>
      <c r="F81" s="5" t="s">
        <v>35</v>
      </c>
      <c r="G81" s="34" t="s">
        <v>34</v>
      </c>
      <c r="H81" s="5" t="str">
        <f t="shared" si="1"/>
        <v>DEL5250</v>
      </c>
      <c r="I81" s="306">
        <v>350049</v>
      </c>
      <c r="J81" s="307">
        <v>247.38445229682</v>
      </c>
      <c r="K81" s="6">
        <v>1415</v>
      </c>
      <c r="L81" s="5" t="s">
        <v>1902</v>
      </c>
      <c r="M81" s="62" t="s">
        <v>452</v>
      </c>
      <c r="N81" s="62" t="s">
        <v>464</v>
      </c>
      <c r="O81" s="62" t="s">
        <v>1945</v>
      </c>
      <c r="P81" s="100" t="s">
        <v>1895</v>
      </c>
      <c r="Q81" s="5" t="s">
        <v>1946</v>
      </c>
      <c r="R81" s="34" t="s">
        <v>1585</v>
      </c>
      <c r="S81" s="5" t="s">
        <v>1948</v>
      </c>
      <c r="T81" s="5" t="s">
        <v>445</v>
      </c>
    </row>
    <row r="82" spans="2:20" ht="14">
      <c r="B82" s="9"/>
      <c r="C82" s="5" t="s">
        <v>1857</v>
      </c>
      <c r="D82" s="214" t="s">
        <v>383</v>
      </c>
      <c r="E82" s="212" t="str">
        <f>+VLOOKUP(F82,Resumen_Base!$B$6:$F$69,5,0)</f>
        <v>Food &amp; Wine</v>
      </c>
      <c r="F82" s="5" t="s">
        <v>35</v>
      </c>
      <c r="G82" s="34" t="s">
        <v>34</v>
      </c>
      <c r="H82" s="5" t="str">
        <f t="shared" si="1"/>
        <v>DEL5250</v>
      </c>
      <c r="I82" s="306">
        <v>350049</v>
      </c>
      <c r="J82" s="307">
        <v>247.38445229682</v>
      </c>
      <c r="K82" s="6">
        <v>1415</v>
      </c>
      <c r="L82" s="5" t="s">
        <v>1902</v>
      </c>
      <c r="M82" s="62" t="s">
        <v>452</v>
      </c>
      <c r="N82" s="62" t="s">
        <v>464</v>
      </c>
      <c r="O82" s="62" t="s">
        <v>1949</v>
      </c>
      <c r="P82" s="100" t="s">
        <v>1895</v>
      </c>
      <c r="Q82" s="5" t="s">
        <v>1950</v>
      </c>
      <c r="R82" s="34" t="s">
        <v>1585</v>
      </c>
      <c r="S82" s="5" t="s">
        <v>1951</v>
      </c>
      <c r="T82" s="5" t="s">
        <v>445</v>
      </c>
    </row>
    <row r="83" spans="2:20" ht="14">
      <c r="B83" s="9"/>
      <c r="C83" s="5" t="s">
        <v>1857</v>
      </c>
      <c r="D83" s="214" t="s">
        <v>383</v>
      </c>
      <c r="E83" s="212" t="str">
        <f>+VLOOKUP(F83,Resumen_Base!$B$6:$F$69,5,0)</f>
        <v>Food &amp; Wine</v>
      </c>
      <c r="F83" s="5" t="s">
        <v>35</v>
      </c>
      <c r="G83" s="34" t="s">
        <v>34</v>
      </c>
      <c r="H83" s="5" t="str">
        <f t="shared" si="1"/>
        <v>DEL5250</v>
      </c>
      <c r="I83" s="306">
        <v>-350049</v>
      </c>
      <c r="J83" s="307">
        <v>-247.38445229682</v>
      </c>
      <c r="K83" s="6">
        <v>1415</v>
      </c>
      <c r="L83" s="5" t="s">
        <v>1902</v>
      </c>
      <c r="M83" s="62" t="s">
        <v>452</v>
      </c>
      <c r="N83" s="62" t="s">
        <v>464</v>
      </c>
      <c r="O83" s="62" t="s">
        <v>1952</v>
      </c>
      <c r="P83" s="100" t="s">
        <v>1895</v>
      </c>
      <c r="Q83" s="5" t="s">
        <v>1953</v>
      </c>
      <c r="R83" s="34" t="s">
        <v>1585</v>
      </c>
      <c r="S83" s="5" t="s">
        <v>1954</v>
      </c>
      <c r="T83" s="5" t="s">
        <v>445</v>
      </c>
    </row>
    <row r="84" spans="2:20" ht="14">
      <c r="B84" s="9"/>
      <c r="C84" s="5" t="s">
        <v>1857</v>
      </c>
      <c r="D84" s="214" t="s">
        <v>383</v>
      </c>
      <c r="E84" s="212" t="str">
        <f>+VLOOKUP(F84,Resumen_Base!$B$6:$F$69,5,0)</f>
        <v>Food &amp; Wine</v>
      </c>
      <c r="F84" s="5" t="s">
        <v>35</v>
      </c>
      <c r="G84" s="34" t="s">
        <v>34</v>
      </c>
      <c r="H84" s="5" t="str">
        <f t="shared" si="1"/>
        <v>DEL5250</v>
      </c>
      <c r="I84" s="306">
        <v>220753</v>
      </c>
      <c r="J84" s="307">
        <v>156.009187279152</v>
      </c>
      <c r="K84" s="6">
        <v>1415</v>
      </c>
      <c r="L84" s="5" t="s">
        <v>1902</v>
      </c>
      <c r="M84" s="62" t="s">
        <v>452</v>
      </c>
      <c r="N84" s="62" t="s">
        <v>464</v>
      </c>
      <c r="O84" s="62" t="s">
        <v>1945</v>
      </c>
      <c r="P84" s="100" t="s">
        <v>1895</v>
      </c>
      <c r="Q84" s="5" t="s">
        <v>1946</v>
      </c>
      <c r="R84" s="34" t="s">
        <v>893</v>
      </c>
      <c r="S84" s="5" t="s">
        <v>1948</v>
      </c>
      <c r="T84" s="5" t="s">
        <v>445</v>
      </c>
    </row>
    <row r="85" spans="2:20" ht="14">
      <c r="B85" s="9"/>
      <c r="C85" s="5" t="s">
        <v>1857</v>
      </c>
      <c r="D85" s="214" t="s">
        <v>383</v>
      </c>
      <c r="E85" s="212" t="str">
        <f>+VLOOKUP(F85,Resumen_Base!$B$6:$F$69,5,0)</f>
        <v>Food &amp; Wine</v>
      </c>
      <c r="F85" s="5" t="s">
        <v>35</v>
      </c>
      <c r="G85" s="34" t="s">
        <v>34</v>
      </c>
      <c r="H85" s="5" t="str">
        <f t="shared" si="1"/>
        <v>DEL5250</v>
      </c>
      <c r="I85" s="306">
        <v>220753</v>
      </c>
      <c r="J85" s="307">
        <v>156.009187279152</v>
      </c>
      <c r="K85" s="6">
        <v>1415</v>
      </c>
      <c r="L85" s="5" t="s">
        <v>1902</v>
      </c>
      <c r="M85" s="62" t="s">
        <v>452</v>
      </c>
      <c r="N85" s="62" t="s">
        <v>464</v>
      </c>
      <c r="O85" s="62" t="s">
        <v>1949</v>
      </c>
      <c r="P85" s="100" t="s">
        <v>1895</v>
      </c>
      <c r="Q85" s="5" t="s">
        <v>1950</v>
      </c>
      <c r="R85" s="34" t="s">
        <v>893</v>
      </c>
      <c r="S85" s="5" t="s">
        <v>1951</v>
      </c>
      <c r="T85" s="5" t="s">
        <v>445</v>
      </c>
    </row>
    <row r="86" spans="2:20" ht="14">
      <c r="B86" s="9"/>
      <c r="C86" s="5" t="s">
        <v>1857</v>
      </c>
      <c r="D86" s="214" t="s">
        <v>383</v>
      </c>
      <c r="E86" s="212" t="str">
        <f>+VLOOKUP(F86,Resumen_Base!$B$6:$F$69,5,0)</f>
        <v>Food &amp; Wine</v>
      </c>
      <c r="F86" s="5" t="s">
        <v>35</v>
      </c>
      <c r="G86" s="34" t="s">
        <v>34</v>
      </c>
      <c r="H86" s="5" t="str">
        <f t="shared" si="1"/>
        <v>DEL5250</v>
      </c>
      <c r="I86" s="306">
        <v>-220753</v>
      </c>
      <c r="J86" s="307">
        <v>-156.009187279152</v>
      </c>
      <c r="K86" s="6">
        <v>1415</v>
      </c>
      <c r="L86" s="5" t="s">
        <v>1902</v>
      </c>
      <c r="M86" s="62" t="s">
        <v>452</v>
      </c>
      <c r="N86" s="62" t="s">
        <v>464</v>
      </c>
      <c r="O86" s="62" t="s">
        <v>1952</v>
      </c>
      <c r="P86" s="100" t="s">
        <v>1895</v>
      </c>
      <c r="Q86" s="5" t="s">
        <v>1953</v>
      </c>
      <c r="R86" s="34" t="s">
        <v>893</v>
      </c>
      <c r="S86" s="5" t="s">
        <v>1954</v>
      </c>
      <c r="T86" s="5" t="s">
        <v>445</v>
      </c>
    </row>
    <row r="87" spans="2:20" ht="14">
      <c r="B87" s="9"/>
      <c r="C87" s="5" t="s">
        <v>1857</v>
      </c>
      <c r="D87" s="214" t="s">
        <v>383</v>
      </c>
      <c r="E87" s="212" t="str">
        <f>+VLOOKUP(F87,Resumen_Base!$B$6:$F$69,5,0)</f>
        <v>Food &amp; Wine</v>
      </c>
      <c r="F87" s="5" t="s">
        <v>35</v>
      </c>
      <c r="G87" s="34" t="s">
        <v>34</v>
      </c>
      <c r="H87" s="5" t="str">
        <f t="shared" si="1"/>
        <v>DEL5250</v>
      </c>
      <c r="I87" s="306">
        <v>1100075</v>
      </c>
      <c r="J87" s="307">
        <v>777.43816254417004</v>
      </c>
      <c r="K87" s="6">
        <v>1415</v>
      </c>
      <c r="L87" s="5" t="s">
        <v>1902</v>
      </c>
      <c r="M87" s="62" t="s">
        <v>452</v>
      </c>
      <c r="N87" s="62" t="s">
        <v>464</v>
      </c>
      <c r="O87" s="62" t="s">
        <v>1945</v>
      </c>
      <c r="P87" s="100" t="s">
        <v>1895</v>
      </c>
      <c r="Q87" s="5" t="s">
        <v>1946</v>
      </c>
      <c r="R87" s="34" t="s">
        <v>1979</v>
      </c>
      <c r="S87" s="5" t="s">
        <v>1948</v>
      </c>
      <c r="T87" s="5" t="s">
        <v>445</v>
      </c>
    </row>
    <row r="88" spans="2:20" ht="14">
      <c r="B88" s="9"/>
      <c r="C88" s="5" t="s">
        <v>1857</v>
      </c>
      <c r="D88" s="214" t="s">
        <v>383</v>
      </c>
      <c r="E88" s="212" t="str">
        <f>+VLOOKUP(F88,Resumen_Base!$B$6:$F$69,5,0)</f>
        <v>Food &amp; Wine</v>
      </c>
      <c r="F88" s="5" t="s">
        <v>35</v>
      </c>
      <c r="G88" s="34" t="s">
        <v>34</v>
      </c>
      <c r="H88" s="5" t="str">
        <f t="shared" si="1"/>
        <v>DEL5250</v>
      </c>
      <c r="I88" s="306">
        <v>1100075</v>
      </c>
      <c r="J88" s="307">
        <v>777.43816254417004</v>
      </c>
      <c r="K88" s="6">
        <v>1415</v>
      </c>
      <c r="L88" s="5" t="s">
        <v>1902</v>
      </c>
      <c r="M88" s="62" t="s">
        <v>452</v>
      </c>
      <c r="N88" s="62" t="s">
        <v>464</v>
      </c>
      <c r="O88" s="62" t="s">
        <v>1949</v>
      </c>
      <c r="P88" s="100" t="s">
        <v>1895</v>
      </c>
      <c r="Q88" s="5" t="s">
        <v>1950</v>
      </c>
      <c r="R88" s="34" t="s">
        <v>1979</v>
      </c>
      <c r="S88" s="5" t="s">
        <v>1951</v>
      </c>
      <c r="T88" s="5" t="s">
        <v>445</v>
      </c>
    </row>
    <row r="89" spans="2:20" ht="14">
      <c r="B89" s="9"/>
      <c r="C89" s="5" t="s">
        <v>1857</v>
      </c>
      <c r="D89" s="214" t="s">
        <v>383</v>
      </c>
      <c r="E89" s="212" t="str">
        <f>+VLOOKUP(F89,Resumen_Base!$B$6:$F$69,5,0)</f>
        <v>Food &amp; Wine</v>
      </c>
      <c r="F89" s="5" t="s">
        <v>35</v>
      </c>
      <c r="G89" s="34" t="s">
        <v>34</v>
      </c>
      <c r="H89" s="5" t="str">
        <f t="shared" si="1"/>
        <v>DEL5250</v>
      </c>
      <c r="I89" s="306">
        <v>-1100075</v>
      </c>
      <c r="J89" s="307">
        <v>-777.43816254417004</v>
      </c>
      <c r="K89" s="6">
        <v>1415</v>
      </c>
      <c r="L89" s="5" t="s">
        <v>1902</v>
      </c>
      <c r="M89" s="62" t="s">
        <v>452</v>
      </c>
      <c r="N89" s="62" t="s">
        <v>464</v>
      </c>
      <c r="O89" s="62" t="s">
        <v>1952</v>
      </c>
      <c r="P89" s="100" t="s">
        <v>1895</v>
      </c>
      <c r="Q89" s="5" t="s">
        <v>1953</v>
      </c>
      <c r="R89" s="34" t="s">
        <v>1979</v>
      </c>
      <c r="S89" s="5" t="s">
        <v>1954</v>
      </c>
      <c r="T89" s="5" t="s">
        <v>445</v>
      </c>
    </row>
    <row r="90" spans="2:20" ht="14">
      <c r="B90" s="9"/>
      <c r="C90" s="5" t="s">
        <v>1857</v>
      </c>
      <c r="D90" s="214" t="s">
        <v>383</v>
      </c>
      <c r="E90" s="212" t="str">
        <f>+VLOOKUP(F90,Resumen_Base!$B$6:$F$69,5,0)</f>
        <v>Food &amp; Wine</v>
      </c>
      <c r="F90" s="5" t="s">
        <v>35</v>
      </c>
      <c r="G90" s="34" t="s">
        <v>34</v>
      </c>
      <c r="H90" s="5" t="str">
        <f t="shared" si="1"/>
        <v>DEL5250</v>
      </c>
      <c r="I90" s="306">
        <v>278346</v>
      </c>
      <c r="J90" s="307">
        <v>193.29583333333301</v>
      </c>
      <c r="K90" s="6">
        <v>1440</v>
      </c>
      <c r="L90" s="5" t="s">
        <v>1939</v>
      </c>
      <c r="M90" s="62" t="s">
        <v>452</v>
      </c>
      <c r="N90" s="62" t="s">
        <v>464</v>
      </c>
      <c r="O90" s="62" t="s">
        <v>1940</v>
      </c>
      <c r="P90" s="100" t="s">
        <v>1895</v>
      </c>
      <c r="Q90" s="5" t="s">
        <v>1941</v>
      </c>
      <c r="R90" s="34" t="s">
        <v>1981</v>
      </c>
      <c r="S90" s="5" t="s">
        <v>1943</v>
      </c>
      <c r="T90" s="5" t="s">
        <v>445</v>
      </c>
    </row>
    <row r="91" spans="2:20" ht="14">
      <c r="B91" s="9"/>
      <c r="C91" s="5" t="s">
        <v>1857</v>
      </c>
      <c r="D91" s="214" t="s">
        <v>383</v>
      </c>
      <c r="E91" s="212" t="str">
        <f>+VLOOKUP(F91,Resumen_Base!$B$6:$F$69,5,0)</f>
        <v>Food &amp; Wine</v>
      </c>
      <c r="F91" s="5" t="s">
        <v>35</v>
      </c>
      <c r="G91" s="34" t="s">
        <v>34</v>
      </c>
      <c r="H91" s="5" t="str">
        <f t="shared" si="1"/>
        <v>DEL5250</v>
      </c>
      <c r="I91" s="306">
        <v>54000</v>
      </c>
      <c r="J91" s="307">
        <v>37.5</v>
      </c>
      <c r="K91" s="6">
        <v>1440</v>
      </c>
      <c r="L91" s="5" t="s">
        <v>1939</v>
      </c>
      <c r="M91" s="62" t="s">
        <v>452</v>
      </c>
      <c r="N91" s="62" t="s">
        <v>464</v>
      </c>
      <c r="O91" s="62" t="s">
        <v>1940</v>
      </c>
      <c r="P91" s="100" t="s">
        <v>1895</v>
      </c>
      <c r="Q91" s="5" t="s">
        <v>1941</v>
      </c>
      <c r="R91" s="34" t="s">
        <v>1987</v>
      </c>
      <c r="S91" s="5" t="s">
        <v>1943</v>
      </c>
      <c r="T91" s="5" t="s">
        <v>445</v>
      </c>
    </row>
    <row r="92" spans="2:20" ht="14">
      <c r="B92" s="9"/>
      <c r="C92" s="5" t="s">
        <v>1857</v>
      </c>
      <c r="D92" s="214" t="s">
        <v>383</v>
      </c>
      <c r="E92" s="212" t="str">
        <f>+VLOOKUP(F92,Resumen_Base!$B$6:$F$69,5,0)</f>
        <v>Food &amp; Wine</v>
      </c>
      <c r="F92" s="5" t="s">
        <v>35</v>
      </c>
      <c r="G92" s="34" t="s">
        <v>34</v>
      </c>
      <c r="H92" s="5" t="str">
        <f t="shared" si="1"/>
        <v>DEL5250</v>
      </c>
      <c r="I92" s="306">
        <v>12000</v>
      </c>
      <c r="J92" s="307">
        <v>8.3333333333333304</v>
      </c>
      <c r="K92" s="6">
        <v>1440</v>
      </c>
      <c r="L92" s="5" t="s">
        <v>1939</v>
      </c>
      <c r="M92" s="62" t="s">
        <v>452</v>
      </c>
      <c r="N92" s="62" t="s">
        <v>464</v>
      </c>
      <c r="O92" s="62" t="s">
        <v>1940</v>
      </c>
      <c r="P92" s="100" t="s">
        <v>1895</v>
      </c>
      <c r="Q92" s="5" t="s">
        <v>1941</v>
      </c>
      <c r="R92" s="34" t="s">
        <v>764</v>
      </c>
      <c r="S92" s="5" t="s">
        <v>1943</v>
      </c>
      <c r="T92" s="5" t="s">
        <v>445</v>
      </c>
    </row>
    <row r="93" spans="2:20" ht="14">
      <c r="B93" s="9"/>
      <c r="C93" s="5" t="s">
        <v>1857</v>
      </c>
      <c r="D93" s="214" t="s">
        <v>383</v>
      </c>
      <c r="E93" s="212" t="str">
        <f>+VLOOKUP(F93,Resumen_Base!$B$6:$F$69,5,0)</f>
        <v>Food &amp; Wine</v>
      </c>
      <c r="F93" s="5" t="s">
        <v>35</v>
      </c>
      <c r="G93" s="34" t="s">
        <v>34</v>
      </c>
      <c r="H93" s="5" t="str">
        <f t="shared" si="1"/>
        <v>DEL5250</v>
      </c>
      <c r="I93" s="306">
        <v>32000</v>
      </c>
      <c r="J93" s="307">
        <v>22.2222222222222</v>
      </c>
      <c r="K93" s="6">
        <v>1440</v>
      </c>
      <c r="L93" s="5" t="s">
        <v>1939</v>
      </c>
      <c r="M93" s="62" t="s">
        <v>452</v>
      </c>
      <c r="N93" s="62" t="s">
        <v>464</v>
      </c>
      <c r="O93" s="62" t="s">
        <v>1940</v>
      </c>
      <c r="P93" s="100" t="s">
        <v>1895</v>
      </c>
      <c r="Q93" s="5" t="s">
        <v>1941</v>
      </c>
      <c r="R93" s="34" t="s">
        <v>764</v>
      </c>
      <c r="S93" s="5" t="s">
        <v>1943</v>
      </c>
      <c r="T93" s="5" t="s">
        <v>445</v>
      </c>
    </row>
    <row r="94" spans="2:20" ht="14">
      <c r="B94" s="9"/>
      <c r="C94" s="5" t="s">
        <v>1857</v>
      </c>
      <c r="D94" s="214" t="s">
        <v>383</v>
      </c>
      <c r="E94" s="212" t="str">
        <f>+VLOOKUP(F94,Resumen_Base!$B$6:$F$69,5,0)</f>
        <v>Food &amp; Wine</v>
      </c>
      <c r="F94" s="5" t="s">
        <v>35</v>
      </c>
      <c r="G94" s="34" t="s">
        <v>34</v>
      </c>
      <c r="H94" s="5" t="str">
        <f t="shared" si="1"/>
        <v>DEL5250</v>
      </c>
      <c r="I94" s="306">
        <v>7000</v>
      </c>
      <c r="J94" s="307">
        <v>4.9469964664311004</v>
      </c>
      <c r="K94" s="6">
        <v>1415</v>
      </c>
      <c r="L94" s="5" t="s">
        <v>1902</v>
      </c>
      <c r="M94" s="62" t="s">
        <v>452</v>
      </c>
      <c r="N94" s="62" t="s">
        <v>464</v>
      </c>
      <c r="O94" s="62" t="s">
        <v>1945</v>
      </c>
      <c r="P94" s="100" t="s">
        <v>1895</v>
      </c>
      <c r="Q94" s="5" t="s">
        <v>1946</v>
      </c>
      <c r="R94" s="34" t="s">
        <v>764</v>
      </c>
      <c r="S94" s="5" t="s">
        <v>1948</v>
      </c>
      <c r="T94" s="5" t="s">
        <v>445</v>
      </c>
    </row>
    <row r="95" spans="2:20" ht="14">
      <c r="B95" s="9"/>
      <c r="C95" s="5" t="s">
        <v>1857</v>
      </c>
      <c r="D95" s="214" t="s">
        <v>383</v>
      </c>
      <c r="E95" s="212" t="str">
        <f>+VLOOKUP(F95,Resumen_Base!$B$6:$F$69,5,0)</f>
        <v>Food &amp; Wine</v>
      </c>
      <c r="F95" s="5" t="s">
        <v>35</v>
      </c>
      <c r="G95" s="34" t="s">
        <v>34</v>
      </c>
      <c r="H95" s="5" t="str">
        <f t="shared" si="1"/>
        <v>DEL5250</v>
      </c>
      <c r="I95" s="306">
        <v>7000</v>
      </c>
      <c r="J95" s="307">
        <v>4.9469964664311004</v>
      </c>
      <c r="K95" s="6">
        <v>1415</v>
      </c>
      <c r="L95" s="5" t="s">
        <v>1902</v>
      </c>
      <c r="M95" s="62" t="s">
        <v>452</v>
      </c>
      <c r="N95" s="62" t="s">
        <v>464</v>
      </c>
      <c r="O95" s="62" t="s">
        <v>1945</v>
      </c>
      <c r="P95" s="100" t="s">
        <v>1895</v>
      </c>
      <c r="Q95" s="5" t="s">
        <v>1946</v>
      </c>
      <c r="R95" s="34" t="s">
        <v>764</v>
      </c>
      <c r="S95" s="5" t="s">
        <v>1948</v>
      </c>
      <c r="T95" s="5" t="s">
        <v>445</v>
      </c>
    </row>
    <row r="96" spans="2:20" ht="14">
      <c r="B96" s="9"/>
      <c r="C96" s="5" t="s">
        <v>1857</v>
      </c>
      <c r="D96" s="214" t="s">
        <v>383</v>
      </c>
      <c r="E96" s="212" t="str">
        <f>+VLOOKUP(F96,Resumen_Base!$B$6:$F$69,5,0)</f>
        <v>Food &amp; Wine</v>
      </c>
      <c r="F96" s="5" t="s">
        <v>35</v>
      </c>
      <c r="G96" s="34" t="s">
        <v>34</v>
      </c>
      <c r="H96" s="5" t="str">
        <f t="shared" si="1"/>
        <v>DEL5250</v>
      </c>
      <c r="I96" s="306">
        <v>10500</v>
      </c>
      <c r="J96" s="307">
        <v>7.4204946996466399</v>
      </c>
      <c r="K96" s="6">
        <v>1415</v>
      </c>
      <c r="L96" s="5" t="s">
        <v>1902</v>
      </c>
      <c r="M96" s="62" t="s">
        <v>452</v>
      </c>
      <c r="N96" s="62" t="s">
        <v>464</v>
      </c>
      <c r="O96" s="62" t="s">
        <v>1945</v>
      </c>
      <c r="P96" s="100" t="s">
        <v>1895</v>
      </c>
      <c r="Q96" s="5" t="s">
        <v>1946</v>
      </c>
      <c r="R96" s="34" t="s">
        <v>764</v>
      </c>
      <c r="S96" s="5" t="s">
        <v>1948</v>
      </c>
      <c r="T96" s="5" t="s">
        <v>445</v>
      </c>
    </row>
    <row r="97" spans="2:20" ht="14">
      <c r="B97" s="9"/>
      <c r="C97" s="5" t="s">
        <v>1857</v>
      </c>
      <c r="D97" s="214" t="s">
        <v>383</v>
      </c>
      <c r="E97" s="212" t="str">
        <f>+VLOOKUP(F97,Resumen_Base!$B$6:$F$69,5,0)</f>
        <v>Food &amp; Wine</v>
      </c>
      <c r="F97" s="5" t="s">
        <v>35</v>
      </c>
      <c r="G97" s="34" t="s">
        <v>34</v>
      </c>
      <c r="H97" s="5" t="str">
        <f t="shared" si="1"/>
        <v>DEL5250</v>
      </c>
      <c r="I97" s="306">
        <v>7000</v>
      </c>
      <c r="J97" s="307">
        <v>4.9469964664311004</v>
      </c>
      <c r="K97" s="6">
        <v>1415</v>
      </c>
      <c r="L97" s="5" t="s">
        <v>1902</v>
      </c>
      <c r="M97" s="62" t="s">
        <v>452</v>
      </c>
      <c r="N97" s="62" t="s">
        <v>464</v>
      </c>
      <c r="O97" s="62" t="s">
        <v>1949</v>
      </c>
      <c r="P97" s="100" t="s">
        <v>1895</v>
      </c>
      <c r="Q97" s="5" t="s">
        <v>1950</v>
      </c>
      <c r="R97" s="34" t="s">
        <v>764</v>
      </c>
      <c r="S97" s="5" t="s">
        <v>1951</v>
      </c>
      <c r="T97" s="5" t="s">
        <v>445</v>
      </c>
    </row>
    <row r="98" spans="2:20" ht="14">
      <c r="B98" s="9"/>
      <c r="C98" s="5" t="s">
        <v>1857</v>
      </c>
      <c r="D98" s="214" t="s">
        <v>383</v>
      </c>
      <c r="E98" s="212" t="str">
        <f>+VLOOKUP(F98,Resumen_Base!$B$6:$F$69,5,0)</f>
        <v>Food &amp; Wine</v>
      </c>
      <c r="F98" s="5" t="s">
        <v>35</v>
      </c>
      <c r="G98" s="34" t="s">
        <v>34</v>
      </c>
      <c r="H98" s="5" t="str">
        <f t="shared" si="1"/>
        <v>DEL5250</v>
      </c>
      <c r="I98" s="306">
        <v>10500</v>
      </c>
      <c r="J98" s="307">
        <v>7.4204946996466399</v>
      </c>
      <c r="K98" s="6">
        <v>1415</v>
      </c>
      <c r="L98" s="5" t="s">
        <v>1902</v>
      </c>
      <c r="M98" s="62" t="s">
        <v>452</v>
      </c>
      <c r="N98" s="62" t="s">
        <v>464</v>
      </c>
      <c r="O98" s="62" t="s">
        <v>1949</v>
      </c>
      <c r="P98" s="100" t="s">
        <v>1895</v>
      </c>
      <c r="Q98" s="5" t="s">
        <v>1950</v>
      </c>
      <c r="R98" s="34" t="s">
        <v>764</v>
      </c>
      <c r="S98" s="5" t="s">
        <v>1951</v>
      </c>
      <c r="T98" s="5" t="s">
        <v>445</v>
      </c>
    </row>
    <row r="99" spans="2:20" ht="14">
      <c r="B99" s="9"/>
      <c r="C99" s="5" t="s">
        <v>1857</v>
      </c>
      <c r="D99" s="214" t="s">
        <v>383</v>
      </c>
      <c r="E99" s="212" t="str">
        <f>+VLOOKUP(F99,Resumen_Base!$B$6:$F$69,5,0)</f>
        <v>Food &amp; Wine</v>
      </c>
      <c r="F99" s="5" t="s">
        <v>35</v>
      </c>
      <c r="G99" s="34" t="s">
        <v>34</v>
      </c>
      <c r="H99" s="5" t="str">
        <f t="shared" si="1"/>
        <v>DEL5250</v>
      </c>
      <c r="I99" s="306">
        <v>7000</v>
      </c>
      <c r="J99" s="307">
        <v>4.9469964664311004</v>
      </c>
      <c r="K99" s="6">
        <v>1415</v>
      </c>
      <c r="L99" s="5" t="s">
        <v>1902</v>
      </c>
      <c r="M99" s="62" t="s">
        <v>452</v>
      </c>
      <c r="N99" s="62" t="s">
        <v>464</v>
      </c>
      <c r="O99" s="62" t="s">
        <v>1949</v>
      </c>
      <c r="P99" s="100" t="s">
        <v>1895</v>
      </c>
      <c r="Q99" s="5" t="s">
        <v>1950</v>
      </c>
      <c r="R99" s="34" t="s">
        <v>764</v>
      </c>
      <c r="S99" s="5" t="s">
        <v>1951</v>
      </c>
      <c r="T99" s="5" t="s">
        <v>445</v>
      </c>
    </row>
    <row r="100" spans="2:20" ht="14">
      <c r="B100" s="9"/>
      <c r="C100" s="5" t="s">
        <v>1857</v>
      </c>
      <c r="D100" s="214" t="s">
        <v>383</v>
      </c>
      <c r="E100" s="212" t="str">
        <f>+VLOOKUP(F100,Resumen_Base!$B$6:$F$69,5,0)</f>
        <v>Food &amp; Wine</v>
      </c>
      <c r="F100" s="5" t="s">
        <v>35</v>
      </c>
      <c r="G100" s="34" t="s">
        <v>34</v>
      </c>
      <c r="H100" s="5" t="str">
        <f t="shared" si="1"/>
        <v>DEL5250</v>
      </c>
      <c r="I100" s="306">
        <v>-7000</v>
      </c>
      <c r="J100" s="307">
        <v>-4.9469964664311004</v>
      </c>
      <c r="K100" s="6">
        <v>1415</v>
      </c>
      <c r="L100" s="5" t="s">
        <v>1902</v>
      </c>
      <c r="M100" s="62" t="s">
        <v>452</v>
      </c>
      <c r="N100" s="62" t="s">
        <v>464</v>
      </c>
      <c r="O100" s="62" t="s">
        <v>1952</v>
      </c>
      <c r="P100" s="100" t="s">
        <v>1895</v>
      </c>
      <c r="Q100" s="5" t="s">
        <v>1953</v>
      </c>
      <c r="R100" s="34" t="s">
        <v>764</v>
      </c>
      <c r="S100" s="5" t="s">
        <v>1954</v>
      </c>
      <c r="T100" s="5" t="s">
        <v>445</v>
      </c>
    </row>
    <row r="101" spans="2:20" ht="14">
      <c r="B101" s="9"/>
      <c r="C101" s="5" t="s">
        <v>1857</v>
      </c>
      <c r="D101" s="214" t="s">
        <v>383</v>
      </c>
      <c r="E101" s="212" t="str">
        <f>+VLOOKUP(F101,Resumen_Base!$B$6:$F$69,5,0)</f>
        <v>Food &amp; Wine</v>
      </c>
      <c r="F101" s="5" t="s">
        <v>35</v>
      </c>
      <c r="G101" s="34" t="s">
        <v>34</v>
      </c>
      <c r="H101" s="5" t="str">
        <f t="shared" si="1"/>
        <v>DEL5250</v>
      </c>
      <c r="I101" s="306">
        <v>-10500</v>
      </c>
      <c r="J101" s="307">
        <v>-7.4204946996466399</v>
      </c>
      <c r="K101" s="6">
        <v>1415</v>
      </c>
      <c r="L101" s="5" t="s">
        <v>1902</v>
      </c>
      <c r="M101" s="62" t="s">
        <v>452</v>
      </c>
      <c r="N101" s="62" t="s">
        <v>464</v>
      </c>
      <c r="O101" s="62" t="s">
        <v>1952</v>
      </c>
      <c r="P101" s="100" t="s">
        <v>1895</v>
      </c>
      <c r="Q101" s="5" t="s">
        <v>1953</v>
      </c>
      <c r="R101" s="34" t="s">
        <v>764</v>
      </c>
      <c r="S101" s="5" t="s">
        <v>1954</v>
      </c>
      <c r="T101" s="5" t="s">
        <v>445</v>
      </c>
    </row>
    <row r="102" spans="2:20" ht="14">
      <c r="B102" s="9"/>
      <c r="C102" s="5" t="s">
        <v>1857</v>
      </c>
      <c r="D102" s="214" t="s">
        <v>383</v>
      </c>
      <c r="E102" s="212" t="str">
        <f>+VLOOKUP(F102,Resumen_Base!$B$6:$F$69,5,0)</f>
        <v>Food &amp; Wine</v>
      </c>
      <c r="F102" s="5" t="s">
        <v>35</v>
      </c>
      <c r="G102" s="34" t="s">
        <v>34</v>
      </c>
      <c r="H102" s="5" t="str">
        <f t="shared" si="1"/>
        <v>DEL5250</v>
      </c>
      <c r="I102" s="306">
        <v>-7000</v>
      </c>
      <c r="J102" s="307">
        <v>-4.9469964664311004</v>
      </c>
      <c r="K102" s="6">
        <v>1415</v>
      </c>
      <c r="L102" s="5" t="s">
        <v>1902</v>
      </c>
      <c r="M102" s="62" t="s">
        <v>452</v>
      </c>
      <c r="N102" s="62" t="s">
        <v>464</v>
      </c>
      <c r="O102" s="62" t="s">
        <v>1952</v>
      </c>
      <c r="P102" s="100" t="s">
        <v>1895</v>
      </c>
      <c r="Q102" s="5" t="s">
        <v>1953</v>
      </c>
      <c r="R102" s="34" t="s">
        <v>764</v>
      </c>
      <c r="S102" s="5" t="s">
        <v>1954</v>
      </c>
      <c r="T102" s="5" t="s">
        <v>445</v>
      </c>
    </row>
    <row r="103" spans="2:20" ht="14">
      <c r="B103" s="9"/>
      <c r="C103" s="5" t="s">
        <v>1857</v>
      </c>
      <c r="D103" s="214" t="s">
        <v>383</v>
      </c>
      <c r="E103" s="212" t="str">
        <f>+VLOOKUP(F103,Resumen_Base!$B$6:$F$69,5,0)</f>
        <v>Food &amp; Wine</v>
      </c>
      <c r="F103" s="5" t="s">
        <v>35</v>
      </c>
      <c r="G103" s="34" t="s">
        <v>34</v>
      </c>
      <c r="H103" s="5" t="str">
        <f t="shared" si="1"/>
        <v>DEL5250</v>
      </c>
      <c r="I103" s="306">
        <v>35000</v>
      </c>
      <c r="J103" s="307">
        <v>24.3055555555556</v>
      </c>
      <c r="K103" s="6">
        <v>1440</v>
      </c>
      <c r="L103" s="5" t="s">
        <v>1939</v>
      </c>
      <c r="M103" s="62" t="s">
        <v>452</v>
      </c>
      <c r="N103" s="62" t="s">
        <v>464</v>
      </c>
      <c r="O103" s="62" t="s">
        <v>1940</v>
      </c>
      <c r="P103" s="100" t="s">
        <v>1895</v>
      </c>
      <c r="Q103" s="5" t="s">
        <v>1941</v>
      </c>
      <c r="R103" s="34" t="s">
        <v>1990</v>
      </c>
      <c r="S103" s="5" t="s">
        <v>1943</v>
      </c>
      <c r="T103" s="5" t="s">
        <v>445</v>
      </c>
    </row>
    <row r="104" spans="2:20" ht="14">
      <c r="B104" s="9"/>
      <c r="C104" s="5" t="s">
        <v>1857</v>
      </c>
      <c r="D104" s="214" t="s">
        <v>383</v>
      </c>
      <c r="E104" s="212" t="str">
        <f>+VLOOKUP(F104,Resumen_Base!$B$6:$F$69,5,0)</f>
        <v>Food &amp; Wine</v>
      </c>
      <c r="F104" s="5" t="s">
        <v>35</v>
      </c>
      <c r="G104" s="34" t="s">
        <v>34</v>
      </c>
      <c r="H104" s="5" t="str">
        <f t="shared" si="1"/>
        <v>DEL5250</v>
      </c>
      <c r="I104" s="306">
        <v>39000</v>
      </c>
      <c r="J104" s="307">
        <v>27.5618374558304</v>
      </c>
      <c r="K104" s="6">
        <v>1415</v>
      </c>
      <c r="L104" s="5" t="s">
        <v>1902</v>
      </c>
      <c r="M104" s="62" t="s">
        <v>452</v>
      </c>
      <c r="N104" s="62" t="s">
        <v>464</v>
      </c>
      <c r="O104" s="62" t="s">
        <v>1945</v>
      </c>
      <c r="P104" s="100" t="s">
        <v>1895</v>
      </c>
      <c r="Q104" s="5" t="s">
        <v>1946</v>
      </c>
      <c r="R104" s="34" t="s">
        <v>1991</v>
      </c>
      <c r="S104" s="5" t="s">
        <v>1948</v>
      </c>
      <c r="T104" s="5" t="s">
        <v>445</v>
      </c>
    </row>
    <row r="105" spans="2:20" ht="14">
      <c r="B105" s="9"/>
      <c r="C105" s="5" t="s">
        <v>1857</v>
      </c>
      <c r="D105" s="214" t="s">
        <v>383</v>
      </c>
      <c r="E105" s="212" t="str">
        <f>+VLOOKUP(F105,Resumen_Base!$B$6:$F$69,5,0)</f>
        <v>Food &amp; Wine</v>
      </c>
      <c r="F105" s="5" t="s">
        <v>35</v>
      </c>
      <c r="G105" s="34" t="s">
        <v>34</v>
      </c>
      <c r="H105" s="5" t="str">
        <f t="shared" si="1"/>
        <v>DEL5250</v>
      </c>
      <c r="I105" s="306">
        <v>39000</v>
      </c>
      <c r="J105" s="307">
        <v>27.5618374558304</v>
      </c>
      <c r="K105" s="6">
        <v>1415</v>
      </c>
      <c r="L105" s="5" t="s">
        <v>1902</v>
      </c>
      <c r="M105" s="62" t="s">
        <v>452</v>
      </c>
      <c r="N105" s="62" t="s">
        <v>464</v>
      </c>
      <c r="O105" s="62" t="s">
        <v>1949</v>
      </c>
      <c r="P105" s="100" t="s">
        <v>1895</v>
      </c>
      <c r="Q105" s="5" t="s">
        <v>1950</v>
      </c>
      <c r="R105" s="34" t="s">
        <v>1991</v>
      </c>
      <c r="S105" s="5" t="s">
        <v>1951</v>
      </c>
      <c r="T105" s="5" t="s">
        <v>445</v>
      </c>
    </row>
    <row r="106" spans="2:20" ht="14">
      <c r="B106" s="9"/>
      <c r="C106" s="5" t="s">
        <v>1857</v>
      </c>
      <c r="D106" s="214" t="s">
        <v>383</v>
      </c>
      <c r="E106" s="212" t="str">
        <f>+VLOOKUP(F106,Resumen_Base!$B$6:$F$69,5,0)</f>
        <v>Food &amp; Wine</v>
      </c>
      <c r="F106" s="5" t="s">
        <v>35</v>
      </c>
      <c r="G106" s="34" t="s">
        <v>34</v>
      </c>
      <c r="H106" s="5" t="str">
        <f t="shared" si="1"/>
        <v>DEL5250</v>
      </c>
      <c r="I106" s="306">
        <v>-39000</v>
      </c>
      <c r="J106" s="307">
        <v>-27.5618374558304</v>
      </c>
      <c r="K106" s="6">
        <v>1415</v>
      </c>
      <c r="L106" s="5" t="s">
        <v>1902</v>
      </c>
      <c r="M106" s="62" t="s">
        <v>452</v>
      </c>
      <c r="N106" s="62" t="s">
        <v>464</v>
      </c>
      <c r="O106" s="62" t="s">
        <v>1952</v>
      </c>
      <c r="P106" s="100" t="s">
        <v>1895</v>
      </c>
      <c r="Q106" s="5" t="s">
        <v>1953</v>
      </c>
      <c r="R106" s="34" t="s">
        <v>1991</v>
      </c>
      <c r="S106" s="5" t="s">
        <v>1954</v>
      </c>
      <c r="T106" s="5" t="s">
        <v>445</v>
      </c>
    </row>
    <row r="107" spans="2:20" ht="14">
      <c r="B107" s="9"/>
      <c r="C107" s="5" t="s">
        <v>1857</v>
      </c>
      <c r="D107" s="214" t="s">
        <v>383</v>
      </c>
      <c r="E107" s="212" t="str">
        <f>+VLOOKUP(F107,Resumen_Base!$B$6:$F$69,5,0)</f>
        <v>Food &amp; Wine</v>
      </c>
      <c r="F107" s="5" t="s">
        <v>35</v>
      </c>
      <c r="G107" s="34" t="s">
        <v>34</v>
      </c>
      <c r="H107" s="5" t="str">
        <f t="shared" si="1"/>
        <v>DEL5250</v>
      </c>
      <c r="I107" s="306">
        <v>37200</v>
      </c>
      <c r="J107" s="307">
        <v>26.289752650176698</v>
      </c>
      <c r="K107" s="6">
        <v>1415</v>
      </c>
      <c r="L107" s="5" t="s">
        <v>1902</v>
      </c>
      <c r="M107" s="62" t="s">
        <v>452</v>
      </c>
      <c r="N107" s="62" t="s">
        <v>464</v>
      </c>
      <c r="O107" s="62" t="s">
        <v>1945</v>
      </c>
      <c r="P107" s="100" t="s">
        <v>1895</v>
      </c>
      <c r="Q107" s="5" t="s">
        <v>1946</v>
      </c>
      <c r="R107" s="34" t="s">
        <v>1327</v>
      </c>
      <c r="S107" s="5" t="s">
        <v>1948</v>
      </c>
      <c r="T107" s="5" t="s">
        <v>445</v>
      </c>
    </row>
    <row r="108" spans="2:20" ht="14">
      <c r="B108" s="9"/>
      <c r="C108" s="5" t="s">
        <v>1857</v>
      </c>
      <c r="D108" s="214" t="s">
        <v>383</v>
      </c>
      <c r="E108" s="212" t="str">
        <f>+VLOOKUP(F108,Resumen_Base!$B$6:$F$69,5,0)</f>
        <v>Food &amp; Wine</v>
      </c>
      <c r="F108" s="5" t="s">
        <v>35</v>
      </c>
      <c r="G108" s="34" t="s">
        <v>34</v>
      </c>
      <c r="H108" s="5" t="str">
        <f t="shared" si="1"/>
        <v>DEL5250</v>
      </c>
      <c r="I108" s="306">
        <v>37200</v>
      </c>
      <c r="J108" s="307">
        <v>26.289752650176698</v>
      </c>
      <c r="K108" s="6">
        <v>1415</v>
      </c>
      <c r="L108" s="5" t="s">
        <v>1902</v>
      </c>
      <c r="M108" s="62" t="s">
        <v>452</v>
      </c>
      <c r="N108" s="62" t="s">
        <v>464</v>
      </c>
      <c r="O108" s="62" t="s">
        <v>1949</v>
      </c>
      <c r="P108" s="100" t="s">
        <v>1895</v>
      </c>
      <c r="Q108" s="5" t="s">
        <v>1950</v>
      </c>
      <c r="R108" s="34" t="s">
        <v>1327</v>
      </c>
      <c r="S108" s="5" t="s">
        <v>1951</v>
      </c>
      <c r="T108" s="5" t="s">
        <v>445</v>
      </c>
    </row>
    <row r="109" spans="2:20" ht="14">
      <c r="B109" s="9"/>
      <c r="C109" s="5" t="s">
        <v>1857</v>
      </c>
      <c r="D109" s="214" t="s">
        <v>383</v>
      </c>
      <c r="E109" s="212" t="str">
        <f>+VLOOKUP(F109,Resumen_Base!$B$6:$F$69,5,0)</f>
        <v>Food &amp; Wine</v>
      </c>
      <c r="F109" s="5" t="s">
        <v>35</v>
      </c>
      <c r="G109" s="34" t="s">
        <v>34</v>
      </c>
      <c r="H109" s="5" t="str">
        <f t="shared" si="1"/>
        <v>DEL5250</v>
      </c>
      <c r="I109" s="306">
        <v>-37200</v>
      </c>
      <c r="J109" s="307">
        <v>-26.289752650176698</v>
      </c>
      <c r="K109" s="6">
        <v>1415</v>
      </c>
      <c r="L109" s="5" t="s">
        <v>1902</v>
      </c>
      <c r="M109" s="62" t="s">
        <v>452</v>
      </c>
      <c r="N109" s="62" t="s">
        <v>464</v>
      </c>
      <c r="O109" s="62" t="s">
        <v>1952</v>
      </c>
      <c r="P109" s="100" t="s">
        <v>1895</v>
      </c>
      <c r="Q109" s="5" t="s">
        <v>1953</v>
      </c>
      <c r="R109" s="34" t="s">
        <v>1327</v>
      </c>
      <c r="S109" s="5" t="s">
        <v>1954</v>
      </c>
      <c r="T109" s="5" t="s">
        <v>445</v>
      </c>
    </row>
    <row r="110" spans="2:20" ht="14">
      <c r="B110" s="9"/>
      <c r="C110" s="5" t="s">
        <v>1857</v>
      </c>
      <c r="D110" s="214" t="s">
        <v>383</v>
      </c>
      <c r="E110" s="212" t="str">
        <f>+VLOOKUP(F110,Resumen_Base!$B$6:$F$69,5,0)</f>
        <v>Food &amp; Wine</v>
      </c>
      <c r="F110" s="5" t="s">
        <v>35</v>
      </c>
      <c r="G110" s="34" t="s">
        <v>34</v>
      </c>
      <c r="H110" s="5" t="str">
        <f t="shared" si="1"/>
        <v>DEL5250</v>
      </c>
      <c r="I110" s="306">
        <v>100465</v>
      </c>
      <c r="J110" s="307">
        <v>69.7673611111111</v>
      </c>
      <c r="K110" s="6">
        <v>1440</v>
      </c>
      <c r="L110" s="5" t="s">
        <v>1939</v>
      </c>
      <c r="M110" s="62" t="s">
        <v>452</v>
      </c>
      <c r="N110" s="62" t="s">
        <v>464</v>
      </c>
      <c r="O110" s="62" t="s">
        <v>1940</v>
      </c>
      <c r="P110" s="100" t="s">
        <v>1895</v>
      </c>
      <c r="Q110" s="5" t="s">
        <v>1941</v>
      </c>
      <c r="R110" s="34" t="s">
        <v>649</v>
      </c>
      <c r="S110" s="5" t="s">
        <v>1943</v>
      </c>
      <c r="T110" s="5" t="s">
        <v>445</v>
      </c>
    </row>
    <row r="111" spans="2:20" ht="14">
      <c r="B111" s="9"/>
      <c r="C111" s="5" t="s">
        <v>1857</v>
      </c>
      <c r="D111" s="214" t="s">
        <v>383</v>
      </c>
      <c r="E111" s="212" t="str">
        <f>+VLOOKUP(F111,Resumen_Base!$B$6:$F$69,5,0)</f>
        <v>Food &amp; Wine</v>
      </c>
      <c r="F111" s="5" t="s">
        <v>35</v>
      </c>
      <c r="G111" s="34" t="s">
        <v>34</v>
      </c>
      <c r="H111" s="5" t="str">
        <f t="shared" si="1"/>
        <v>DEL5250</v>
      </c>
      <c r="I111" s="306">
        <v>97152</v>
      </c>
      <c r="J111" s="307">
        <v>68.658657243816293</v>
      </c>
      <c r="K111" s="6">
        <v>1415</v>
      </c>
      <c r="L111" s="5" t="s">
        <v>1902</v>
      </c>
      <c r="M111" s="62" t="s">
        <v>452</v>
      </c>
      <c r="N111" s="62" t="s">
        <v>464</v>
      </c>
      <c r="O111" s="62" t="s">
        <v>1945</v>
      </c>
      <c r="P111" s="100" t="s">
        <v>1895</v>
      </c>
      <c r="Q111" s="5" t="s">
        <v>1946</v>
      </c>
      <c r="R111" s="34" t="s">
        <v>2034</v>
      </c>
      <c r="S111" s="5" t="s">
        <v>1948</v>
      </c>
      <c r="T111" s="5" t="s">
        <v>445</v>
      </c>
    </row>
    <row r="112" spans="2:20" ht="14">
      <c r="B112" s="9"/>
      <c r="C112" s="5" t="s">
        <v>1857</v>
      </c>
      <c r="D112" s="214" t="s">
        <v>383</v>
      </c>
      <c r="E112" s="212" t="str">
        <f>+VLOOKUP(F112,Resumen_Base!$B$6:$F$69,5,0)</f>
        <v>Food &amp; Wine</v>
      </c>
      <c r="F112" s="5" t="s">
        <v>35</v>
      </c>
      <c r="G112" s="34" t="s">
        <v>34</v>
      </c>
      <c r="H112" s="5" t="str">
        <f t="shared" si="1"/>
        <v>DEL5250</v>
      </c>
      <c r="I112" s="306">
        <v>97152</v>
      </c>
      <c r="J112" s="307">
        <v>68.658657243816293</v>
      </c>
      <c r="K112" s="6">
        <v>1415</v>
      </c>
      <c r="L112" s="5" t="s">
        <v>1902</v>
      </c>
      <c r="M112" s="62" t="s">
        <v>452</v>
      </c>
      <c r="N112" s="62" t="s">
        <v>464</v>
      </c>
      <c r="O112" s="62" t="s">
        <v>1949</v>
      </c>
      <c r="P112" s="100" t="s">
        <v>1895</v>
      </c>
      <c r="Q112" s="5" t="s">
        <v>1950</v>
      </c>
      <c r="R112" s="34" t="s">
        <v>2034</v>
      </c>
      <c r="S112" s="5" t="s">
        <v>1951</v>
      </c>
      <c r="T112" s="5" t="s">
        <v>445</v>
      </c>
    </row>
    <row r="113" spans="2:20" ht="14">
      <c r="B113" s="9"/>
      <c r="C113" s="5" t="s">
        <v>1857</v>
      </c>
      <c r="D113" s="214" t="s">
        <v>383</v>
      </c>
      <c r="E113" s="212" t="str">
        <f>+VLOOKUP(F113,Resumen_Base!$B$6:$F$69,5,0)</f>
        <v>Food &amp; Wine</v>
      </c>
      <c r="F113" s="5" t="s">
        <v>35</v>
      </c>
      <c r="G113" s="34" t="s">
        <v>34</v>
      </c>
      <c r="H113" s="5" t="str">
        <f t="shared" si="1"/>
        <v>DEL5250</v>
      </c>
      <c r="I113" s="306">
        <v>-97152</v>
      </c>
      <c r="J113" s="307">
        <v>-68.658657243816293</v>
      </c>
      <c r="K113" s="6">
        <v>1415</v>
      </c>
      <c r="L113" s="5" t="s">
        <v>1902</v>
      </c>
      <c r="M113" s="62" t="s">
        <v>452</v>
      </c>
      <c r="N113" s="62" t="s">
        <v>464</v>
      </c>
      <c r="O113" s="62" t="s">
        <v>1952</v>
      </c>
      <c r="P113" s="100" t="s">
        <v>1895</v>
      </c>
      <c r="Q113" s="5" t="s">
        <v>1953</v>
      </c>
      <c r="R113" s="34" t="s">
        <v>2034</v>
      </c>
      <c r="S113" s="5" t="s">
        <v>1954</v>
      </c>
      <c r="T113" s="5" t="s">
        <v>445</v>
      </c>
    </row>
    <row r="114" spans="2:20" ht="14">
      <c r="B114" s="9"/>
      <c r="C114" s="5" t="s">
        <v>1857</v>
      </c>
      <c r="D114" s="214" t="s">
        <v>383</v>
      </c>
      <c r="E114" s="212" t="str">
        <f>+VLOOKUP(F114,Resumen_Base!$B$6:$F$69,5,0)</f>
        <v>Food &amp; Wine</v>
      </c>
      <c r="F114" s="5" t="s">
        <v>35</v>
      </c>
      <c r="G114" s="34" t="s">
        <v>34</v>
      </c>
      <c r="H114" s="5" t="str">
        <f t="shared" si="1"/>
        <v>DEL5250</v>
      </c>
      <c r="I114" s="306">
        <v>9750</v>
      </c>
      <c r="J114" s="307">
        <v>6.8421052631578902</v>
      </c>
      <c r="K114" s="6">
        <v>1425</v>
      </c>
      <c r="L114" s="5" t="s">
        <v>1955</v>
      </c>
      <c r="M114" s="62" t="s">
        <v>452</v>
      </c>
      <c r="N114" s="62" t="s">
        <v>464</v>
      </c>
      <c r="O114" s="62" t="s">
        <v>1956</v>
      </c>
      <c r="P114" s="100" t="s">
        <v>1895</v>
      </c>
      <c r="Q114" s="5" t="s">
        <v>1957</v>
      </c>
      <c r="R114" s="34" t="s">
        <v>2049</v>
      </c>
      <c r="S114" s="5" t="s">
        <v>1959</v>
      </c>
      <c r="T114" s="5" t="s">
        <v>445</v>
      </c>
    </row>
    <row r="115" spans="2:20" ht="14">
      <c r="B115" s="9"/>
      <c r="C115" s="5" t="s">
        <v>1857</v>
      </c>
      <c r="D115" s="214" t="s">
        <v>383</v>
      </c>
      <c r="E115" s="212" t="str">
        <f>+VLOOKUP(F115,Resumen_Base!$B$6:$F$69,5,0)</f>
        <v>Food &amp; Wine</v>
      </c>
      <c r="F115" s="5" t="s">
        <v>35</v>
      </c>
      <c r="G115" s="34" t="s">
        <v>34</v>
      </c>
      <c r="H115" s="5" t="str">
        <f t="shared" si="1"/>
        <v>DEL5250</v>
      </c>
      <c r="I115" s="306">
        <v>32500</v>
      </c>
      <c r="J115" s="307">
        <v>22.8070175438597</v>
      </c>
      <c r="K115" s="6">
        <v>1425</v>
      </c>
      <c r="L115" s="5" t="s">
        <v>1955</v>
      </c>
      <c r="M115" s="62" t="s">
        <v>452</v>
      </c>
      <c r="N115" s="62" t="s">
        <v>464</v>
      </c>
      <c r="O115" s="62" t="s">
        <v>1956</v>
      </c>
      <c r="P115" s="100" t="s">
        <v>1895</v>
      </c>
      <c r="Q115" s="5" t="s">
        <v>1957</v>
      </c>
      <c r="R115" s="34" t="s">
        <v>634</v>
      </c>
      <c r="S115" s="5" t="s">
        <v>1959</v>
      </c>
      <c r="T115" s="5" t="s">
        <v>445</v>
      </c>
    </row>
    <row r="116" spans="2:20" ht="14">
      <c r="B116" s="9"/>
      <c r="C116" s="5" t="s">
        <v>1857</v>
      </c>
      <c r="D116" s="214" t="s">
        <v>383</v>
      </c>
      <c r="E116" s="212" t="str">
        <f>+VLOOKUP(F116,Resumen_Base!$B$6:$F$69,5,0)</f>
        <v>Food &amp; Wine</v>
      </c>
      <c r="F116" s="5" t="s">
        <v>35</v>
      </c>
      <c r="G116" s="34" t="s">
        <v>34</v>
      </c>
      <c r="H116" s="5" t="str">
        <f t="shared" si="1"/>
        <v>DEL5250</v>
      </c>
      <c r="I116" s="306">
        <v>3000</v>
      </c>
      <c r="J116" s="307">
        <v>2.1201413427561802</v>
      </c>
      <c r="K116" s="6">
        <v>1415</v>
      </c>
      <c r="L116" s="5" t="s">
        <v>1902</v>
      </c>
      <c r="M116" s="62" t="s">
        <v>452</v>
      </c>
      <c r="N116" s="62" t="s">
        <v>464</v>
      </c>
      <c r="O116" s="62" t="s">
        <v>1945</v>
      </c>
      <c r="P116" s="100" t="s">
        <v>1895</v>
      </c>
      <c r="Q116" s="5" t="s">
        <v>1946</v>
      </c>
      <c r="R116" s="34" t="s">
        <v>634</v>
      </c>
      <c r="S116" s="5" t="s">
        <v>1948</v>
      </c>
      <c r="T116" s="5" t="s">
        <v>445</v>
      </c>
    </row>
    <row r="117" spans="2:20" ht="14">
      <c r="B117" s="9"/>
      <c r="C117" s="5" t="s">
        <v>1857</v>
      </c>
      <c r="D117" s="214" t="s">
        <v>383</v>
      </c>
      <c r="E117" s="212" t="str">
        <f>+VLOOKUP(F117,Resumen_Base!$B$6:$F$69,5,0)</f>
        <v>Food &amp; Wine</v>
      </c>
      <c r="F117" s="5" t="s">
        <v>35</v>
      </c>
      <c r="G117" s="34" t="s">
        <v>34</v>
      </c>
      <c r="H117" s="5" t="str">
        <f t="shared" si="1"/>
        <v>DEL5250</v>
      </c>
      <c r="I117" s="306">
        <v>178860</v>
      </c>
      <c r="J117" s="307">
        <v>126.402826855124</v>
      </c>
      <c r="K117" s="6">
        <v>1415</v>
      </c>
      <c r="L117" s="5" t="s">
        <v>1902</v>
      </c>
      <c r="M117" s="62" t="s">
        <v>452</v>
      </c>
      <c r="N117" s="62" t="s">
        <v>464</v>
      </c>
      <c r="O117" s="62" t="s">
        <v>1945</v>
      </c>
      <c r="P117" s="100" t="s">
        <v>1895</v>
      </c>
      <c r="Q117" s="5" t="s">
        <v>1946</v>
      </c>
      <c r="R117" s="34" t="s">
        <v>634</v>
      </c>
      <c r="S117" s="5" t="s">
        <v>1948</v>
      </c>
      <c r="T117" s="5" t="s">
        <v>445</v>
      </c>
    </row>
    <row r="118" spans="2:20" ht="14">
      <c r="B118" s="9"/>
      <c r="C118" s="5" t="s">
        <v>1857</v>
      </c>
      <c r="D118" s="214" t="s">
        <v>383</v>
      </c>
      <c r="E118" s="212" t="str">
        <f>+VLOOKUP(F118,Resumen_Base!$B$6:$F$69,5,0)</f>
        <v>Food &amp; Wine</v>
      </c>
      <c r="F118" s="5" t="s">
        <v>35</v>
      </c>
      <c r="G118" s="34" t="s">
        <v>34</v>
      </c>
      <c r="H118" s="5" t="str">
        <f t="shared" si="1"/>
        <v>DEL5250</v>
      </c>
      <c r="I118" s="306">
        <v>45230</v>
      </c>
      <c r="J118" s="307">
        <v>31.964664310954099</v>
      </c>
      <c r="K118" s="6">
        <v>1415</v>
      </c>
      <c r="L118" s="5" t="s">
        <v>1902</v>
      </c>
      <c r="M118" s="62" t="s">
        <v>452</v>
      </c>
      <c r="N118" s="62" t="s">
        <v>464</v>
      </c>
      <c r="O118" s="62" t="s">
        <v>1945</v>
      </c>
      <c r="P118" s="100" t="s">
        <v>1895</v>
      </c>
      <c r="Q118" s="5" t="s">
        <v>1946</v>
      </c>
      <c r="R118" s="34" t="s">
        <v>634</v>
      </c>
      <c r="S118" s="5" t="s">
        <v>1948</v>
      </c>
      <c r="T118" s="5" t="s">
        <v>445</v>
      </c>
    </row>
    <row r="119" spans="2:20" ht="14">
      <c r="B119" s="9"/>
      <c r="C119" s="5" t="s">
        <v>1857</v>
      </c>
      <c r="D119" s="214" t="s">
        <v>383</v>
      </c>
      <c r="E119" s="212" t="str">
        <f>+VLOOKUP(F119,Resumen_Base!$B$6:$F$69,5,0)</f>
        <v>Food &amp; Wine</v>
      </c>
      <c r="F119" s="5" t="s">
        <v>35</v>
      </c>
      <c r="G119" s="34" t="s">
        <v>34</v>
      </c>
      <c r="H119" s="5" t="str">
        <f t="shared" si="1"/>
        <v>DEL5250</v>
      </c>
      <c r="I119" s="306">
        <v>178860</v>
      </c>
      <c r="J119" s="307">
        <v>126.402826855124</v>
      </c>
      <c r="K119" s="6">
        <v>1415</v>
      </c>
      <c r="L119" s="5" t="s">
        <v>1902</v>
      </c>
      <c r="M119" s="62" t="s">
        <v>452</v>
      </c>
      <c r="N119" s="62" t="s">
        <v>464</v>
      </c>
      <c r="O119" s="62" t="s">
        <v>1949</v>
      </c>
      <c r="P119" s="100" t="s">
        <v>1895</v>
      </c>
      <c r="Q119" s="5" t="s">
        <v>1950</v>
      </c>
      <c r="R119" s="34" t="s">
        <v>634</v>
      </c>
      <c r="S119" s="5" t="s">
        <v>1951</v>
      </c>
      <c r="T119" s="5" t="s">
        <v>445</v>
      </c>
    </row>
    <row r="120" spans="2:20" ht="14">
      <c r="B120" s="9"/>
      <c r="C120" s="5" t="s">
        <v>1857</v>
      </c>
      <c r="D120" s="214" t="s">
        <v>383</v>
      </c>
      <c r="E120" s="212" t="str">
        <f>+VLOOKUP(F120,Resumen_Base!$B$6:$F$69,5,0)</f>
        <v>Food &amp; Wine</v>
      </c>
      <c r="F120" s="5" t="s">
        <v>35</v>
      </c>
      <c r="G120" s="34" t="s">
        <v>34</v>
      </c>
      <c r="H120" s="5" t="str">
        <f t="shared" si="1"/>
        <v>DEL5250</v>
      </c>
      <c r="I120" s="306">
        <v>3000</v>
      </c>
      <c r="J120" s="307">
        <v>2.1201413427561802</v>
      </c>
      <c r="K120" s="6">
        <v>1415</v>
      </c>
      <c r="L120" s="5" t="s">
        <v>1902</v>
      </c>
      <c r="M120" s="62" t="s">
        <v>452</v>
      </c>
      <c r="N120" s="62" t="s">
        <v>464</v>
      </c>
      <c r="O120" s="62" t="s">
        <v>1949</v>
      </c>
      <c r="P120" s="100" t="s">
        <v>1895</v>
      </c>
      <c r="Q120" s="5" t="s">
        <v>1950</v>
      </c>
      <c r="R120" s="34" t="s">
        <v>634</v>
      </c>
      <c r="S120" s="5" t="s">
        <v>1951</v>
      </c>
      <c r="T120" s="5" t="s">
        <v>445</v>
      </c>
    </row>
    <row r="121" spans="2:20" ht="14">
      <c r="B121" s="9"/>
      <c r="C121" s="5" t="s">
        <v>1857</v>
      </c>
      <c r="D121" s="214" t="s">
        <v>383</v>
      </c>
      <c r="E121" s="212" t="str">
        <f>+VLOOKUP(F121,Resumen_Base!$B$6:$F$69,5,0)</f>
        <v>Food &amp; Wine</v>
      </c>
      <c r="F121" s="5" t="s">
        <v>35</v>
      </c>
      <c r="G121" s="34" t="s">
        <v>34</v>
      </c>
      <c r="H121" s="5" t="str">
        <f t="shared" si="1"/>
        <v>DEL5250</v>
      </c>
      <c r="I121" s="306">
        <v>45230</v>
      </c>
      <c r="J121" s="307">
        <v>31.964664310954099</v>
      </c>
      <c r="K121" s="6">
        <v>1415</v>
      </c>
      <c r="L121" s="5" t="s">
        <v>1902</v>
      </c>
      <c r="M121" s="62" t="s">
        <v>452</v>
      </c>
      <c r="N121" s="62" t="s">
        <v>464</v>
      </c>
      <c r="O121" s="62" t="s">
        <v>1949</v>
      </c>
      <c r="P121" s="100" t="s">
        <v>1895</v>
      </c>
      <c r="Q121" s="5" t="s">
        <v>1950</v>
      </c>
      <c r="R121" s="34" t="s">
        <v>634</v>
      </c>
      <c r="S121" s="5" t="s">
        <v>1951</v>
      </c>
      <c r="T121" s="5" t="s">
        <v>445</v>
      </c>
    </row>
    <row r="122" spans="2:20" ht="14">
      <c r="B122" s="9"/>
      <c r="C122" s="5" t="s">
        <v>1857</v>
      </c>
      <c r="D122" s="214" t="s">
        <v>383</v>
      </c>
      <c r="E122" s="212" t="str">
        <f>+VLOOKUP(F122,Resumen_Base!$B$6:$F$69,5,0)</f>
        <v>Food &amp; Wine</v>
      </c>
      <c r="F122" s="5" t="s">
        <v>35</v>
      </c>
      <c r="G122" s="34" t="s">
        <v>34</v>
      </c>
      <c r="H122" s="5" t="str">
        <f t="shared" si="1"/>
        <v>DEL5250</v>
      </c>
      <c r="I122" s="306">
        <v>-178860</v>
      </c>
      <c r="J122" s="307">
        <v>-126.402826855124</v>
      </c>
      <c r="K122" s="6">
        <v>1415</v>
      </c>
      <c r="L122" s="5" t="s">
        <v>1902</v>
      </c>
      <c r="M122" s="62" t="s">
        <v>452</v>
      </c>
      <c r="N122" s="62" t="s">
        <v>464</v>
      </c>
      <c r="O122" s="62" t="s">
        <v>1952</v>
      </c>
      <c r="P122" s="100" t="s">
        <v>1895</v>
      </c>
      <c r="Q122" s="5" t="s">
        <v>1953</v>
      </c>
      <c r="R122" s="34" t="s">
        <v>634</v>
      </c>
      <c r="S122" s="5" t="s">
        <v>1954</v>
      </c>
      <c r="T122" s="5" t="s">
        <v>445</v>
      </c>
    </row>
    <row r="123" spans="2:20" ht="14">
      <c r="B123" s="9"/>
      <c r="C123" s="5" t="s">
        <v>1857</v>
      </c>
      <c r="D123" s="214" t="s">
        <v>383</v>
      </c>
      <c r="E123" s="212" t="str">
        <f>+VLOOKUP(F123,Resumen_Base!$B$6:$F$69,5,0)</f>
        <v>Food &amp; Wine</v>
      </c>
      <c r="F123" s="5" t="s">
        <v>35</v>
      </c>
      <c r="G123" s="34" t="s">
        <v>34</v>
      </c>
      <c r="H123" s="5" t="str">
        <f t="shared" si="1"/>
        <v>DEL5250</v>
      </c>
      <c r="I123" s="306">
        <v>-3000</v>
      </c>
      <c r="J123" s="307">
        <v>-2.1201413427561802</v>
      </c>
      <c r="K123" s="6">
        <v>1415</v>
      </c>
      <c r="L123" s="5" t="s">
        <v>1902</v>
      </c>
      <c r="M123" s="62" t="s">
        <v>452</v>
      </c>
      <c r="N123" s="62" t="s">
        <v>464</v>
      </c>
      <c r="O123" s="62" t="s">
        <v>1952</v>
      </c>
      <c r="P123" s="100" t="s">
        <v>1895</v>
      </c>
      <c r="Q123" s="5" t="s">
        <v>1953</v>
      </c>
      <c r="R123" s="34" t="s">
        <v>634</v>
      </c>
      <c r="S123" s="5" t="s">
        <v>1954</v>
      </c>
      <c r="T123" s="5" t="s">
        <v>445</v>
      </c>
    </row>
    <row r="124" spans="2:20" ht="14">
      <c r="B124" s="9"/>
      <c r="C124" s="5" t="s">
        <v>1857</v>
      </c>
      <c r="D124" s="214" t="s">
        <v>383</v>
      </c>
      <c r="E124" s="212" t="str">
        <f>+VLOOKUP(F124,Resumen_Base!$B$6:$F$69,5,0)</f>
        <v>Food &amp; Wine</v>
      </c>
      <c r="F124" s="5" t="s">
        <v>35</v>
      </c>
      <c r="G124" s="34" t="s">
        <v>34</v>
      </c>
      <c r="H124" s="5" t="str">
        <f t="shared" si="1"/>
        <v>DEL5250</v>
      </c>
      <c r="I124" s="306">
        <v>-45230</v>
      </c>
      <c r="J124" s="307">
        <v>-31.964664310954099</v>
      </c>
      <c r="K124" s="6">
        <v>1415</v>
      </c>
      <c r="L124" s="5" t="s">
        <v>1902</v>
      </c>
      <c r="M124" s="62" t="s">
        <v>452</v>
      </c>
      <c r="N124" s="62" t="s">
        <v>464</v>
      </c>
      <c r="O124" s="62" t="s">
        <v>1952</v>
      </c>
      <c r="P124" s="100" t="s">
        <v>1895</v>
      </c>
      <c r="Q124" s="5" t="s">
        <v>1953</v>
      </c>
      <c r="R124" s="34" t="s">
        <v>634</v>
      </c>
      <c r="S124" s="5" t="s">
        <v>1954</v>
      </c>
      <c r="T124" s="5" t="s">
        <v>445</v>
      </c>
    </row>
    <row r="125" spans="2:20" ht="14">
      <c r="B125" s="9"/>
      <c r="C125" s="5" t="s">
        <v>1857</v>
      </c>
      <c r="D125" s="214" t="s">
        <v>383</v>
      </c>
      <c r="E125" s="212" t="str">
        <f>+VLOOKUP(F125,Resumen_Base!$B$6:$F$69,5,0)</f>
        <v>Food &amp; Wine</v>
      </c>
      <c r="F125" s="5" t="s">
        <v>35</v>
      </c>
      <c r="G125" s="34" t="s">
        <v>34</v>
      </c>
      <c r="H125" s="5" t="str">
        <f t="shared" si="1"/>
        <v>DEL5250</v>
      </c>
      <c r="I125" s="306">
        <v>39500</v>
      </c>
      <c r="J125" s="307">
        <v>27.4305555555556</v>
      </c>
      <c r="K125" s="6">
        <v>1440</v>
      </c>
      <c r="L125" s="5" t="s">
        <v>1939</v>
      </c>
      <c r="M125" s="62" t="s">
        <v>452</v>
      </c>
      <c r="N125" s="62" t="s">
        <v>464</v>
      </c>
      <c r="O125" s="62" t="s">
        <v>1940</v>
      </c>
      <c r="P125" s="100" t="s">
        <v>1895</v>
      </c>
      <c r="Q125" s="5" t="s">
        <v>1941</v>
      </c>
      <c r="R125" s="34" t="s">
        <v>2050</v>
      </c>
      <c r="S125" s="5" t="s">
        <v>1943</v>
      </c>
      <c r="T125" s="5" t="s">
        <v>445</v>
      </c>
    </row>
    <row r="126" spans="2:20" ht="14">
      <c r="B126" s="9"/>
      <c r="C126" s="5" t="s">
        <v>1857</v>
      </c>
      <c r="D126" s="214" t="s">
        <v>383</v>
      </c>
      <c r="E126" s="212" t="str">
        <f>+VLOOKUP(F126,Resumen_Base!$B$6:$F$69,5,0)</f>
        <v>Food &amp; Wine</v>
      </c>
      <c r="F126" s="5" t="s">
        <v>35</v>
      </c>
      <c r="G126" s="34" t="s">
        <v>34</v>
      </c>
      <c r="H126" s="5" t="str">
        <f t="shared" si="1"/>
        <v>DEL5250</v>
      </c>
      <c r="I126" s="306">
        <v>215392</v>
      </c>
      <c r="J126" s="307">
        <v>151.15228070175399</v>
      </c>
      <c r="K126" s="6">
        <v>1425</v>
      </c>
      <c r="L126" s="5" t="s">
        <v>1955</v>
      </c>
      <c r="M126" s="62" t="s">
        <v>452</v>
      </c>
      <c r="N126" s="62" t="s">
        <v>464</v>
      </c>
      <c r="O126" s="62" t="s">
        <v>1956</v>
      </c>
      <c r="P126" s="100" t="s">
        <v>1895</v>
      </c>
      <c r="Q126" s="5" t="s">
        <v>1957</v>
      </c>
      <c r="R126" s="34" t="s">
        <v>760</v>
      </c>
      <c r="S126" s="5" t="s">
        <v>1959</v>
      </c>
      <c r="T126" s="5" t="s">
        <v>445</v>
      </c>
    </row>
    <row r="127" spans="2:20" ht="14">
      <c r="B127" s="9"/>
      <c r="C127" s="5" t="s">
        <v>1857</v>
      </c>
      <c r="D127" s="214" t="s">
        <v>383</v>
      </c>
      <c r="E127" s="212" t="str">
        <f>+VLOOKUP(F127,Resumen_Base!$B$6:$F$69,5,0)</f>
        <v>Food &amp; Wine</v>
      </c>
      <c r="F127" s="5" t="s">
        <v>35</v>
      </c>
      <c r="G127" s="34" t="s">
        <v>34</v>
      </c>
      <c r="H127" s="5" t="str">
        <f t="shared" si="1"/>
        <v>DEL5250</v>
      </c>
      <c r="I127" s="306">
        <v>56550</v>
      </c>
      <c r="J127" s="307">
        <v>39.2708333333333</v>
      </c>
      <c r="K127" s="6">
        <v>1440</v>
      </c>
      <c r="L127" s="5" t="s">
        <v>1939</v>
      </c>
      <c r="M127" s="62" t="s">
        <v>452</v>
      </c>
      <c r="N127" s="62" t="s">
        <v>464</v>
      </c>
      <c r="O127" s="62" t="s">
        <v>1940</v>
      </c>
      <c r="P127" s="100" t="s">
        <v>1895</v>
      </c>
      <c r="Q127" s="5" t="s">
        <v>1941</v>
      </c>
      <c r="R127" s="34" t="s">
        <v>1341</v>
      </c>
      <c r="S127" s="5" t="s">
        <v>1943</v>
      </c>
      <c r="T127" s="5" t="s">
        <v>445</v>
      </c>
    </row>
    <row r="128" spans="2:20" ht="14">
      <c r="B128" s="9"/>
      <c r="C128" s="5" t="s">
        <v>1857</v>
      </c>
      <c r="D128" s="214" t="s">
        <v>383</v>
      </c>
      <c r="E128" s="212" t="str">
        <f>+VLOOKUP(F128,Resumen_Base!$B$6:$F$69,5,0)</f>
        <v>Food &amp; Wine</v>
      </c>
      <c r="F128" s="5" t="s">
        <v>35</v>
      </c>
      <c r="G128" s="34" t="s">
        <v>34</v>
      </c>
      <c r="H128" s="5" t="str">
        <f t="shared" si="1"/>
        <v>DEL5250</v>
      </c>
      <c r="I128" s="306">
        <v>40746</v>
      </c>
      <c r="J128" s="307">
        <v>28.593684210526298</v>
      </c>
      <c r="K128" s="6">
        <v>1425</v>
      </c>
      <c r="L128" s="5" t="s">
        <v>1969</v>
      </c>
      <c r="M128" s="62" t="s">
        <v>452</v>
      </c>
      <c r="N128" s="62" t="s">
        <v>464</v>
      </c>
      <c r="O128" s="62" t="s">
        <v>1970</v>
      </c>
      <c r="P128" s="100" t="s">
        <v>1895</v>
      </c>
      <c r="Q128" s="5" t="s">
        <v>1971</v>
      </c>
      <c r="R128" s="34" t="s">
        <v>763</v>
      </c>
      <c r="S128" s="5" t="s">
        <v>1972</v>
      </c>
      <c r="T128" s="5" t="s">
        <v>445</v>
      </c>
    </row>
    <row r="129" spans="1:20" ht="14">
      <c r="B129" s="9"/>
      <c r="C129" s="5" t="s">
        <v>1857</v>
      </c>
      <c r="D129" s="214" t="s">
        <v>383</v>
      </c>
      <c r="E129" s="212" t="str">
        <f>+VLOOKUP(F129,Resumen_Base!$B$6:$F$69,5,0)</f>
        <v>Food &amp; Wine</v>
      </c>
      <c r="F129" s="5" t="s">
        <v>35</v>
      </c>
      <c r="G129" s="34" t="s">
        <v>34</v>
      </c>
      <c r="H129" s="5" t="str">
        <f t="shared" si="1"/>
        <v>DEL5250</v>
      </c>
      <c r="I129" s="306">
        <v>2059263</v>
      </c>
      <c r="J129" s="307">
        <v>1445.0968421052601</v>
      </c>
      <c r="K129" s="6">
        <v>1425</v>
      </c>
      <c r="L129" s="5" t="s">
        <v>2074</v>
      </c>
      <c r="M129" s="62" t="s">
        <v>452</v>
      </c>
      <c r="N129" s="62" t="s">
        <v>464</v>
      </c>
      <c r="O129" s="62" t="s">
        <v>2083</v>
      </c>
      <c r="P129" s="100" t="s">
        <v>1895</v>
      </c>
      <c r="Q129" s="5" t="s">
        <v>2084</v>
      </c>
      <c r="R129" s="34" t="s">
        <v>2085</v>
      </c>
      <c r="S129" s="5" t="s">
        <v>2086</v>
      </c>
      <c r="T129" s="5" t="s">
        <v>445</v>
      </c>
    </row>
    <row r="130" spans="1:20" ht="14">
      <c r="B130" s="9"/>
      <c r="C130" s="5" t="s">
        <v>1857</v>
      </c>
      <c r="D130" s="214" t="s">
        <v>383</v>
      </c>
      <c r="E130" s="212" t="str">
        <f>+VLOOKUP(F130,Resumen_Base!$B$6:$F$69,5,0)</f>
        <v>Food &amp; Wine</v>
      </c>
      <c r="F130" s="5" t="s">
        <v>35</v>
      </c>
      <c r="G130" s="34" t="s">
        <v>34</v>
      </c>
      <c r="H130" s="5" t="str">
        <f t="shared" si="1"/>
        <v>DEL5250</v>
      </c>
      <c r="I130" s="306">
        <v>376220</v>
      </c>
      <c r="J130" s="307">
        <v>264.01403508771898</v>
      </c>
      <c r="K130" s="6">
        <v>1425</v>
      </c>
      <c r="L130" s="5" t="s">
        <v>1893</v>
      </c>
      <c r="M130" s="62" t="s">
        <v>452</v>
      </c>
      <c r="N130" s="62" t="s">
        <v>464</v>
      </c>
      <c r="O130" s="62" t="s">
        <v>2079</v>
      </c>
      <c r="P130" s="100" t="s">
        <v>1895</v>
      </c>
      <c r="Q130" s="5" t="s">
        <v>2080</v>
      </c>
      <c r="R130" s="34" t="s">
        <v>2087</v>
      </c>
      <c r="S130" s="5" t="s">
        <v>2082</v>
      </c>
      <c r="T130" s="5" t="s">
        <v>445</v>
      </c>
    </row>
    <row r="131" spans="1:20" ht="14">
      <c r="B131" s="9"/>
      <c r="C131" s="5" t="s">
        <v>1857</v>
      </c>
      <c r="D131" s="214" t="s">
        <v>383</v>
      </c>
      <c r="E131" s="212" t="str">
        <f>+VLOOKUP(F131,Resumen_Base!$B$6:$F$69,5,0)</f>
        <v>Food &amp; Wine</v>
      </c>
      <c r="F131" s="5" t="s">
        <v>33</v>
      </c>
      <c r="G131" s="34" t="s">
        <v>32</v>
      </c>
      <c r="H131" s="5" t="str">
        <f t="shared" si="1"/>
        <v>DEL5251</v>
      </c>
      <c r="I131" s="306">
        <v>98214</v>
      </c>
      <c r="J131" s="307">
        <v>69.409187279151894</v>
      </c>
      <c r="K131" s="6">
        <v>1415</v>
      </c>
      <c r="L131" s="5" t="s">
        <v>1902</v>
      </c>
      <c r="M131" s="62" t="s">
        <v>452</v>
      </c>
      <c r="N131" s="62" t="s">
        <v>464</v>
      </c>
      <c r="O131" s="62" t="s">
        <v>1945</v>
      </c>
      <c r="P131" s="100" t="s">
        <v>1895</v>
      </c>
      <c r="Q131" s="5" t="s">
        <v>1946</v>
      </c>
      <c r="R131" s="34" t="s">
        <v>1585</v>
      </c>
      <c r="S131" s="5" t="s">
        <v>1948</v>
      </c>
      <c r="T131" s="5" t="s">
        <v>445</v>
      </c>
    </row>
    <row r="132" spans="1:20" ht="14">
      <c r="B132" s="9"/>
      <c r="C132" s="5" t="s">
        <v>1857</v>
      </c>
      <c r="D132" s="214" t="s">
        <v>383</v>
      </c>
      <c r="E132" s="212" t="str">
        <f>+VLOOKUP(F132,Resumen_Base!$B$6:$F$69,5,0)</f>
        <v>Food &amp; Wine</v>
      </c>
      <c r="F132" s="5" t="s">
        <v>33</v>
      </c>
      <c r="G132" s="34" t="s">
        <v>32</v>
      </c>
      <c r="H132" s="5" t="str">
        <f t="shared" si="1"/>
        <v>DEL5251</v>
      </c>
      <c r="I132" s="306">
        <v>98214</v>
      </c>
      <c r="J132" s="307">
        <v>69.409187279151894</v>
      </c>
      <c r="K132" s="6">
        <v>1415</v>
      </c>
      <c r="L132" s="5" t="s">
        <v>1902</v>
      </c>
      <c r="M132" s="62" t="s">
        <v>452</v>
      </c>
      <c r="N132" s="62" t="s">
        <v>464</v>
      </c>
      <c r="O132" s="62" t="s">
        <v>1949</v>
      </c>
      <c r="P132" s="100" t="s">
        <v>1895</v>
      </c>
      <c r="Q132" s="5" t="s">
        <v>1950</v>
      </c>
      <c r="R132" s="34" t="s">
        <v>1585</v>
      </c>
      <c r="S132" s="5" t="s">
        <v>1951</v>
      </c>
      <c r="T132" s="5" t="s">
        <v>445</v>
      </c>
    </row>
    <row r="133" spans="1:20" ht="14">
      <c r="B133" s="9"/>
      <c r="C133" s="5" t="s">
        <v>1857</v>
      </c>
      <c r="D133" s="214" t="s">
        <v>383</v>
      </c>
      <c r="E133" s="212" t="str">
        <f>+VLOOKUP(F133,Resumen_Base!$B$6:$F$69,5,0)</f>
        <v>Food &amp; Wine</v>
      </c>
      <c r="F133" s="5" t="s">
        <v>33</v>
      </c>
      <c r="G133" s="34" t="s">
        <v>32</v>
      </c>
      <c r="H133" s="5" t="str">
        <f t="shared" si="1"/>
        <v>DEL5251</v>
      </c>
      <c r="I133" s="306">
        <v>-98214</v>
      </c>
      <c r="J133" s="307">
        <v>-69.409187279151894</v>
      </c>
      <c r="K133" s="6">
        <v>1415</v>
      </c>
      <c r="L133" s="5" t="s">
        <v>1902</v>
      </c>
      <c r="M133" s="62" t="s">
        <v>452</v>
      </c>
      <c r="N133" s="62" t="s">
        <v>464</v>
      </c>
      <c r="O133" s="62" t="s">
        <v>1952</v>
      </c>
      <c r="P133" s="100" t="s">
        <v>1895</v>
      </c>
      <c r="Q133" s="5" t="s">
        <v>1953</v>
      </c>
      <c r="R133" s="34" t="s">
        <v>1585</v>
      </c>
      <c r="S133" s="5" t="s">
        <v>1954</v>
      </c>
      <c r="T133" s="5" t="s">
        <v>445</v>
      </c>
    </row>
    <row r="134" spans="1:20" ht="14">
      <c r="B134" s="9"/>
      <c r="C134" s="5" t="s">
        <v>1857</v>
      </c>
      <c r="D134" s="214" t="s">
        <v>383</v>
      </c>
      <c r="E134" s="212" t="str">
        <f>+VLOOKUP(F134,Resumen_Base!$B$6:$F$69,5,0)</f>
        <v>Food &amp; Wine</v>
      </c>
      <c r="F134" s="5" t="s">
        <v>33</v>
      </c>
      <c r="G134" s="34" t="s">
        <v>32</v>
      </c>
      <c r="H134" s="5" t="str">
        <f t="shared" si="1"/>
        <v>DEL5251</v>
      </c>
      <c r="I134" s="306">
        <v>23900</v>
      </c>
      <c r="J134" s="307">
        <v>16.5972222222222</v>
      </c>
      <c r="K134" s="6">
        <v>1440</v>
      </c>
      <c r="L134" s="5" t="s">
        <v>1939</v>
      </c>
      <c r="M134" s="62" t="s">
        <v>452</v>
      </c>
      <c r="N134" s="62" t="s">
        <v>464</v>
      </c>
      <c r="O134" s="62" t="s">
        <v>1940</v>
      </c>
      <c r="P134" s="100" t="s">
        <v>1895</v>
      </c>
      <c r="Q134" s="5" t="s">
        <v>1941</v>
      </c>
      <c r="R134" s="34" t="s">
        <v>634</v>
      </c>
      <c r="S134" s="5" t="s">
        <v>1943</v>
      </c>
      <c r="T134" s="5" t="s">
        <v>445</v>
      </c>
    </row>
    <row r="135" spans="1:20" ht="14">
      <c r="B135" s="9"/>
      <c r="C135" s="5" t="s">
        <v>1857</v>
      </c>
      <c r="D135" s="214" t="s">
        <v>383</v>
      </c>
      <c r="E135" s="212" t="str">
        <f>+VLOOKUP(F135,Resumen_Base!$B$6:$F$69,5,0)</f>
        <v>Maintenance Lodge</v>
      </c>
      <c r="F135" s="5" t="s">
        <v>31</v>
      </c>
      <c r="G135" s="34" t="s">
        <v>30</v>
      </c>
      <c r="H135" s="5" t="str">
        <f t="shared" si="1"/>
        <v>DEL5252</v>
      </c>
      <c r="I135" s="306">
        <v>10800</v>
      </c>
      <c r="J135" s="307">
        <v>7.5</v>
      </c>
      <c r="K135" s="6">
        <v>1440</v>
      </c>
      <c r="L135" s="5" t="s">
        <v>1939</v>
      </c>
      <c r="M135" s="62" t="s">
        <v>452</v>
      </c>
      <c r="N135" s="62" t="s">
        <v>464</v>
      </c>
      <c r="O135" s="62" t="s">
        <v>1940</v>
      </c>
      <c r="P135" s="100" t="s">
        <v>1895</v>
      </c>
      <c r="Q135" s="5" t="s">
        <v>1941</v>
      </c>
      <c r="R135" s="34" t="s">
        <v>1944</v>
      </c>
      <c r="S135" s="5" t="s">
        <v>1943</v>
      </c>
      <c r="T135" s="5" t="s">
        <v>445</v>
      </c>
    </row>
    <row r="136" spans="1:20" ht="14">
      <c r="A136" s="341" t="s">
        <v>2167</v>
      </c>
      <c r="B136" s="88" t="s">
        <v>2175</v>
      </c>
      <c r="C136" s="5" t="s">
        <v>1857</v>
      </c>
      <c r="D136" s="214" t="s">
        <v>383</v>
      </c>
      <c r="E136" s="212" t="str">
        <f>+VLOOKUP(F136,Resumen_Base!$B$6:$F$69,5,0)</f>
        <v>Work uniforms for personnel (employees)</v>
      </c>
      <c r="F136" s="179" t="s">
        <v>56</v>
      </c>
      <c r="G136" s="168" t="s">
        <v>57</v>
      </c>
      <c r="H136" s="5" t="str">
        <f t="shared" si="1"/>
        <v>DEL5220</v>
      </c>
      <c r="I136" s="306">
        <v>176000</v>
      </c>
      <c r="J136" s="307">
        <v>124.381625441696</v>
      </c>
      <c r="K136" s="6">
        <v>1415</v>
      </c>
      <c r="L136" s="5" t="s">
        <v>1902</v>
      </c>
      <c r="M136" s="62" t="s">
        <v>452</v>
      </c>
      <c r="N136" s="62" t="s">
        <v>464</v>
      </c>
      <c r="O136" s="62" t="s">
        <v>1945</v>
      </c>
      <c r="P136" s="100" t="s">
        <v>1895</v>
      </c>
      <c r="Q136" s="5" t="s">
        <v>1946</v>
      </c>
      <c r="R136" s="34" t="s">
        <v>1960</v>
      </c>
      <c r="S136" s="5" t="s">
        <v>1948</v>
      </c>
      <c r="T136" s="5" t="s">
        <v>445</v>
      </c>
    </row>
    <row r="137" spans="1:20" ht="14">
      <c r="B137" s="9"/>
      <c r="C137" s="5" t="s">
        <v>1857</v>
      </c>
      <c r="D137" s="214" t="s">
        <v>383</v>
      </c>
      <c r="E137" s="212" t="str">
        <f>+VLOOKUP(F137,Resumen_Base!$B$6:$F$69,5,0)</f>
        <v>Maintenance Lodge</v>
      </c>
      <c r="F137" s="5" t="s">
        <v>31</v>
      </c>
      <c r="G137" s="34" t="s">
        <v>30</v>
      </c>
      <c r="H137" s="5" t="str">
        <f t="shared" si="1"/>
        <v>DEL5252</v>
      </c>
      <c r="I137" s="306">
        <v>176000</v>
      </c>
      <c r="J137" s="307">
        <v>124.381625441696</v>
      </c>
      <c r="K137" s="6">
        <v>1415</v>
      </c>
      <c r="L137" s="5" t="s">
        <v>1902</v>
      </c>
      <c r="M137" s="62" t="s">
        <v>452</v>
      </c>
      <c r="N137" s="62" t="s">
        <v>464</v>
      </c>
      <c r="O137" s="62" t="s">
        <v>1949</v>
      </c>
      <c r="P137" s="100" t="s">
        <v>1895</v>
      </c>
      <c r="Q137" s="5" t="s">
        <v>1950</v>
      </c>
      <c r="R137" s="34" t="s">
        <v>1960</v>
      </c>
      <c r="S137" s="5" t="s">
        <v>1951</v>
      </c>
      <c r="T137" s="5" t="s">
        <v>445</v>
      </c>
    </row>
    <row r="138" spans="1:20" ht="14">
      <c r="B138" s="9"/>
      <c r="C138" s="5" t="s">
        <v>1857</v>
      </c>
      <c r="D138" s="214" t="s">
        <v>383</v>
      </c>
      <c r="E138" s="212" t="str">
        <f>+VLOOKUP(F138,Resumen_Base!$B$6:$F$69,5,0)</f>
        <v>Maintenance Lodge</v>
      </c>
      <c r="F138" s="5" t="s">
        <v>31</v>
      </c>
      <c r="G138" s="34" t="s">
        <v>30</v>
      </c>
      <c r="H138" s="5" t="str">
        <f t="shared" si="1"/>
        <v>DEL5252</v>
      </c>
      <c r="I138" s="306">
        <v>-176000</v>
      </c>
      <c r="J138" s="307">
        <v>-124.381625441696</v>
      </c>
      <c r="K138" s="6">
        <v>1415</v>
      </c>
      <c r="L138" s="5" t="s">
        <v>1902</v>
      </c>
      <c r="M138" s="62" t="s">
        <v>452</v>
      </c>
      <c r="N138" s="62" t="s">
        <v>464</v>
      </c>
      <c r="O138" s="62" t="s">
        <v>1952</v>
      </c>
      <c r="P138" s="100" t="s">
        <v>1895</v>
      </c>
      <c r="Q138" s="5" t="s">
        <v>1953</v>
      </c>
      <c r="R138" s="34" t="s">
        <v>1960</v>
      </c>
      <c r="S138" s="5" t="s">
        <v>1954</v>
      </c>
      <c r="T138" s="5" t="s">
        <v>445</v>
      </c>
    </row>
    <row r="139" spans="1:20" ht="14">
      <c r="B139" s="9"/>
      <c r="C139" s="5" t="s">
        <v>1857</v>
      </c>
      <c r="D139" s="214" t="s">
        <v>383</v>
      </c>
      <c r="E139" s="212" t="str">
        <f>+VLOOKUP(F139,Resumen_Base!$B$6:$F$69,5,0)</f>
        <v>Maintenance Lodge</v>
      </c>
      <c r="F139" s="5" t="s">
        <v>31</v>
      </c>
      <c r="G139" s="34" t="s">
        <v>30</v>
      </c>
      <c r="H139" s="5" t="str">
        <f t="shared" si="1"/>
        <v>DEL5252</v>
      </c>
      <c r="I139" s="306">
        <v>76000</v>
      </c>
      <c r="J139" s="307">
        <v>52.7777777777778</v>
      </c>
      <c r="K139" s="6">
        <v>1440</v>
      </c>
      <c r="L139" s="5" t="s">
        <v>1939</v>
      </c>
      <c r="M139" s="62" t="s">
        <v>452</v>
      </c>
      <c r="N139" s="62" t="s">
        <v>464</v>
      </c>
      <c r="O139" s="62" t="s">
        <v>1940</v>
      </c>
      <c r="P139" s="100" t="s">
        <v>1895</v>
      </c>
      <c r="Q139" s="5" t="s">
        <v>1941</v>
      </c>
      <c r="R139" s="34" t="s">
        <v>1964</v>
      </c>
      <c r="S139" s="5" t="s">
        <v>1943</v>
      </c>
      <c r="T139" s="5" t="s">
        <v>445</v>
      </c>
    </row>
    <row r="140" spans="1:20" ht="14">
      <c r="B140" s="9"/>
      <c r="C140" s="5" t="s">
        <v>1857</v>
      </c>
      <c r="D140" s="214" t="s">
        <v>383</v>
      </c>
      <c r="E140" s="212" t="str">
        <f>+VLOOKUP(F140,Resumen_Base!$B$6:$F$69,5,0)</f>
        <v>Maintenance Lodge</v>
      </c>
      <c r="F140" s="5" t="s">
        <v>31</v>
      </c>
      <c r="G140" s="34" t="s">
        <v>30</v>
      </c>
      <c r="H140" s="5" t="str">
        <f t="shared" ref="H140:H205" si="2">+D140&amp;F140</f>
        <v>DEL5252</v>
      </c>
      <c r="I140" s="306">
        <v>76200</v>
      </c>
      <c r="J140" s="307">
        <v>53.851590106007102</v>
      </c>
      <c r="K140" s="6">
        <v>1415</v>
      </c>
      <c r="L140" s="5" t="s">
        <v>1902</v>
      </c>
      <c r="M140" s="62" t="s">
        <v>452</v>
      </c>
      <c r="N140" s="62" t="s">
        <v>464</v>
      </c>
      <c r="O140" s="62" t="s">
        <v>1945</v>
      </c>
      <c r="P140" s="100" t="s">
        <v>1895</v>
      </c>
      <c r="Q140" s="5" t="s">
        <v>1946</v>
      </c>
      <c r="R140" s="34" t="s">
        <v>1967</v>
      </c>
      <c r="S140" s="5" t="s">
        <v>1948</v>
      </c>
      <c r="T140" s="5" t="s">
        <v>445</v>
      </c>
    </row>
    <row r="141" spans="1:20" ht="14">
      <c r="B141" s="9"/>
      <c r="C141" s="5" t="s">
        <v>1857</v>
      </c>
      <c r="D141" s="214" t="s">
        <v>383</v>
      </c>
      <c r="E141" s="212" t="str">
        <f>+VLOOKUP(F141,Resumen_Base!$B$6:$F$69,5,0)</f>
        <v>Maintenance Lodge</v>
      </c>
      <c r="F141" s="5" t="s">
        <v>31</v>
      </c>
      <c r="G141" s="34" t="s">
        <v>30</v>
      </c>
      <c r="H141" s="5" t="str">
        <f t="shared" si="2"/>
        <v>DEL5252</v>
      </c>
      <c r="I141" s="306">
        <v>76200</v>
      </c>
      <c r="J141" s="307">
        <v>53.851590106007102</v>
      </c>
      <c r="K141" s="6">
        <v>1415</v>
      </c>
      <c r="L141" s="5" t="s">
        <v>1902</v>
      </c>
      <c r="M141" s="62" t="s">
        <v>452</v>
      </c>
      <c r="N141" s="62" t="s">
        <v>464</v>
      </c>
      <c r="O141" s="62" t="s">
        <v>1949</v>
      </c>
      <c r="P141" s="100" t="s">
        <v>1895</v>
      </c>
      <c r="Q141" s="5" t="s">
        <v>1950</v>
      </c>
      <c r="R141" s="34" t="s">
        <v>1967</v>
      </c>
      <c r="S141" s="5" t="s">
        <v>1951</v>
      </c>
      <c r="T141" s="5" t="s">
        <v>445</v>
      </c>
    </row>
    <row r="142" spans="1:20" ht="14">
      <c r="B142" s="9"/>
      <c r="C142" s="5" t="s">
        <v>1857</v>
      </c>
      <c r="D142" s="214" t="s">
        <v>383</v>
      </c>
      <c r="E142" s="212" t="str">
        <f>+VLOOKUP(F142,Resumen_Base!$B$6:$F$69,5,0)</f>
        <v>Maintenance Lodge</v>
      </c>
      <c r="F142" s="5" t="s">
        <v>31</v>
      </c>
      <c r="G142" s="34" t="s">
        <v>30</v>
      </c>
      <c r="H142" s="5" t="str">
        <f t="shared" si="2"/>
        <v>DEL5252</v>
      </c>
      <c r="I142" s="306">
        <v>-76200</v>
      </c>
      <c r="J142" s="307">
        <v>-53.851590106007102</v>
      </c>
      <c r="K142" s="6">
        <v>1415</v>
      </c>
      <c r="L142" s="5" t="s">
        <v>1902</v>
      </c>
      <c r="M142" s="62" t="s">
        <v>452</v>
      </c>
      <c r="N142" s="62" t="s">
        <v>464</v>
      </c>
      <c r="O142" s="62" t="s">
        <v>1952</v>
      </c>
      <c r="P142" s="100" t="s">
        <v>1895</v>
      </c>
      <c r="Q142" s="5" t="s">
        <v>1953</v>
      </c>
      <c r="R142" s="34" t="s">
        <v>1967</v>
      </c>
      <c r="S142" s="5" t="s">
        <v>1954</v>
      </c>
      <c r="T142" s="5" t="s">
        <v>445</v>
      </c>
    </row>
    <row r="143" spans="1:20" ht="14">
      <c r="B143" s="9"/>
      <c r="C143" s="5" t="s">
        <v>1857</v>
      </c>
      <c r="D143" s="214" t="s">
        <v>383</v>
      </c>
      <c r="E143" s="212" t="str">
        <f>+VLOOKUP(F143,Resumen_Base!$B$6:$F$69,5,0)</f>
        <v>Maintenance Lodge</v>
      </c>
      <c r="F143" s="5" t="s">
        <v>31</v>
      </c>
      <c r="G143" s="34" t="s">
        <v>30</v>
      </c>
      <c r="H143" s="5" t="str">
        <f t="shared" si="2"/>
        <v>DEL5252</v>
      </c>
      <c r="I143" s="306">
        <v>40500</v>
      </c>
      <c r="J143" s="307">
        <v>28.621908127208499</v>
      </c>
      <c r="K143" s="6">
        <v>1415</v>
      </c>
      <c r="L143" s="5" t="s">
        <v>1902</v>
      </c>
      <c r="M143" s="62" t="s">
        <v>452</v>
      </c>
      <c r="N143" s="62" t="s">
        <v>464</v>
      </c>
      <c r="O143" s="62" t="s">
        <v>1945</v>
      </c>
      <c r="P143" s="100" t="s">
        <v>1895</v>
      </c>
      <c r="Q143" s="5" t="s">
        <v>1946</v>
      </c>
      <c r="R143" s="34" t="s">
        <v>1973</v>
      </c>
      <c r="S143" s="5" t="s">
        <v>1948</v>
      </c>
      <c r="T143" s="5" t="s">
        <v>445</v>
      </c>
    </row>
    <row r="144" spans="1:20" ht="14">
      <c r="B144" s="9"/>
      <c r="C144" s="5" t="s">
        <v>1857</v>
      </c>
      <c r="D144" s="214" t="s">
        <v>383</v>
      </c>
      <c r="E144" s="212" t="str">
        <f>+VLOOKUP(F144,Resumen_Base!$B$6:$F$69,5,0)</f>
        <v>Maintenance Lodge</v>
      </c>
      <c r="F144" s="5" t="s">
        <v>31</v>
      </c>
      <c r="G144" s="34" t="s">
        <v>30</v>
      </c>
      <c r="H144" s="5" t="str">
        <f t="shared" si="2"/>
        <v>DEL5252</v>
      </c>
      <c r="I144" s="306">
        <v>40500</v>
      </c>
      <c r="J144" s="307">
        <v>28.621908127208499</v>
      </c>
      <c r="K144" s="6">
        <v>1415</v>
      </c>
      <c r="L144" s="5" t="s">
        <v>1902</v>
      </c>
      <c r="M144" s="62" t="s">
        <v>452</v>
      </c>
      <c r="N144" s="62" t="s">
        <v>464</v>
      </c>
      <c r="O144" s="62" t="s">
        <v>1949</v>
      </c>
      <c r="P144" s="100" t="s">
        <v>1895</v>
      </c>
      <c r="Q144" s="5" t="s">
        <v>1950</v>
      </c>
      <c r="R144" s="34" t="s">
        <v>1973</v>
      </c>
      <c r="S144" s="5" t="s">
        <v>1951</v>
      </c>
      <c r="T144" s="5" t="s">
        <v>445</v>
      </c>
    </row>
    <row r="145" spans="1:20" ht="14">
      <c r="B145" s="9"/>
      <c r="C145" s="5" t="s">
        <v>1857</v>
      </c>
      <c r="D145" s="214" t="s">
        <v>383</v>
      </c>
      <c r="E145" s="212" t="str">
        <f>+VLOOKUP(F145,Resumen_Base!$B$6:$F$69,5,0)</f>
        <v>Maintenance Lodge</v>
      </c>
      <c r="F145" s="5" t="s">
        <v>31</v>
      </c>
      <c r="G145" s="34" t="s">
        <v>30</v>
      </c>
      <c r="H145" s="5" t="str">
        <f t="shared" si="2"/>
        <v>DEL5252</v>
      </c>
      <c r="I145" s="306">
        <v>-40500</v>
      </c>
      <c r="J145" s="307">
        <v>-28.621908127208499</v>
      </c>
      <c r="K145" s="6">
        <v>1415</v>
      </c>
      <c r="L145" s="5" t="s">
        <v>1902</v>
      </c>
      <c r="M145" s="62" t="s">
        <v>452</v>
      </c>
      <c r="N145" s="62" t="s">
        <v>464</v>
      </c>
      <c r="O145" s="62" t="s">
        <v>1952</v>
      </c>
      <c r="P145" s="100" t="s">
        <v>1895</v>
      </c>
      <c r="Q145" s="5" t="s">
        <v>1953</v>
      </c>
      <c r="R145" s="34" t="s">
        <v>1973</v>
      </c>
      <c r="S145" s="5" t="s">
        <v>1954</v>
      </c>
      <c r="T145" s="5" t="s">
        <v>445</v>
      </c>
    </row>
    <row r="146" spans="1:20" ht="14">
      <c r="B146" s="9"/>
      <c r="C146" s="5" t="s">
        <v>1857</v>
      </c>
      <c r="D146" s="214" t="s">
        <v>383</v>
      </c>
      <c r="E146" s="212" t="str">
        <f>+VLOOKUP(F146,Resumen_Base!$B$6:$F$69,5,0)</f>
        <v>Maintenance Lodge</v>
      </c>
      <c r="F146" s="5" t="s">
        <v>31</v>
      </c>
      <c r="G146" s="34" t="s">
        <v>30</v>
      </c>
      <c r="H146" s="5" t="str">
        <f t="shared" si="2"/>
        <v>DEL5252</v>
      </c>
      <c r="I146" s="306">
        <v>40231</v>
      </c>
      <c r="J146" s="307">
        <v>27.938194444444399</v>
      </c>
      <c r="K146" s="6">
        <v>1440</v>
      </c>
      <c r="L146" s="5" t="s">
        <v>1939</v>
      </c>
      <c r="M146" s="62" t="s">
        <v>452</v>
      </c>
      <c r="N146" s="62" t="s">
        <v>464</v>
      </c>
      <c r="O146" s="62" t="s">
        <v>1940</v>
      </c>
      <c r="P146" s="100" t="s">
        <v>1895</v>
      </c>
      <c r="Q146" s="5" t="s">
        <v>1941</v>
      </c>
      <c r="R146" s="34" t="s">
        <v>1975</v>
      </c>
      <c r="S146" s="5" t="s">
        <v>1943</v>
      </c>
      <c r="T146" s="5" t="s">
        <v>445</v>
      </c>
    </row>
    <row r="147" spans="1:20" ht="14">
      <c r="B147" s="9"/>
      <c r="C147" s="5" t="s">
        <v>1857</v>
      </c>
      <c r="D147" s="214" t="s">
        <v>383</v>
      </c>
      <c r="E147" s="212" t="str">
        <f>+VLOOKUP(F147,Resumen_Base!$B$6:$F$69,5,0)</f>
        <v>Maintenance Lodge</v>
      </c>
      <c r="F147" s="5" t="s">
        <v>31</v>
      </c>
      <c r="G147" s="34" t="s">
        <v>30</v>
      </c>
      <c r="H147" s="5" t="str">
        <f t="shared" si="2"/>
        <v>DEL5252</v>
      </c>
      <c r="I147" s="306">
        <v>73000</v>
      </c>
      <c r="J147" s="307">
        <v>51.590106007067099</v>
      </c>
      <c r="K147" s="6">
        <v>1415</v>
      </c>
      <c r="L147" s="5" t="s">
        <v>1902</v>
      </c>
      <c r="M147" s="62" t="s">
        <v>452</v>
      </c>
      <c r="N147" s="62" t="s">
        <v>464</v>
      </c>
      <c r="O147" s="62" t="s">
        <v>1945</v>
      </c>
      <c r="P147" s="100" t="s">
        <v>1895</v>
      </c>
      <c r="Q147" s="5" t="s">
        <v>1946</v>
      </c>
      <c r="R147" s="34" t="s">
        <v>1977</v>
      </c>
      <c r="S147" s="5" t="s">
        <v>1948</v>
      </c>
      <c r="T147" s="5" t="s">
        <v>445</v>
      </c>
    </row>
    <row r="148" spans="1:20" ht="14">
      <c r="B148" s="9"/>
      <c r="C148" s="5" t="s">
        <v>1857</v>
      </c>
      <c r="D148" s="214" t="s">
        <v>383</v>
      </c>
      <c r="E148" s="212" t="str">
        <f>+VLOOKUP(F148,Resumen_Base!$B$6:$F$69,5,0)</f>
        <v>Maintenance Lodge</v>
      </c>
      <c r="F148" s="5" t="s">
        <v>31</v>
      </c>
      <c r="G148" s="34" t="s">
        <v>30</v>
      </c>
      <c r="H148" s="5" t="str">
        <f t="shared" si="2"/>
        <v>DEL5252</v>
      </c>
      <c r="I148" s="306">
        <v>73000</v>
      </c>
      <c r="J148" s="307">
        <v>51.590106007067099</v>
      </c>
      <c r="K148" s="6">
        <v>1415</v>
      </c>
      <c r="L148" s="5" t="s">
        <v>1902</v>
      </c>
      <c r="M148" s="62" t="s">
        <v>452</v>
      </c>
      <c r="N148" s="62" t="s">
        <v>464</v>
      </c>
      <c r="O148" s="62" t="s">
        <v>1949</v>
      </c>
      <c r="P148" s="100" t="s">
        <v>1895</v>
      </c>
      <c r="Q148" s="5" t="s">
        <v>1950</v>
      </c>
      <c r="R148" s="34" t="s">
        <v>1977</v>
      </c>
      <c r="S148" s="5" t="s">
        <v>1951</v>
      </c>
      <c r="T148" s="5" t="s">
        <v>445</v>
      </c>
    </row>
    <row r="149" spans="1:20" ht="14">
      <c r="B149" s="9"/>
      <c r="C149" s="5" t="s">
        <v>1857</v>
      </c>
      <c r="D149" s="214" t="s">
        <v>383</v>
      </c>
      <c r="E149" s="212" t="str">
        <f>+VLOOKUP(F149,Resumen_Base!$B$6:$F$69,5,0)</f>
        <v>Maintenance Lodge</v>
      </c>
      <c r="F149" s="5" t="s">
        <v>31</v>
      </c>
      <c r="G149" s="34" t="s">
        <v>30</v>
      </c>
      <c r="H149" s="5" t="str">
        <f t="shared" si="2"/>
        <v>DEL5252</v>
      </c>
      <c r="I149" s="306">
        <v>-73000</v>
      </c>
      <c r="J149" s="307">
        <v>-51.590106007067099</v>
      </c>
      <c r="K149" s="6">
        <v>1415</v>
      </c>
      <c r="L149" s="5" t="s">
        <v>1902</v>
      </c>
      <c r="M149" s="62" t="s">
        <v>452</v>
      </c>
      <c r="N149" s="62" t="s">
        <v>464</v>
      </c>
      <c r="O149" s="62" t="s">
        <v>1952</v>
      </c>
      <c r="P149" s="100" t="s">
        <v>1895</v>
      </c>
      <c r="Q149" s="5" t="s">
        <v>1953</v>
      </c>
      <c r="R149" s="34" t="s">
        <v>1977</v>
      </c>
      <c r="S149" s="5" t="s">
        <v>1954</v>
      </c>
      <c r="T149" s="5" t="s">
        <v>445</v>
      </c>
    </row>
    <row r="150" spans="1:20" ht="14">
      <c r="B150" s="9"/>
      <c r="C150" s="5" t="s">
        <v>1857</v>
      </c>
      <c r="D150" s="214" t="s">
        <v>383</v>
      </c>
      <c r="E150" s="212" t="str">
        <f>+VLOOKUP(F150,Resumen_Base!$B$6:$F$69,5,0)</f>
        <v>Maintenance Lodge</v>
      </c>
      <c r="F150" s="5" t="s">
        <v>31</v>
      </c>
      <c r="G150" s="34" t="s">
        <v>30</v>
      </c>
      <c r="H150" s="5" t="str">
        <f t="shared" si="2"/>
        <v>DEL5252</v>
      </c>
      <c r="I150" s="306">
        <v>73500</v>
      </c>
      <c r="J150" s="307">
        <v>51.943462897526501</v>
      </c>
      <c r="K150" s="6">
        <v>1415</v>
      </c>
      <c r="L150" s="5" t="s">
        <v>1902</v>
      </c>
      <c r="M150" s="62" t="s">
        <v>452</v>
      </c>
      <c r="N150" s="62" t="s">
        <v>464</v>
      </c>
      <c r="O150" s="62" t="s">
        <v>1945</v>
      </c>
      <c r="P150" s="100" t="s">
        <v>1895</v>
      </c>
      <c r="Q150" s="5" t="s">
        <v>1946</v>
      </c>
      <c r="R150" s="34" t="s">
        <v>1982</v>
      </c>
      <c r="S150" s="5" t="s">
        <v>1948</v>
      </c>
      <c r="T150" s="5" t="s">
        <v>445</v>
      </c>
    </row>
    <row r="151" spans="1:20" ht="14">
      <c r="B151" s="9"/>
      <c r="C151" s="5" t="s">
        <v>1857</v>
      </c>
      <c r="D151" s="214" t="s">
        <v>383</v>
      </c>
      <c r="E151" s="212" t="str">
        <f>+VLOOKUP(F151,Resumen_Base!$B$6:$F$69,5,0)</f>
        <v>Maintenance Lodge</v>
      </c>
      <c r="F151" s="5" t="s">
        <v>31</v>
      </c>
      <c r="G151" s="34" t="s">
        <v>30</v>
      </c>
      <c r="H151" s="5" t="str">
        <f t="shared" si="2"/>
        <v>DEL5252</v>
      </c>
      <c r="I151" s="306">
        <v>73500</v>
      </c>
      <c r="J151" s="307">
        <v>51.943462897526501</v>
      </c>
      <c r="K151" s="6">
        <v>1415</v>
      </c>
      <c r="L151" s="5" t="s">
        <v>1902</v>
      </c>
      <c r="M151" s="62" t="s">
        <v>452</v>
      </c>
      <c r="N151" s="62" t="s">
        <v>464</v>
      </c>
      <c r="O151" s="62" t="s">
        <v>1949</v>
      </c>
      <c r="P151" s="100" t="s">
        <v>1895</v>
      </c>
      <c r="Q151" s="5" t="s">
        <v>1950</v>
      </c>
      <c r="R151" s="34" t="s">
        <v>1982</v>
      </c>
      <c r="S151" s="5" t="s">
        <v>1951</v>
      </c>
      <c r="T151" s="5" t="s">
        <v>445</v>
      </c>
    </row>
    <row r="152" spans="1:20" ht="14">
      <c r="B152" s="9"/>
      <c r="C152" s="5" t="s">
        <v>1857</v>
      </c>
      <c r="D152" s="214" t="s">
        <v>383</v>
      </c>
      <c r="E152" s="212" t="str">
        <f>+VLOOKUP(F152,Resumen_Base!$B$6:$F$69,5,0)</f>
        <v>Maintenance Lodge</v>
      </c>
      <c r="F152" s="5" t="s">
        <v>31</v>
      </c>
      <c r="G152" s="34" t="s">
        <v>30</v>
      </c>
      <c r="H152" s="5" t="str">
        <f t="shared" si="2"/>
        <v>DEL5252</v>
      </c>
      <c r="I152" s="306">
        <v>-73500</v>
      </c>
      <c r="J152" s="307">
        <v>-51.943462897526501</v>
      </c>
      <c r="K152" s="6">
        <v>1415</v>
      </c>
      <c r="L152" s="5" t="s">
        <v>1902</v>
      </c>
      <c r="M152" s="62" t="s">
        <v>452</v>
      </c>
      <c r="N152" s="62" t="s">
        <v>464</v>
      </c>
      <c r="O152" s="62" t="s">
        <v>1952</v>
      </c>
      <c r="P152" s="100" t="s">
        <v>1895</v>
      </c>
      <c r="Q152" s="5" t="s">
        <v>1953</v>
      </c>
      <c r="R152" s="34" t="s">
        <v>1982</v>
      </c>
      <c r="S152" s="5" t="s">
        <v>1954</v>
      </c>
      <c r="T152" s="5" t="s">
        <v>445</v>
      </c>
    </row>
    <row r="153" spans="1:20" ht="14">
      <c r="B153" s="9"/>
      <c r="C153" s="5" t="s">
        <v>1857</v>
      </c>
      <c r="D153" s="214" t="s">
        <v>383</v>
      </c>
      <c r="E153" s="212" t="str">
        <f>+VLOOKUP(F153,Resumen_Base!$B$6:$F$69,5,0)</f>
        <v>Maintenance Lodge</v>
      </c>
      <c r="F153" s="5" t="s">
        <v>31</v>
      </c>
      <c r="G153" s="34" t="s">
        <v>30</v>
      </c>
      <c r="H153" s="5" t="str">
        <f t="shared" si="2"/>
        <v>DEL5252</v>
      </c>
      <c r="I153" s="306">
        <v>7000</v>
      </c>
      <c r="J153" s="307">
        <v>4.9122807017543897</v>
      </c>
      <c r="K153" s="6">
        <v>1425</v>
      </c>
      <c r="L153" s="5" t="s">
        <v>1955</v>
      </c>
      <c r="M153" s="62" t="s">
        <v>452</v>
      </c>
      <c r="N153" s="62" t="s">
        <v>464</v>
      </c>
      <c r="O153" s="62" t="s">
        <v>1956</v>
      </c>
      <c r="P153" s="100" t="s">
        <v>1895</v>
      </c>
      <c r="Q153" s="5" t="s">
        <v>1957</v>
      </c>
      <c r="R153" s="34" t="s">
        <v>1983</v>
      </c>
      <c r="S153" s="5" t="s">
        <v>1959</v>
      </c>
      <c r="T153" s="5" t="s">
        <v>445</v>
      </c>
    </row>
    <row r="154" spans="1:20" ht="14">
      <c r="B154" s="9"/>
      <c r="C154" s="5" t="s">
        <v>1857</v>
      </c>
      <c r="D154" s="214" t="s">
        <v>383</v>
      </c>
      <c r="E154" s="212" t="str">
        <f>+VLOOKUP(F154,Resumen_Base!$B$6:$F$69,5,0)</f>
        <v>Maintenance Lodge</v>
      </c>
      <c r="F154" s="5" t="s">
        <v>31</v>
      </c>
      <c r="G154" s="34" t="s">
        <v>30</v>
      </c>
      <c r="H154" s="5" t="str">
        <f t="shared" si="2"/>
        <v>DEL5252</v>
      </c>
      <c r="I154" s="306">
        <v>29275</v>
      </c>
      <c r="J154" s="307">
        <v>20.6890459363958</v>
      </c>
      <c r="K154" s="6">
        <v>1415</v>
      </c>
      <c r="L154" s="5" t="s">
        <v>1902</v>
      </c>
      <c r="M154" s="62" t="s">
        <v>452</v>
      </c>
      <c r="N154" s="62" t="s">
        <v>464</v>
      </c>
      <c r="O154" s="62" t="s">
        <v>1945</v>
      </c>
      <c r="P154" s="100" t="s">
        <v>1895</v>
      </c>
      <c r="Q154" s="5" t="s">
        <v>1946</v>
      </c>
      <c r="R154" s="34" t="s">
        <v>1998</v>
      </c>
      <c r="S154" s="5" t="s">
        <v>1948</v>
      </c>
      <c r="T154" s="5" t="s">
        <v>445</v>
      </c>
    </row>
    <row r="155" spans="1:20" ht="14">
      <c r="B155" s="9"/>
      <c r="C155" s="5" t="s">
        <v>1857</v>
      </c>
      <c r="D155" s="214" t="s">
        <v>383</v>
      </c>
      <c r="E155" s="212" t="str">
        <f>+VLOOKUP(F155,Resumen_Base!$B$6:$F$69,5,0)</f>
        <v>Maintenance Lodge</v>
      </c>
      <c r="F155" s="5" t="s">
        <v>31</v>
      </c>
      <c r="G155" s="34" t="s">
        <v>30</v>
      </c>
      <c r="H155" s="5" t="str">
        <f t="shared" si="2"/>
        <v>DEL5252</v>
      </c>
      <c r="I155" s="306">
        <v>29275</v>
      </c>
      <c r="J155" s="307">
        <v>20.6890459363958</v>
      </c>
      <c r="K155" s="6">
        <v>1415</v>
      </c>
      <c r="L155" s="5" t="s">
        <v>1902</v>
      </c>
      <c r="M155" s="62" t="s">
        <v>452</v>
      </c>
      <c r="N155" s="62" t="s">
        <v>464</v>
      </c>
      <c r="O155" s="62" t="s">
        <v>1949</v>
      </c>
      <c r="P155" s="100" t="s">
        <v>1895</v>
      </c>
      <c r="Q155" s="5" t="s">
        <v>1950</v>
      </c>
      <c r="R155" s="34" t="s">
        <v>1998</v>
      </c>
      <c r="S155" s="5" t="s">
        <v>1951</v>
      </c>
      <c r="T155" s="5" t="s">
        <v>445</v>
      </c>
    </row>
    <row r="156" spans="1:20" ht="14">
      <c r="B156" s="9"/>
      <c r="C156" s="5" t="s">
        <v>1857</v>
      </c>
      <c r="D156" s="214" t="s">
        <v>383</v>
      </c>
      <c r="E156" s="212" t="str">
        <f>+VLOOKUP(F156,Resumen_Base!$B$6:$F$69,5,0)</f>
        <v>Maintenance Lodge</v>
      </c>
      <c r="F156" s="5" t="s">
        <v>31</v>
      </c>
      <c r="G156" s="34" t="s">
        <v>30</v>
      </c>
      <c r="H156" s="5" t="str">
        <f t="shared" si="2"/>
        <v>DEL5252</v>
      </c>
      <c r="I156" s="306">
        <v>-29275</v>
      </c>
      <c r="J156" s="307">
        <v>-20.6890459363958</v>
      </c>
      <c r="K156" s="6">
        <v>1415</v>
      </c>
      <c r="L156" s="5" t="s">
        <v>1902</v>
      </c>
      <c r="M156" s="62" t="s">
        <v>452</v>
      </c>
      <c r="N156" s="62" t="s">
        <v>464</v>
      </c>
      <c r="O156" s="62" t="s">
        <v>1952</v>
      </c>
      <c r="P156" s="100" t="s">
        <v>1895</v>
      </c>
      <c r="Q156" s="5" t="s">
        <v>1953</v>
      </c>
      <c r="R156" s="34" t="s">
        <v>1998</v>
      </c>
      <c r="S156" s="5" t="s">
        <v>1954</v>
      </c>
      <c r="T156" s="5" t="s">
        <v>445</v>
      </c>
    </row>
    <row r="157" spans="1:20" ht="56">
      <c r="A157" s="341" t="s">
        <v>2168</v>
      </c>
      <c r="B157" s="88" t="s">
        <v>2175</v>
      </c>
      <c r="C157" s="5" t="s">
        <v>1857</v>
      </c>
      <c r="D157" s="214" t="s">
        <v>383</v>
      </c>
      <c r="E157" s="212" t="str">
        <f>+VLOOKUP(F157,Resumen_Base!$B$6:$F$69,5,0)</f>
        <v>Maintenance Lodge</v>
      </c>
      <c r="F157" s="5" t="s">
        <v>31</v>
      </c>
      <c r="G157" s="34" t="s">
        <v>30</v>
      </c>
      <c r="H157" s="5" t="str">
        <f t="shared" si="2"/>
        <v>DEL5252</v>
      </c>
      <c r="I157" s="306">
        <f>+J157*K157</f>
        <v>570000</v>
      </c>
      <c r="J157" s="307">
        <v>400</v>
      </c>
      <c r="K157" s="6">
        <v>1425</v>
      </c>
      <c r="L157" s="5" t="s">
        <v>1969</v>
      </c>
      <c r="M157" s="62" t="s">
        <v>452</v>
      </c>
      <c r="N157" s="62" t="s">
        <v>464</v>
      </c>
      <c r="O157" s="62" t="s">
        <v>2003</v>
      </c>
      <c r="P157" s="100" t="s">
        <v>1895</v>
      </c>
      <c r="Q157" s="5" t="s">
        <v>2004</v>
      </c>
      <c r="R157" s="34" t="s">
        <v>2013</v>
      </c>
      <c r="S157" s="5" t="s">
        <v>2006</v>
      </c>
      <c r="T157" s="5" t="s">
        <v>445</v>
      </c>
    </row>
    <row r="158" spans="1:20" ht="56">
      <c r="A158" s="341" t="s">
        <v>2168</v>
      </c>
      <c r="B158" s="88" t="s">
        <v>2175</v>
      </c>
      <c r="C158" s="5" t="s">
        <v>1857</v>
      </c>
      <c r="D158" s="214" t="s">
        <v>383</v>
      </c>
      <c r="E158" s="212" t="str">
        <f>+VLOOKUP(F158,Resumen_Base!$B$6:$F$69,5,0)</f>
        <v>Fixed Asset's Payments (Investments) Mejoras/equipamiento Lodge</v>
      </c>
      <c r="F158" s="179" t="s">
        <v>4</v>
      </c>
      <c r="G158" s="168" t="s">
        <v>3</v>
      </c>
      <c r="H158" s="5" t="str">
        <f t="shared" ref="H158" si="3">+D158&amp;F158</f>
        <v>DEL12020301</v>
      </c>
      <c r="I158" s="306">
        <f>+J158*K158</f>
        <v>1425000</v>
      </c>
      <c r="J158" s="307">
        <v>1000</v>
      </c>
      <c r="K158" s="6">
        <v>1425</v>
      </c>
      <c r="L158" s="5" t="s">
        <v>1969</v>
      </c>
      <c r="M158" s="62" t="s">
        <v>452</v>
      </c>
      <c r="N158" s="62" t="s">
        <v>464</v>
      </c>
      <c r="O158" s="62" t="s">
        <v>2003</v>
      </c>
      <c r="P158" s="100" t="s">
        <v>1895</v>
      </c>
      <c r="Q158" s="5" t="s">
        <v>2004</v>
      </c>
      <c r="R158" s="34" t="s">
        <v>2013</v>
      </c>
      <c r="S158" s="5" t="s">
        <v>2006</v>
      </c>
      <c r="T158" s="5" t="s">
        <v>445</v>
      </c>
    </row>
    <row r="159" spans="1:20">
      <c r="A159" s="214"/>
      <c r="B159" s="88"/>
      <c r="D159" s="214"/>
      <c r="E159" s="212"/>
      <c r="F159" s="5"/>
      <c r="G159" s="34"/>
      <c r="I159" s="306"/>
      <c r="J159" s="307"/>
      <c r="K159" s="6"/>
      <c r="L159" s="5"/>
      <c r="M159" s="62"/>
      <c r="N159" s="62"/>
      <c r="O159" s="62"/>
      <c r="P159" s="100"/>
      <c r="R159" s="34"/>
    </row>
    <row r="160" spans="1:20" ht="14">
      <c r="B160" s="9"/>
      <c r="C160" s="5" t="s">
        <v>1857</v>
      </c>
      <c r="D160" s="214" t="s">
        <v>383</v>
      </c>
      <c r="E160" s="212" t="str">
        <f>+VLOOKUP(F160,Resumen_Base!$B$6:$F$69,5,0)</f>
        <v>Maintenance Lodge</v>
      </c>
      <c r="F160" s="5" t="s">
        <v>31</v>
      </c>
      <c r="G160" s="34" t="s">
        <v>30</v>
      </c>
      <c r="H160" s="5" t="str">
        <f t="shared" si="2"/>
        <v>DEL5252</v>
      </c>
      <c r="I160" s="306">
        <v>100000</v>
      </c>
      <c r="J160" s="307">
        <v>69.4444444444444</v>
      </c>
      <c r="K160" s="6">
        <v>1440</v>
      </c>
      <c r="L160" s="5" t="s">
        <v>1939</v>
      </c>
      <c r="M160" s="62" t="s">
        <v>452</v>
      </c>
      <c r="N160" s="62" t="s">
        <v>464</v>
      </c>
      <c r="O160" s="62" t="s">
        <v>1940</v>
      </c>
      <c r="P160" s="100" t="s">
        <v>1895</v>
      </c>
      <c r="Q160" s="5" t="s">
        <v>1941</v>
      </c>
      <c r="R160" s="34" t="s">
        <v>2016</v>
      </c>
      <c r="S160" s="5" t="s">
        <v>1943</v>
      </c>
      <c r="T160" s="5" t="s">
        <v>445</v>
      </c>
    </row>
    <row r="161" spans="2:20" ht="14">
      <c r="B161" s="9"/>
      <c r="C161" s="5" t="s">
        <v>1857</v>
      </c>
      <c r="D161" s="214" t="s">
        <v>383</v>
      </c>
      <c r="E161" s="212" t="str">
        <f>+VLOOKUP(F161,Resumen_Base!$B$6:$F$69,5,0)</f>
        <v>Maintenance Lodge</v>
      </c>
      <c r="F161" s="5" t="s">
        <v>31</v>
      </c>
      <c r="G161" s="34" t="s">
        <v>30</v>
      </c>
      <c r="H161" s="5" t="str">
        <f t="shared" si="2"/>
        <v>DEL5252</v>
      </c>
      <c r="I161" s="306">
        <v>12000</v>
      </c>
      <c r="J161" s="307">
        <v>8.4805653710247295</v>
      </c>
      <c r="K161" s="6">
        <v>1415</v>
      </c>
      <c r="L161" s="5" t="s">
        <v>1902</v>
      </c>
      <c r="M161" s="62" t="s">
        <v>452</v>
      </c>
      <c r="N161" s="62" t="s">
        <v>464</v>
      </c>
      <c r="O161" s="62" t="s">
        <v>1945</v>
      </c>
      <c r="P161" s="100" t="s">
        <v>1895</v>
      </c>
      <c r="Q161" s="5" t="s">
        <v>1946</v>
      </c>
      <c r="R161" s="34" t="s">
        <v>2026</v>
      </c>
      <c r="S161" s="5" t="s">
        <v>1948</v>
      </c>
      <c r="T161" s="5" t="s">
        <v>445</v>
      </c>
    </row>
    <row r="162" spans="2:20" ht="14">
      <c r="B162" s="9"/>
      <c r="C162" s="5" t="s">
        <v>1857</v>
      </c>
      <c r="D162" s="214" t="s">
        <v>383</v>
      </c>
      <c r="E162" s="212" t="str">
        <f>+VLOOKUP(F162,Resumen_Base!$B$6:$F$69,5,0)</f>
        <v>Maintenance Lodge</v>
      </c>
      <c r="F162" s="5" t="s">
        <v>31</v>
      </c>
      <c r="G162" s="34" t="s">
        <v>30</v>
      </c>
      <c r="H162" s="5" t="str">
        <f t="shared" si="2"/>
        <v>DEL5252</v>
      </c>
      <c r="I162" s="306">
        <v>12000</v>
      </c>
      <c r="J162" s="307">
        <v>8.4805653710247295</v>
      </c>
      <c r="K162" s="6">
        <v>1415</v>
      </c>
      <c r="L162" s="5" t="s">
        <v>1902</v>
      </c>
      <c r="M162" s="62" t="s">
        <v>452</v>
      </c>
      <c r="N162" s="62" t="s">
        <v>464</v>
      </c>
      <c r="O162" s="62" t="s">
        <v>1949</v>
      </c>
      <c r="P162" s="100" t="s">
        <v>1895</v>
      </c>
      <c r="Q162" s="5" t="s">
        <v>1950</v>
      </c>
      <c r="R162" s="34" t="s">
        <v>2026</v>
      </c>
      <c r="S162" s="5" t="s">
        <v>1951</v>
      </c>
      <c r="T162" s="5" t="s">
        <v>445</v>
      </c>
    </row>
    <row r="163" spans="2:20" ht="14">
      <c r="B163" s="9"/>
      <c r="C163" s="5" t="s">
        <v>1857</v>
      </c>
      <c r="D163" s="214" t="s">
        <v>383</v>
      </c>
      <c r="E163" s="212" t="str">
        <f>+VLOOKUP(F163,Resumen_Base!$B$6:$F$69,5,0)</f>
        <v>Maintenance Lodge</v>
      </c>
      <c r="F163" s="5" t="s">
        <v>31</v>
      </c>
      <c r="G163" s="34" t="s">
        <v>30</v>
      </c>
      <c r="H163" s="5" t="str">
        <f t="shared" si="2"/>
        <v>DEL5252</v>
      </c>
      <c r="I163" s="306">
        <v>-12000</v>
      </c>
      <c r="J163" s="307">
        <v>-8.4805653710247295</v>
      </c>
      <c r="K163" s="6">
        <v>1415</v>
      </c>
      <c r="L163" s="5" t="s">
        <v>1902</v>
      </c>
      <c r="M163" s="62" t="s">
        <v>452</v>
      </c>
      <c r="N163" s="62" t="s">
        <v>464</v>
      </c>
      <c r="O163" s="62" t="s">
        <v>1952</v>
      </c>
      <c r="P163" s="100" t="s">
        <v>1895</v>
      </c>
      <c r="Q163" s="5" t="s">
        <v>1953</v>
      </c>
      <c r="R163" s="34" t="s">
        <v>2026</v>
      </c>
      <c r="S163" s="5" t="s">
        <v>1954</v>
      </c>
      <c r="T163" s="5" t="s">
        <v>445</v>
      </c>
    </row>
    <row r="164" spans="2:20" ht="14">
      <c r="B164" s="9"/>
      <c r="C164" s="5" t="s">
        <v>1857</v>
      </c>
      <c r="D164" s="214" t="s">
        <v>383</v>
      </c>
      <c r="E164" s="212" t="str">
        <f>+VLOOKUP(F164,Resumen_Base!$B$6:$F$69,5,0)</f>
        <v>Maintenance Lodge</v>
      </c>
      <c r="F164" s="5" t="s">
        <v>31</v>
      </c>
      <c r="G164" s="34" t="s">
        <v>30</v>
      </c>
      <c r="H164" s="5" t="str">
        <f t="shared" si="2"/>
        <v>DEL5252</v>
      </c>
      <c r="I164" s="306">
        <v>40000</v>
      </c>
      <c r="J164" s="307">
        <v>27.7777777777778</v>
      </c>
      <c r="K164" s="6">
        <v>1440</v>
      </c>
      <c r="L164" s="5" t="s">
        <v>1939</v>
      </c>
      <c r="M164" s="62" t="s">
        <v>452</v>
      </c>
      <c r="N164" s="62" t="s">
        <v>464</v>
      </c>
      <c r="O164" s="62" t="s">
        <v>1940</v>
      </c>
      <c r="P164" s="100" t="s">
        <v>1895</v>
      </c>
      <c r="Q164" s="5" t="s">
        <v>1941</v>
      </c>
      <c r="R164" s="34" t="s">
        <v>2033</v>
      </c>
      <c r="S164" s="5" t="s">
        <v>1943</v>
      </c>
      <c r="T164" s="5" t="s">
        <v>445</v>
      </c>
    </row>
    <row r="165" spans="2:20" ht="14">
      <c r="B165" s="9"/>
      <c r="C165" s="5" t="s">
        <v>1857</v>
      </c>
      <c r="D165" s="214" t="s">
        <v>383</v>
      </c>
      <c r="E165" s="212" t="str">
        <f>+VLOOKUP(F165,Resumen_Base!$B$6:$F$69,5,0)</f>
        <v>Maintenance Lodge</v>
      </c>
      <c r="F165" s="5" t="s">
        <v>31</v>
      </c>
      <c r="G165" s="34" t="s">
        <v>30</v>
      </c>
      <c r="H165" s="5" t="str">
        <f t="shared" si="2"/>
        <v>DEL5252</v>
      </c>
      <c r="I165" s="306">
        <v>40000</v>
      </c>
      <c r="J165" s="307">
        <v>27.7777777777778</v>
      </c>
      <c r="K165" s="6">
        <v>1440</v>
      </c>
      <c r="L165" s="5" t="s">
        <v>1939</v>
      </c>
      <c r="M165" s="62" t="s">
        <v>452</v>
      </c>
      <c r="N165" s="62" t="s">
        <v>464</v>
      </c>
      <c r="O165" s="62" t="s">
        <v>1940</v>
      </c>
      <c r="P165" s="100" t="s">
        <v>1895</v>
      </c>
      <c r="Q165" s="5" t="s">
        <v>1941</v>
      </c>
      <c r="R165" s="34" t="s">
        <v>2035</v>
      </c>
      <c r="S165" s="5" t="s">
        <v>1943</v>
      </c>
      <c r="T165" s="5" t="s">
        <v>445</v>
      </c>
    </row>
    <row r="166" spans="2:20" ht="14">
      <c r="B166" s="9"/>
      <c r="C166" s="5" t="s">
        <v>1857</v>
      </c>
      <c r="D166" s="214" t="s">
        <v>383</v>
      </c>
      <c r="E166" s="212" t="str">
        <f>+VLOOKUP(F166,Resumen_Base!$B$6:$F$69,5,0)</f>
        <v>Maintenance Lodge</v>
      </c>
      <c r="F166" s="5" t="s">
        <v>31</v>
      </c>
      <c r="G166" s="34" t="s">
        <v>30</v>
      </c>
      <c r="H166" s="5" t="str">
        <f t="shared" si="2"/>
        <v>DEL5252</v>
      </c>
      <c r="I166" s="306">
        <v>13000</v>
      </c>
      <c r="J166" s="307">
        <v>9.1228070175438596</v>
      </c>
      <c r="K166" s="6">
        <v>1425</v>
      </c>
      <c r="L166" s="5" t="s">
        <v>1955</v>
      </c>
      <c r="M166" s="62" t="s">
        <v>452</v>
      </c>
      <c r="N166" s="62" t="s">
        <v>464</v>
      </c>
      <c r="O166" s="62" t="s">
        <v>1956</v>
      </c>
      <c r="P166" s="100" t="s">
        <v>1895</v>
      </c>
      <c r="Q166" s="5" t="s">
        <v>1957</v>
      </c>
      <c r="R166" s="34" t="s">
        <v>2041</v>
      </c>
      <c r="S166" s="5" t="s">
        <v>1959</v>
      </c>
      <c r="T166" s="5" t="s">
        <v>445</v>
      </c>
    </row>
    <row r="167" spans="2:20" ht="14">
      <c r="B167" s="9"/>
      <c r="C167" s="5" t="s">
        <v>1857</v>
      </c>
      <c r="D167" s="214" t="s">
        <v>383</v>
      </c>
      <c r="E167" s="212" t="str">
        <f>+VLOOKUP(F167,Resumen_Base!$B$6:$F$69,5,0)</f>
        <v>Maintenance Lodge</v>
      </c>
      <c r="F167" s="5" t="s">
        <v>31</v>
      </c>
      <c r="G167" s="34" t="s">
        <v>30</v>
      </c>
      <c r="H167" s="5" t="str">
        <f t="shared" si="2"/>
        <v>DEL5252</v>
      </c>
      <c r="I167" s="306">
        <v>20484</v>
      </c>
      <c r="J167" s="307">
        <v>14.3747368421053</v>
      </c>
      <c r="K167" s="6">
        <v>1425</v>
      </c>
      <c r="L167" s="5" t="s">
        <v>1955</v>
      </c>
      <c r="M167" s="62" t="s">
        <v>452</v>
      </c>
      <c r="N167" s="62" t="s">
        <v>464</v>
      </c>
      <c r="O167" s="62" t="s">
        <v>1956</v>
      </c>
      <c r="P167" s="100" t="s">
        <v>1895</v>
      </c>
      <c r="Q167" s="5" t="s">
        <v>1957</v>
      </c>
      <c r="R167" s="34" t="s">
        <v>2042</v>
      </c>
      <c r="S167" s="5" t="s">
        <v>1959</v>
      </c>
      <c r="T167" s="5" t="s">
        <v>445</v>
      </c>
    </row>
    <row r="168" spans="2:20" ht="14">
      <c r="B168" s="9"/>
      <c r="C168" s="5" t="s">
        <v>1857</v>
      </c>
      <c r="D168" s="214" t="s">
        <v>383</v>
      </c>
      <c r="E168" s="212" t="str">
        <f>+VLOOKUP(F168,Resumen_Base!$B$6:$F$69,5,0)</f>
        <v>Maintenance Lodge</v>
      </c>
      <c r="F168" s="5" t="s">
        <v>31</v>
      </c>
      <c r="G168" s="34" t="s">
        <v>30</v>
      </c>
      <c r="H168" s="5" t="str">
        <f t="shared" si="2"/>
        <v>DEL5252</v>
      </c>
      <c r="I168" s="306">
        <v>19000</v>
      </c>
      <c r="J168" s="307">
        <v>13.1944444444444</v>
      </c>
      <c r="K168" s="6">
        <v>1440</v>
      </c>
      <c r="L168" s="5" t="s">
        <v>1939</v>
      </c>
      <c r="M168" s="62" t="s">
        <v>452</v>
      </c>
      <c r="N168" s="62" t="s">
        <v>464</v>
      </c>
      <c r="O168" s="62" t="s">
        <v>1940</v>
      </c>
      <c r="P168" s="100" t="s">
        <v>1895</v>
      </c>
      <c r="Q168" s="5" t="s">
        <v>1941</v>
      </c>
      <c r="R168" s="34" t="s">
        <v>2043</v>
      </c>
      <c r="S168" s="5" t="s">
        <v>1943</v>
      </c>
      <c r="T168" s="5" t="s">
        <v>445</v>
      </c>
    </row>
    <row r="169" spans="2:20" ht="14">
      <c r="B169" s="9"/>
      <c r="C169" s="5" t="s">
        <v>1857</v>
      </c>
      <c r="D169" s="214" t="s">
        <v>383</v>
      </c>
      <c r="E169" s="212" t="str">
        <f>+VLOOKUP(F169,Resumen_Base!$B$6:$F$69,5,0)</f>
        <v>Maintenance Lodge</v>
      </c>
      <c r="F169" s="5" t="s">
        <v>31</v>
      </c>
      <c r="G169" s="34" t="s">
        <v>30</v>
      </c>
      <c r="H169" s="5" t="str">
        <f t="shared" si="2"/>
        <v>DEL5252</v>
      </c>
      <c r="I169" s="306">
        <v>81100</v>
      </c>
      <c r="J169" s="307">
        <v>56.3194444444444</v>
      </c>
      <c r="K169" s="6">
        <v>1440</v>
      </c>
      <c r="L169" s="5" t="s">
        <v>1939</v>
      </c>
      <c r="M169" s="62" t="s">
        <v>452</v>
      </c>
      <c r="N169" s="62" t="s">
        <v>464</v>
      </c>
      <c r="O169" s="62" t="s">
        <v>1940</v>
      </c>
      <c r="P169" s="100" t="s">
        <v>1895</v>
      </c>
      <c r="Q169" s="5" t="s">
        <v>1941</v>
      </c>
      <c r="R169" s="34" t="s">
        <v>2044</v>
      </c>
      <c r="S169" s="5" t="s">
        <v>1943</v>
      </c>
      <c r="T169" s="5" t="s">
        <v>445</v>
      </c>
    </row>
    <row r="170" spans="2:20" ht="14">
      <c r="B170" s="9"/>
      <c r="C170" s="5" t="s">
        <v>1857</v>
      </c>
      <c r="D170" s="214" t="s">
        <v>383</v>
      </c>
      <c r="E170" s="212" t="str">
        <f>+VLOOKUP(F170,Resumen_Base!$B$6:$F$69,5,0)</f>
        <v>Maintenance Lodge</v>
      </c>
      <c r="F170" s="5" t="s">
        <v>31</v>
      </c>
      <c r="G170" s="34" t="s">
        <v>30</v>
      </c>
      <c r="H170" s="5" t="str">
        <f t="shared" si="2"/>
        <v>DEL5252</v>
      </c>
      <c r="I170" s="306">
        <v>124085</v>
      </c>
      <c r="J170" s="307">
        <v>87.692579505300401</v>
      </c>
      <c r="K170" s="6">
        <v>1415</v>
      </c>
      <c r="L170" s="5" t="s">
        <v>1902</v>
      </c>
      <c r="M170" s="62" t="s">
        <v>452</v>
      </c>
      <c r="N170" s="62" t="s">
        <v>464</v>
      </c>
      <c r="O170" s="62" t="s">
        <v>1945</v>
      </c>
      <c r="P170" s="100" t="s">
        <v>1895</v>
      </c>
      <c r="Q170" s="5" t="s">
        <v>1946</v>
      </c>
      <c r="R170" s="34" t="s">
        <v>2048</v>
      </c>
      <c r="S170" s="5" t="s">
        <v>1948</v>
      </c>
      <c r="T170" s="5" t="s">
        <v>445</v>
      </c>
    </row>
    <row r="171" spans="2:20" ht="14">
      <c r="B171" s="9"/>
      <c r="C171" s="5" t="s">
        <v>1857</v>
      </c>
      <c r="D171" s="214" t="s">
        <v>383</v>
      </c>
      <c r="E171" s="212" t="str">
        <f>+VLOOKUP(F171,Resumen_Base!$B$6:$F$69,5,0)</f>
        <v>Maintenance Lodge</v>
      </c>
      <c r="F171" s="5" t="s">
        <v>31</v>
      </c>
      <c r="G171" s="34" t="s">
        <v>30</v>
      </c>
      <c r="H171" s="5" t="str">
        <f t="shared" si="2"/>
        <v>DEL5252</v>
      </c>
      <c r="I171" s="306">
        <v>124085</v>
      </c>
      <c r="J171" s="307">
        <v>87.692579505300401</v>
      </c>
      <c r="K171" s="6">
        <v>1415</v>
      </c>
      <c r="L171" s="5" t="s">
        <v>1902</v>
      </c>
      <c r="M171" s="62" t="s">
        <v>452</v>
      </c>
      <c r="N171" s="62" t="s">
        <v>464</v>
      </c>
      <c r="O171" s="62" t="s">
        <v>1949</v>
      </c>
      <c r="P171" s="100" t="s">
        <v>1895</v>
      </c>
      <c r="Q171" s="5" t="s">
        <v>1950</v>
      </c>
      <c r="R171" s="34" t="s">
        <v>2048</v>
      </c>
      <c r="S171" s="5" t="s">
        <v>1951</v>
      </c>
      <c r="T171" s="5" t="s">
        <v>445</v>
      </c>
    </row>
    <row r="172" spans="2:20" ht="14">
      <c r="B172" s="9"/>
      <c r="C172" s="5" t="s">
        <v>1857</v>
      </c>
      <c r="D172" s="214" t="s">
        <v>383</v>
      </c>
      <c r="E172" s="212" t="str">
        <f>+VLOOKUP(F172,Resumen_Base!$B$6:$F$69,5,0)</f>
        <v>Maintenance Lodge</v>
      </c>
      <c r="F172" s="5" t="s">
        <v>31</v>
      </c>
      <c r="G172" s="34" t="s">
        <v>30</v>
      </c>
      <c r="H172" s="5" t="str">
        <f t="shared" si="2"/>
        <v>DEL5252</v>
      </c>
      <c r="I172" s="306">
        <v>-124085</v>
      </c>
      <c r="J172" s="307">
        <v>-87.692579505300401</v>
      </c>
      <c r="K172" s="6">
        <v>1415</v>
      </c>
      <c r="L172" s="5" t="s">
        <v>1902</v>
      </c>
      <c r="M172" s="62" t="s">
        <v>452</v>
      </c>
      <c r="N172" s="62" t="s">
        <v>464</v>
      </c>
      <c r="O172" s="62" t="s">
        <v>1952</v>
      </c>
      <c r="P172" s="100" t="s">
        <v>1895</v>
      </c>
      <c r="Q172" s="5" t="s">
        <v>1953</v>
      </c>
      <c r="R172" s="34" t="s">
        <v>2048</v>
      </c>
      <c r="S172" s="5" t="s">
        <v>1954</v>
      </c>
      <c r="T172" s="5" t="s">
        <v>445</v>
      </c>
    </row>
    <row r="173" spans="2:20" ht="14">
      <c r="B173" s="9"/>
      <c r="C173" s="5" t="s">
        <v>1857</v>
      </c>
      <c r="D173" s="214" t="s">
        <v>383</v>
      </c>
      <c r="E173" s="212" t="str">
        <f>+VLOOKUP(F173,Resumen_Base!$B$6:$F$69,5,0)</f>
        <v>Maintenance Lodge</v>
      </c>
      <c r="F173" s="5" t="s">
        <v>31</v>
      </c>
      <c r="G173" s="34" t="s">
        <v>30</v>
      </c>
      <c r="H173" s="5" t="str">
        <f t="shared" si="2"/>
        <v>DEL5252</v>
      </c>
      <c r="I173" s="306">
        <v>45000</v>
      </c>
      <c r="J173" s="307">
        <v>31.25</v>
      </c>
      <c r="K173" s="6">
        <v>1440</v>
      </c>
      <c r="L173" s="5" t="s">
        <v>1939</v>
      </c>
      <c r="M173" s="62" t="s">
        <v>452</v>
      </c>
      <c r="N173" s="62" t="s">
        <v>464</v>
      </c>
      <c r="O173" s="62" t="s">
        <v>1940</v>
      </c>
      <c r="P173" s="100" t="s">
        <v>1895</v>
      </c>
      <c r="Q173" s="5" t="s">
        <v>1941</v>
      </c>
      <c r="R173" s="34" t="s">
        <v>2051</v>
      </c>
      <c r="S173" s="5" t="s">
        <v>1943</v>
      </c>
      <c r="T173" s="5" t="s">
        <v>445</v>
      </c>
    </row>
    <row r="174" spans="2:20" ht="14">
      <c r="B174" s="9"/>
      <c r="C174" s="5" t="s">
        <v>1857</v>
      </c>
      <c r="D174" s="214" t="s">
        <v>383</v>
      </c>
      <c r="E174" s="212" t="str">
        <f>+VLOOKUP(F174,Resumen_Base!$B$6:$F$69,5,0)</f>
        <v>Maintenance Lodge</v>
      </c>
      <c r="F174" s="5" t="s">
        <v>31</v>
      </c>
      <c r="G174" s="34" t="s">
        <v>30</v>
      </c>
      <c r="H174" s="5" t="str">
        <f t="shared" si="2"/>
        <v>DEL5252</v>
      </c>
      <c r="I174" s="306">
        <v>53000</v>
      </c>
      <c r="J174" s="307">
        <v>36.8055555555556</v>
      </c>
      <c r="K174" s="6">
        <v>1440</v>
      </c>
      <c r="L174" s="5" t="s">
        <v>1939</v>
      </c>
      <c r="M174" s="62" t="s">
        <v>452</v>
      </c>
      <c r="N174" s="62" t="s">
        <v>464</v>
      </c>
      <c r="O174" s="62" t="s">
        <v>1940</v>
      </c>
      <c r="P174" s="100" t="s">
        <v>1895</v>
      </c>
      <c r="Q174" s="5" t="s">
        <v>1941</v>
      </c>
      <c r="R174" s="34" t="s">
        <v>2056</v>
      </c>
      <c r="S174" s="5" t="s">
        <v>1943</v>
      </c>
      <c r="T174" s="5" t="s">
        <v>445</v>
      </c>
    </row>
    <row r="175" spans="2:20" ht="14">
      <c r="B175" s="9"/>
      <c r="C175" s="5" t="s">
        <v>1857</v>
      </c>
      <c r="D175" s="214" t="s">
        <v>383</v>
      </c>
      <c r="E175" s="212" t="str">
        <f>+VLOOKUP(F175,Resumen_Base!$B$6:$F$69,5,0)</f>
        <v>Maintenance Lodge</v>
      </c>
      <c r="F175" s="5" t="s">
        <v>31</v>
      </c>
      <c r="G175" s="34" t="s">
        <v>30</v>
      </c>
      <c r="H175" s="5" t="str">
        <f t="shared" si="2"/>
        <v>DEL5252</v>
      </c>
      <c r="I175" s="306">
        <v>40088</v>
      </c>
      <c r="J175" s="307">
        <v>28.1319298245614</v>
      </c>
      <c r="K175" s="6">
        <v>1425</v>
      </c>
      <c r="L175" s="5" t="s">
        <v>1911</v>
      </c>
      <c r="M175" s="62" t="s">
        <v>452</v>
      </c>
      <c r="N175" s="62" t="s">
        <v>464</v>
      </c>
      <c r="O175" s="62" t="s">
        <v>2060</v>
      </c>
      <c r="P175" s="100" t="s">
        <v>1895</v>
      </c>
      <c r="Q175" s="5" t="s">
        <v>2061</v>
      </c>
      <c r="R175" s="34" t="s">
        <v>2064</v>
      </c>
      <c r="S175" s="5" t="s">
        <v>2063</v>
      </c>
      <c r="T175" s="5" t="s">
        <v>445</v>
      </c>
    </row>
    <row r="176" spans="2:20" ht="14">
      <c r="B176" s="9"/>
      <c r="C176" s="5" t="s">
        <v>1857</v>
      </c>
      <c r="D176" s="214" t="s">
        <v>383</v>
      </c>
      <c r="E176" s="212" t="str">
        <f>+VLOOKUP(F176,Resumen_Base!$B$6:$F$69,5,0)</f>
        <v>Maintenance Lodge</v>
      </c>
      <c r="F176" s="5" t="s">
        <v>31</v>
      </c>
      <c r="G176" s="34" t="s">
        <v>30</v>
      </c>
      <c r="H176" s="5" t="str">
        <f t="shared" si="2"/>
        <v>DEL5252</v>
      </c>
      <c r="I176" s="306">
        <v>53014</v>
      </c>
      <c r="J176" s="307">
        <v>37.202807017543897</v>
      </c>
      <c r="K176" s="6">
        <v>1425</v>
      </c>
      <c r="L176" s="5" t="s">
        <v>1911</v>
      </c>
      <c r="M176" s="62" t="s">
        <v>452</v>
      </c>
      <c r="N176" s="62" t="s">
        <v>464</v>
      </c>
      <c r="O176" s="62" t="s">
        <v>2060</v>
      </c>
      <c r="P176" s="100" t="s">
        <v>1895</v>
      </c>
      <c r="Q176" s="5" t="s">
        <v>2061</v>
      </c>
      <c r="R176" s="34" t="s">
        <v>2065</v>
      </c>
      <c r="S176" s="5" t="s">
        <v>2063</v>
      </c>
      <c r="T176" s="5" t="s">
        <v>445</v>
      </c>
    </row>
    <row r="177" spans="2:20" ht="14">
      <c r="B177" s="9"/>
      <c r="C177" s="5" t="s">
        <v>1857</v>
      </c>
      <c r="D177" s="214" t="s">
        <v>383</v>
      </c>
      <c r="E177" s="212" t="str">
        <f>+VLOOKUP(F177,Resumen_Base!$B$6:$F$69,5,0)</f>
        <v>Maintenance Lodge</v>
      </c>
      <c r="F177" s="5" t="s">
        <v>31</v>
      </c>
      <c r="G177" s="34" t="s">
        <v>30</v>
      </c>
      <c r="H177" s="5" t="str">
        <f t="shared" si="2"/>
        <v>DEL5252</v>
      </c>
      <c r="I177" s="306">
        <v>156000</v>
      </c>
      <c r="J177" s="307">
        <v>109.473684210526</v>
      </c>
      <c r="K177" s="6">
        <v>1425</v>
      </c>
      <c r="L177" s="5" t="s">
        <v>2074</v>
      </c>
      <c r="M177" s="62" t="s">
        <v>452</v>
      </c>
      <c r="N177" s="62" t="s">
        <v>464</v>
      </c>
      <c r="O177" s="62" t="s">
        <v>2083</v>
      </c>
      <c r="P177" s="100" t="s">
        <v>1895</v>
      </c>
      <c r="Q177" s="5" t="s">
        <v>2084</v>
      </c>
      <c r="R177" s="34" t="s">
        <v>2094</v>
      </c>
      <c r="S177" s="5" t="s">
        <v>2086</v>
      </c>
      <c r="T177" s="5" t="s">
        <v>445</v>
      </c>
    </row>
    <row r="178" spans="2:20" ht="14">
      <c r="B178" s="9"/>
      <c r="C178" s="5" t="s">
        <v>1857</v>
      </c>
      <c r="D178" s="214" t="s">
        <v>383</v>
      </c>
      <c r="E178" s="212" t="str">
        <f>+VLOOKUP(F178,Resumen_Base!$B$6:$F$69,5,0)</f>
        <v>Maintenance Lodge</v>
      </c>
      <c r="F178" s="5" t="s">
        <v>31</v>
      </c>
      <c r="G178" s="34" t="s">
        <v>30</v>
      </c>
      <c r="H178" s="5" t="str">
        <f t="shared" si="2"/>
        <v>DEL5252</v>
      </c>
      <c r="I178" s="306">
        <v>202000</v>
      </c>
      <c r="J178" s="307">
        <v>141.75438596491199</v>
      </c>
      <c r="K178" s="6">
        <v>1425</v>
      </c>
      <c r="L178" s="5" t="s">
        <v>1911</v>
      </c>
      <c r="M178" s="62" t="s">
        <v>452</v>
      </c>
      <c r="N178" s="62" t="s">
        <v>464</v>
      </c>
      <c r="O178" s="62" t="s">
        <v>2060</v>
      </c>
      <c r="P178" s="100" t="s">
        <v>1895</v>
      </c>
      <c r="Q178" s="5" t="s">
        <v>2061</v>
      </c>
      <c r="R178" s="34" t="s">
        <v>2100</v>
      </c>
      <c r="S178" s="5" t="s">
        <v>2063</v>
      </c>
      <c r="T178" s="5" t="s">
        <v>445</v>
      </c>
    </row>
    <row r="179" spans="2:20" ht="14">
      <c r="B179" s="9"/>
      <c r="C179" s="5" t="s">
        <v>1857</v>
      </c>
      <c r="D179" s="214" t="s">
        <v>383</v>
      </c>
      <c r="E179" s="212" t="str">
        <f>+VLOOKUP(F179,Resumen_Base!$B$6:$F$69,5,0)</f>
        <v>Maintenance  Boats / Vehicles</v>
      </c>
      <c r="F179" s="5" t="s">
        <v>62</v>
      </c>
      <c r="G179" s="34" t="s">
        <v>63</v>
      </c>
      <c r="H179" s="5" t="str">
        <f t="shared" si="2"/>
        <v>DEL5253</v>
      </c>
      <c r="I179" s="306">
        <v>128650</v>
      </c>
      <c r="J179" s="307">
        <v>90.918727915194395</v>
      </c>
      <c r="K179" s="6">
        <v>1415</v>
      </c>
      <c r="L179" s="5" t="s">
        <v>1902</v>
      </c>
      <c r="M179" s="62" t="s">
        <v>452</v>
      </c>
      <c r="N179" s="62" t="s">
        <v>464</v>
      </c>
      <c r="O179" s="62" t="s">
        <v>1945</v>
      </c>
      <c r="P179" s="100" t="s">
        <v>1895</v>
      </c>
      <c r="Q179" s="5" t="s">
        <v>1946</v>
      </c>
      <c r="R179" s="34" t="s">
        <v>1980</v>
      </c>
      <c r="S179" s="5" t="s">
        <v>1948</v>
      </c>
      <c r="T179" s="5" t="s">
        <v>445</v>
      </c>
    </row>
    <row r="180" spans="2:20" ht="14">
      <c r="B180" s="9"/>
      <c r="C180" s="5" t="s">
        <v>1857</v>
      </c>
      <c r="D180" s="214" t="s">
        <v>383</v>
      </c>
      <c r="E180" s="212" t="str">
        <f>+VLOOKUP(F180,Resumen_Base!$B$6:$F$69,5,0)</f>
        <v>Maintenance  Boats / Vehicles</v>
      </c>
      <c r="F180" s="5" t="s">
        <v>62</v>
      </c>
      <c r="G180" s="34" t="s">
        <v>63</v>
      </c>
      <c r="H180" s="5" t="str">
        <f t="shared" si="2"/>
        <v>DEL5253</v>
      </c>
      <c r="I180" s="306">
        <v>128650</v>
      </c>
      <c r="J180" s="307">
        <v>90.918727915194395</v>
      </c>
      <c r="K180" s="6">
        <v>1415</v>
      </c>
      <c r="L180" s="5" t="s">
        <v>1902</v>
      </c>
      <c r="M180" s="62" t="s">
        <v>452</v>
      </c>
      <c r="N180" s="62" t="s">
        <v>464</v>
      </c>
      <c r="O180" s="62" t="s">
        <v>1949</v>
      </c>
      <c r="P180" s="100" t="s">
        <v>1895</v>
      </c>
      <c r="Q180" s="5" t="s">
        <v>1950</v>
      </c>
      <c r="R180" s="34" t="s">
        <v>1980</v>
      </c>
      <c r="S180" s="5" t="s">
        <v>1951</v>
      </c>
      <c r="T180" s="5" t="s">
        <v>445</v>
      </c>
    </row>
    <row r="181" spans="2:20" ht="14">
      <c r="B181" s="9"/>
      <c r="C181" s="5" t="s">
        <v>1857</v>
      </c>
      <c r="D181" s="214" t="s">
        <v>383</v>
      </c>
      <c r="E181" s="212" t="str">
        <f>+VLOOKUP(F181,Resumen_Base!$B$6:$F$69,5,0)</f>
        <v>Maintenance  Boats / Vehicles</v>
      </c>
      <c r="F181" s="5" t="s">
        <v>62</v>
      </c>
      <c r="G181" s="34" t="s">
        <v>63</v>
      </c>
      <c r="H181" s="5" t="str">
        <f t="shared" si="2"/>
        <v>DEL5253</v>
      </c>
      <c r="I181" s="306">
        <v>-128650</v>
      </c>
      <c r="J181" s="307">
        <v>-90.918727915194395</v>
      </c>
      <c r="K181" s="6">
        <v>1415</v>
      </c>
      <c r="L181" s="5" t="s">
        <v>1902</v>
      </c>
      <c r="M181" s="62" t="s">
        <v>452</v>
      </c>
      <c r="N181" s="62" t="s">
        <v>464</v>
      </c>
      <c r="O181" s="62" t="s">
        <v>1952</v>
      </c>
      <c r="P181" s="100" t="s">
        <v>1895</v>
      </c>
      <c r="Q181" s="5" t="s">
        <v>1953</v>
      </c>
      <c r="R181" s="34" t="s">
        <v>1980</v>
      </c>
      <c r="S181" s="5" t="s">
        <v>1954</v>
      </c>
      <c r="T181" s="5" t="s">
        <v>445</v>
      </c>
    </row>
    <row r="182" spans="2:20" ht="14">
      <c r="B182" s="9"/>
      <c r="C182" s="5" t="s">
        <v>1857</v>
      </c>
      <c r="D182" s="214" t="s">
        <v>383</v>
      </c>
      <c r="E182" s="212" t="str">
        <f>+VLOOKUP(F182,Resumen_Base!$B$6:$F$69,5,0)</f>
        <v>Maintenance  Boats / Vehicles</v>
      </c>
      <c r="F182" s="5" t="s">
        <v>62</v>
      </c>
      <c r="G182" s="34" t="s">
        <v>63</v>
      </c>
      <c r="H182" s="5" t="str">
        <f t="shared" si="2"/>
        <v>DEL5253</v>
      </c>
      <c r="I182" s="306">
        <v>20000</v>
      </c>
      <c r="J182" s="307">
        <v>14.1342756183746</v>
      </c>
      <c r="K182" s="6">
        <v>1415</v>
      </c>
      <c r="L182" s="5" t="s">
        <v>1902</v>
      </c>
      <c r="M182" s="62" t="s">
        <v>452</v>
      </c>
      <c r="N182" s="62" t="s">
        <v>464</v>
      </c>
      <c r="O182" s="62" t="s">
        <v>1945</v>
      </c>
      <c r="P182" s="100" t="s">
        <v>1895</v>
      </c>
      <c r="Q182" s="5" t="s">
        <v>1946</v>
      </c>
      <c r="R182" s="34" t="s">
        <v>2024</v>
      </c>
      <c r="S182" s="5" t="s">
        <v>1948</v>
      </c>
      <c r="T182" s="5" t="s">
        <v>445</v>
      </c>
    </row>
    <row r="183" spans="2:20" ht="14">
      <c r="B183" s="9"/>
      <c r="C183" s="5" t="s">
        <v>1857</v>
      </c>
      <c r="D183" s="214" t="s">
        <v>383</v>
      </c>
      <c r="E183" s="212" t="str">
        <f>+VLOOKUP(F183,Resumen_Base!$B$6:$F$69,5,0)</f>
        <v>Maintenance  Boats / Vehicles</v>
      </c>
      <c r="F183" s="5" t="s">
        <v>62</v>
      </c>
      <c r="G183" s="34" t="s">
        <v>63</v>
      </c>
      <c r="H183" s="5" t="str">
        <f t="shared" si="2"/>
        <v>DEL5253</v>
      </c>
      <c r="I183" s="306">
        <v>20000</v>
      </c>
      <c r="J183" s="307">
        <v>14.1342756183746</v>
      </c>
      <c r="K183" s="6">
        <v>1415</v>
      </c>
      <c r="L183" s="5" t="s">
        <v>1902</v>
      </c>
      <c r="M183" s="62" t="s">
        <v>452</v>
      </c>
      <c r="N183" s="62" t="s">
        <v>464</v>
      </c>
      <c r="O183" s="62" t="s">
        <v>1949</v>
      </c>
      <c r="P183" s="100" t="s">
        <v>1895</v>
      </c>
      <c r="Q183" s="5" t="s">
        <v>1950</v>
      </c>
      <c r="R183" s="34" t="s">
        <v>2024</v>
      </c>
      <c r="S183" s="5" t="s">
        <v>1951</v>
      </c>
      <c r="T183" s="5" t="s">
        <v>445</v>
      </c>
    </row>
    <row r="184" spans="2:20" ht="14">
      <c r="B184" s="9"/>
      <c r="C184" s="5" t="s">
        <v>1857</v>
      </c>
      <c r="D184" s="214" t="s">
        <v>383</v>
      </c>
      <c r="E184" s="212" t="str">
        <f>+VLOOKUP(F184,Resumen_Base!$B$6:$F$69,5,0)</f>
        <v>Maintenance  Boats / Vehicles</v>
      </c>
      <c r="F184" s="5" t="s">
        <v>62</v>
      </c>
      <c r="G184" s="34" t="s">
        <v>63</v>
      </c>
      <c r="H184" s="5" t="str">
        <f t="shared" si="2"/>
        <v>DEL5253</v>
      </c>
      <c r="I184" s="306">
        <v>-20000</v>
      </c>
      <c r="J184" s="307">
        <v>-14.1342756183746</v>
      </c>
      <c r="K184" s="6">
        <v>1415</v>
      </c>
      <c r="L184" s="5" t="s">
        <v>1902</v>
      </c>
      <c r="M184" s="62" t="s">
        <v>452</v>
      </c>
      <c r="N184" s="62" t="s">
        <v>464</v>
      </c>
      <c r="O184" s="62" t="s">
        <v>1952</v>
      </c>
      <c r="P184" s="100" t="s">
        <v>1895</v>
      </c>
      <c r="Q184" s="5" t="s">
        <v>1953</v>
      </c>
      <c r="R184" s="34" t="s">
        <v>2024</v>
      </c>
      <c r="S184" s="5" t="s">
        <v>1954</v>
      </c>
      <c r="T184" s="5" t="s">
        <v>445</v>
      </c>
    </row>
    <row r="185" spans="2:20" ht="14">
      <c r="B185" s="9"/>
      <c r="C185" s="5" t="s">
        <v>1857</v>
      </c>
      <c r="D185" s="214" t="s">
        <v>383</v>
      </c>
      <c r="E185" s="212" t="str">
        <f>+VLOOKUP(F185,Resumen_Base!$B$6:$F$69,5,0)</f>
        <v>Maintenance  Boats / Vehicles</v>
      </c>
      <c r="F185" s="5" t="s">
        <v>62</v>
      </c>
      <c r="G185" s="34" t="s">
        <v>63</v>
      </c>
      <c r="H185" s="5" t="str">
        <f t="shared" si="2"/>
        <v>DEL5253</v>
      </c>
      <c r="I185" s="306">
        <v>60000</v>
      </c>
      <c r="J185" s="307">
        <v>42.402826855123699</v>
      </c>
      <c r="K185" s="6">
        <v>1415</v>
      </c>
      <c r="L185" s="5" t="s">
        <v>1902</v>
      </c>
      <c r="M185" s="62" t="s">
        <v>452</v>
      </c>
      <c r="N185" s="62" t="s">
        <v>464</v>
      </c>
      <c r="O185" s="62" t="s">
        <v>1945</v>
      </c>
      <c r="P185" s="100" t="s">
        <v>1895</v>
      </c>
      <c r="Q185" s="5" t="s">
        <v>1946</v>
      </c>
      <c r="R185" s="34" t="s">
        <v>2028</v>
      </c>
      <c r="S185" s="5" t="s">
        <v>1948</v>
      </c>
      <c r="T185" s="5" t="s">
        <v>445</v>
      </c>
    </row>
    <row r="186" spans="2:20" ht="14">
      <c r="B186" s="9"/>
      <c r="C186" s="5" t="s">
        <v>1857</v>
      </c>
      <c r="D186" s="214" t="s">
        <v>383</v>
      </c>
      <c r="E186" s="212" t="str">
        <f>+VLOOKUP(F186,Resumen_Base!$B$6:$F$69,5,0)</f>
        <v>Maintenance  Boats / Vehicles</v>
      </c>
      <c r="F186" s="5" t="s">
        <v>62</v>
      </c>
      <c r="G186" s="34" t="s">
        <v>63</v>
      </c>
      <c r="H186" s="5" t="str">
        <f t="shared" si="2"/>
        <v>DEL5253</v>
      </c>
      <c r="I186" s="306">
        <v>60000</v>
      </c>
      <c r="J186" s="307">
        <v>42.402826855123699</v>
      </c>
      <c r="K186" s="6">
        <v>1415</v>
      </c>
      <c r="L186" s="5" t="s">
        <v>1902</v>
      </c>
      <c r="M186" s="62" t="s">
        <v>452</v>
      </c>
      <c r="N186" s="62" t="s">
        <v>464</v>
      </c>
      <c r="O186" s="62" t="s">
        <v>1949</v>
      </c>
      <c r="P186" s="100" t="s">
        <v>1895</v>
      </c>
      <c r="Q186" s="5" t="s">
        <v>1950</v>
      </c>
      <c r="R186" s="34" t="s">
        <v>2028</v>
      </c>
      <c r="S186" s="5" t="s">
        <v>1951</v>
      </c>
      <c r="T186" s="5" t="s">
        <v>445</v>
      </c>
    </row>
    <row r="187" spans="2:20" ht="14">
      <c r="B187" s="9"/>
      <c r="C187" s="5" t="s">
        <v>1857</v>
      </c>
      <c r="D187" s="214" t="s">
        <v>383</v>
      </c>
      <c r="E187" s="212" t="str">
        <f>+VLOOKUP(F187,Resumen_Base!$B$6:$F$69,5,0)</f>
        <v>Maintenance  Boats / Vehicles</v>
      </c>
      <c r="F187" s="5" t="s">
        <v>62</v>
      </c>
      <c r="G187" s="34" t="s">
        <v>63</v>
      </c>
      <c r="H187" s="5" t="str">
        <f t="shared" si="2"/>
        <v>DEL5253</v>
      </c>
      <c r="I187" s="306">
        <v>-60000</v>
      </c>
      <c r="J187" s="307">
        <v>-42.402826855123699</v>
      </c>
      <c r="K187" s="6">
        <v>1415</v>
      </c>
      <c r="L187" s="5" t="s">
        <v>1902</v>
      </c>
      <c r="M187" s="62" t="s">
        <v>452</v>
      </c>
      <c r="N187" s="62" t="s">
        <v>464</v>
      </c>
      <c r="O187" s="62" t="s">
        <v>1952</v>
      </c>
      <c r="P187" s="100" t="s">
        <v>1895</v>
      </c>
      <c r="Q187" s="5" t="s">
        <v>1953</v>
      </c>
      <c r="R187" s="34" t="s">
        <v>2028</v>
      </c>
      <c r="S187" s="5" t="s">
        <v>1954</v>
      </c>
      <c r="T187" s="5" t="s">
        <v>445</v>
      </c>
    </row>
    <row r="188" spans="2:20" ht="14">
      <c r="B188" s="9"/>
      <c r="C188" s="5" t="s">
        <v>1857</v>
      </c>
      <c r="D188" s="214" t="s">
        <v>383</v>
      </c>
      <c r="E188" s="212" t="str">
        <f>+VLOOKUP(F188,Resumen_Base!$B$6:$F$69,5,0)</f>
        <v>Travel for personnel (employees)</v>
      </c>
      <c r="F188" s="5" t="s">
        <v>64</v>
      </c>
      <c r="G188" s="34" t="s">
        <v>65</v>
      </c>
      <c r="H188" s="5" t="str">
        <f t="shared" si="2"/>
        <v>DEL5255</v>
      </c>
      <c r="I188" s="306">
        <v>50000</v>
      </c>
      <c r="J188" s="307">
        <v>34.7222222222222</v>
      </c>
      <c r="K188" s="6">
        <v>1440</v>
      </c>
      <c r="L188" s="5" t="s">
        <v>1939</v>
      </c>
      <c r="M188" s="62" t="s">
        <v>452</v>
      </c>
      <c r="N188" s="62" t="s">
        <v>464</v>
      </c>
      <c r="O188" s="62" t="s">
        <v>1940</v>
      </c>
      <c r="P188" s="100" t="s">
        <v>1895</v>
      </c>
      <c r="Q188" s="5" t="s">
        <v>1941</v>
      </c>
      <c r="R188" s="34" t="s">
        <v>1966</v>
      </c>
      <c r="S188" s="5" t="s">
        <v>1943</v>
      </c>
      <c r="T188" s="5" t="s">
        <v>445</v>
      </c>
    </row>
    <row r="189" spans="2:20" ht="14">
      <c r="B189" s="9"/>
      <c r="C189" s="5" t="s">
        <v>1857</v>
      </c>
      <c r="D189" s="214" t="s">
        <v>383</v>
      </c>
      <c r="E189" s="212" t="str">
        <f>+VLOOKUP(F189,Resumen_Base!$B$6:$F$69,5,0)</f>
        <v>Travel for personnel (employees)</v>
      </c>
      <c r="F189" s="5" t="s">
        <v>64</v>
      </c>
      <c r="G189" s="34" t="s">
        <v>65</v>
      </c>
      <c r="H189" s="5" t="str">
        <f t="shared" si="2"/>
        <v>DEL5255</v>
      </c>
      <c r="I189" s="306">
        <v>9400</v>
      </c>
      <c r="J189" s="307">
        <v>6.6431095406360399</v>
      </c>
      <c r="K189" s="6">
        <v>1415</v>
      </c>
      <c r="L189" s="5" t="s">
        <v>1902</v>
      </c>
      <c r="M189" s="62" t="s">
        <v>452</v>
      </c>
      <c r="N189" s="62" t="s">
        <v>464</v>
      </c>
      <c r="O189" s="62" t="s">
        <v>1945</v>
      </c>
      <c r="P189" s="100" t="s">
        <v>1895</v>
      </c>
      <c r="Q189" s="5" t="s">
        <v>1946</v>
      </c>
      <c r="R189" s="34" t="s">
        <v>1999</v>
      </c>
      <c r="S189" s="5" t="s">
        <v>1948</v>
      </c>
      <c r="T189" s="5" t="s">
        <v>445</v>
      </c>
    </row>
    <row r="190" spans="2:20" ht="14">
      <c r="B190" s="9"/>
      <c r="C190" s="5" t="s">
        <v>1857</v>
      </c>
      <c r="D190" s="214" t="s">
        <v>383</v>
      </c>
      <c r="E190" s="212" t="str">
        <f>+VLOOKUP(F190,Resumen_Base!$B$6:$F$69,5,0)</f>
        <v>Travel for personnel (employees)</v>
      </c>
      <c r="F190" s="5" t="s">
        <v>64</v>
      </c>
      <c r="G190" s="34" t="s">
        <v>65</v>
      </c>
      <c r="H190" s="5" t="str">
        <f t="shared" si="2"/>
        <v>DEL5255</v>
      </c>
      <c r="I190" s="306">
        <v>9400</v>
      </c>
      <c r="J190" s="307">
        <v>6.6431095406360399</v>
      </c>
      <c r="K190" s="6">
        <v>1415</v>
      </c>
      <c r="L190" s="5" t="s">
        <v>1902</v>
      </c>
      <c r="M190" s="62" t="s">
        <v>452</v>
      </c>
      <c r="N190" s="62" t="s">
        <v>464</v>
      </c>
      <c r="O190" s="62" t="s">
        <v>1949</v>
      </c>
      <c r="P190" s="100" t="s">
        <v>1895</v>
      </c>
      <c r="Q190" s="5" t="s">
        <v>1950</v>
      </c>
      <c r="R190" s="34" t="s">
        <v>1999</v>
      </c>
      <c r="S190" s="5" t="s">
        <v>1951</v>
      </c>
      <c r="T190" s="5" t="s">
        <v>445</v>
      </c>
    </row>
    <row r="191" spans="2:20" ht="14">
      <c r="B191" s="9"/>
      <c r="C191" s="5" t="s">
        <v>1857</v>
      </c>
      <c r="D191" s="214" t="s">
        <v>383</v>
      </c>
      <c r="E191" s="212" t="str">
        <f>+VLOOKUP(F191,Resumen_Base!$B$6:$F$69,5,0)</f>
        <v>Travel for personnel (employees)</v>
      </c>
      <c r="F191" s="5" t="s">
        <v>64</v>
      </c>
      <c r="G191" s="34" t="s">
        <v>65</v>
      </c>
      <c r="H191" s="5" t="str">
        <f t="shared" si="2"/>
        <v>DEL5255</v>
      </c>
      <c r="I191" s="306">
        <v>-9400</v>
      </c>
      <c r="J191" s="307">
        <v>-6.6431095406360399</v>
      </c>
      <c r="K191" s="6">
        <v>1415</v>
      </c>
      <c r="L191" s="5" t="s">
        <v>1902</v>
      </c>
      <c r="M191" s="62" t="s">
        <v>452</v>
      </c>
      <c r="N191" s="62" t="s">
        <v>464</v>
      </c>
      <c r="O191" s="62" t="s">
        <v>1952</v>
      </c>
      <c r="P191" s="100" t="s">
        <v>1895</v>
      </c>
      <c r="Q191" s="5" t="s">
        <v>1953</v>
      </c>
      <c r="R191" s="34" t="s">
        <v>1999</v>
      </c>
      <c r="S191" s="5" t="s">
        <v>1954</v>
      </c>
      <c r="T191" s="5" t="s">
        <v>445</v>
      </c>
    </row>
    <row r="192" spans="2:20" ht="14">
      <c r="B192" s="9"/>
      <c r="C192" s="5" t="s">
        <v>1857</v>
      </c>
      <c r="D192" s="214" t="s">
        <v>383</v>
      </c>
      <c r="E192" s="212" t="str">
        <f>+VLOOKUP(F192,Resumen_Base!$B$6:$F$69,5,0)</f>
        <v>Travel for personnel (employees)</v>
      </c>
      <c r="F192" s="5" t="s">
        <v>64</v>
      </c>
      <c r="G192" s="34" t="s">
        <v>65</v>
      </c>
      <c r="H192" s="5" t="str">
        <f t="shared" si="2"/>
        <v>DEL5255</v>
      </c>
      <c r="I192" s="306">
        <v>40000</v>
      </c>
      <c r="J192" s="307">
        <v>28.0701754385965</v>
      </c>
      <c r="K192" s="6">
        <v>1425</v>
      </c>
      <c r="L192" s="5" t="s">
        <v>1955</v>
      </c>
      <c r="M192" s="62" t="s">
        <v>452</v>
      </c>
      <c r="N192" s="62" t="s">
        <v>464</v>
      </c>
      <c r="O192" s="62" t="s">
        <v>1956</v>
      </c>
      <c r="P192" s="100" t="s">
        <v>1895</v>
      </c>
      <c r="Q192" s="5" t="s">
        <v>1957</v>
      </c>
      <c r="R192" s="34" t="s">
        <v>491</v>
      </c>
      <c r="S192" s="5" t="s">
        <v>1959</v>
      </c>
      <c r="T192" s="5" t="s">
        <v>445</v>
      </c>
    </row>
    <row r="193" spans="2:20" ht="14">
      <c r="B193" s="9"/>
      <c r="C193" s="5" t="s">
        <v>1857</v>
      </c>
      <c r="D193" s="214" t="s">
        <v>383</v>
      </c>
      <c r="E193" s="212" t="str">
        <f>+VLOOKUP(F193,Resumen_Base!$B$6:$F$69,5,0)</f>
        <v>Travel for personnel (employees)</v>
      </c>
      <c r="F193" s="5" t="s">
        <v>64</v>
      </c>
      <c r="G193" s="34" t="s">
        <v>65</v>
      </c>
      <c r="H193" s="5" t="str">
        <f t="shared" si="2"/>
        <v>DEL5255</v>
      </c>
      <c r="I193" s="306">
        <v>60000</v>
      </c>
      <c r="J193" s="307">
        <v>42.402826855123699</v>
      </c>
      <c r="K193" s="6">
        <v>1415</v>
      </c>
      <c r="L193" s="5" t="s">
        <v>1902</v>
      </c>
      <c r="M193" s="62" t="s">
        <v>452</v>
      </c>
      <c r="N193" s="62" t="s">
        <v>464</v>
      </c>
      <c r="O193" s="62" t="s">
        <v>1945</v>
      </c>
      <c r="P193" s="100" t="s">
        <v>1895</v>
      </c>
      <c r="Q193" s="5" t="s">
        <v>1946</v>
      </c>
      <c r="R193" s="34" t="s">
        <v>491</v>
      </c>
      <c r="S193" s="5" t="s">
        <v>1948</v>
      </c>
      <c r="T193" s="5" t="s">
        <v>445</v>
      </c>
    </row>
    <row r="194" spans="2:20" ht="14">
      <c r="B194" s="9"/>
      <c r="C194" s="5" t="s">
        <v>1857</v>
      </c>
      <c r="D194" s="214" t="s">
        <v>383</v>
      </c>
      <c r="E194" s="212" t="str">
        <f>+VLOOKUP(F194,Resumen_Base!$B$6:$F$69,5,0)</f>
        <v>Travel for personnel (employees)</v>
      </c>
      <c r="F194" s="5" t="s">
        <v>64</v>
      </c>
      <c r="G194" s="34" t="s">
        <v>65</v>
      </c>
      <c r="H194" s="5" t="str">
        <f t="shared" si="2"/>
        <v>DEL5255</v>
      </c>
      <c r="I194" s="306">
        <v>60000</v>
      </c>
      <c r="J194" s="307">
        <v>42.402826855123699</v>
      </c>
      <c r="K194" s="6">
        <v>1415</v>
      </c>
      <c r="L194" s="5" t="s">
        <v>1902</v>
      </c>
      <c r="M194" s="62" t="s">
        <v>452</v>
      </c>
      <c r="N194" s="62" t="s">
        <v>464</v>
      </c>
      <c r="O194" s="62" t="s">
        <v>1949</v>
      </c>
      <c r="P194" s="100" t="s">
        <v>1895</v>
      </c>
      <c r="Q194" s="5" t="s">
        <v>1950</v>
      </c>
      <c r="R194" s="34" t="s">
        <v>491</v>
      </c>
      <c r="S194" s="5" t="s">
        <v>1951</v>
      </c>
      <c r="T194" s="5" t="s">
        <v>445</v>
      </c>
    </row>
    <row r="195" spans="2:20" ht="14">
      <c r="B195" s="9"/>
      <c r="C195" s="5" t="s">
        <v>1857</v>
      </c>
      <c r="D195" s="214" t="s">
        <v>383</v>
      </c>
      <c r="E195" s="212" t="str">
        <f>+VLOOKUP(F195,Resumen_Base!$B$6:$F$69,5,0)</f>
        <v>Travel for personnel (employees)</v>
      </c>
      <c r="F195" s="5" t="s">
        <v>64</v>
      </c>
      <c r="G195" s="34" t="s">
        <v>65</v>
      </c>
      <c r="H195" s="5" t="str">
        <f t="shared" si="2"/>
        <v>DEL5255</v>
      </c>
      <c r="I195" s="306">
        <v>-60000</v>
      </c>
      <c r="J195" s="307">
        <v>-42.402826855123699</v>
      </c>
      <c r="K195" s="6">
        <v>1415</v>
      </c>
      <c r="L195" s="5" t="s">
        <v>1902</v>
      </c>
      <c r="M195" s="62" t="s">
        <v>452</v>
      </c>
      <c r="N195" s="62" t="s">
        <v>464</v>
      </c>
      <c r="O195" s="62" t="s">
        <v>1952</v>
      </c>
      <c r="P195" s="100" t="s">
        <v>1895</v>
      </c>
      <c r="Q195" s="5" t="s">
        <v>1953</v>
      </c>
      <c r="R195" s="34" t="s">
        <v>491</v>
      </c>
      <c r="S195" s="5" t="s">
        <v>1954</v>
      </c>
      <c r="T195" s="5" t="s">
        <v>445</v>
      </c>
    </row>
    <row r="196" spans="2:20" ht="14">
      <c r="B196" s="9"/>
      <c r="C196" s="5" t="s">
        <v>1857</v>
      </c>
      <c r="D196" s="214" t="s">
        <v>383</v>
      </c>
      <c r="E196" s="212" t="str">
        <f>+VLOOKUP(F196,Resumen_Base!$B$6:$F$69,5,0)</f>
        <v>Travel for personnel (employees)</v>
      </c>
      <c r="F196" s="5" t="s">
        <v>64</v>
      </c>
      <c r="G196" s="34" t="s">
        <v>65</v>
      </c>
      <c r="H196" s="5" t="str">
        <f t="shared" si="2"/>
        <v>DEL5255</v>
      </c>
      <c r="I196" s="306">
        <v>40000</v>
      </c>
      <c r="J196" s="307">
        <v>28.268551236749101</v>
      </c>
      <c r="K196" s="6">
        <v>1415</v>
      </c>
      <c r="L196" s="5" t="s">
        <v>1902</v>
      </c>
      <c r="M196" s="62" t="s">
        <v>452</v>
      </c>
      <c r="N196" s="62" t="s">
        <v>464</v>
      </c>
      <c r="O196" s="62" t="s">
        <v>1945</v>
      </c>
      <c r="P196" s="100" t="s">
        <v>1895</v>
      </c>
      <c r="Q196" s="5" t="s">
        <v>1946</v>
      </c>
      <c r="R196" s="34" t="s">
        <v>2030</v>
      </c>
      <c r="S196" s="5" t="s">
        <v>1948</v>
      </c>
      <c r="T196" s="5" t="s">
        <v>445</v>
      </c>
    </row>
    <row r="197" spans="2:20" ht="14">
      <c r="B197" s="9"/>
      <c r="C197" s="5" t="s">
        <v>1857</v>
      </c>
      <c r="D197" s="214" t="s">
        <v>383</v>
      </c>
      <c r="E197" s="212" t="str">
        <f>+VLOOKUP(F197,Resumen_Base!$B$6:$F$69,5,0)</f>
        <v>Travel for personnel (employees)</v>
      </c>
      <c r="F197" s="5" t="s">
        <v>64</v>
      </c>
      <c r="G197" s="34" t="s">
        <v>65</v>
      </c>
      <c r="H197" s="5" t="str">
        <f t="shared" si="2"/>
        <v>DEL5255</v>
      </c>
      <c r="I197" s="306">
        <v>40000</v>
      </c>
      <c r="J197" s="307">
        <v>28.268551236749101</v>
      </c>
      <c r="K197" s="6">
        <v>1415</v>
      </c>
      <c r="L197" s="5" t="s">
        <v>1902</v>
      </c>
      <c r="M197" s="62" t="s">
        <v>452</v>
      </c>
      <c r="N197" s="62" t="s">
        <v>464</v>
      </c>
      <c r="O197" s="62" t="s">
        <v>1949</v>
      </c>
      <c r="P197" s="100" t="s">
        <v>1895</v>
      </c>
      <c r="Q197" s="5" t="s">
        <v>1950</v>
      </c>
      <c r="R197" s="34" t="s">
        <v>2030</v>
      </c>
      <c r="S197" s="5" t="s">
        <v>1951</v>
      </c>
      <c r="T197" s="5" t="s">
        <v>445</v>
      </c>
    </row>
    <row r="198" spans="2:20" ht="14">
      <c r="B198" s="9"/>
      <c r="C198" s="5" t="s">
        <v>1857</v>
      </c>
      <c r="D198" s="214" t="s">
        <v>383</v>
      </c>
      <c r="E198" s="212" t="str">
        <f>+VLOOKUP(F198,Resumen_Base!$B$6:$F$69,5,0)</f>
        <v>Travel for personnel (employees)</v>
      </c>
      <c r="F198" s="5" t="s">
        <v>64</v>
      </c>
      <c r="G198" s="34" t="s">
        <v>65</v>
      </c>
      <c r="H198" s="5" t="str">
        <f t="shared" si="2"/>
        <v>DEL5255</v>
      </c>
      <c r="I198" s="306">
        <v>-40000</v>
      </c>
      <c r="J198" s="307">
        <v>-28.268551236749101</v>
      </c>
      <c r="K198" s="6">
        <v>1415</v>
      </c>
      <c r="L198" s="5" t="s">
        <v>1902</v>
      </c>
      <c r="M198" s="62" t="s">
        <v>452</v>
      </c>
      <c r="N198" s="62" t="s">
        <v>464</v>
      </c>
      <c r="O198" s="62" t="s">
        <v>1952</v>
      </c>
      <c r="P198" s="100" t="s">
        <v>1895</v>
      </c>
      <c r="Q198" s="5" t="s">
        <v>1953</v>
      </c>
      <c r="R198" s="34" t="s">
        <v>2030</v>
      </c>
      <c r="S198" s="5" t="s">
        <v>1954</v>
      </c>
      <c r="T198" s="5" t="s">
        <v>445</v>
      </c>
    </row>
    <row r="199" spans="2:20" ht="14">
      <c r="B199" s="9"/>
      <c r="C199" s="5" t="s">
        <v>1857</v>
      </c>
      <c r="D199" s="214" t="s">
        <v>383</v>
      </c>
      <c r="E199" s="212" t="str">
        <f>+VLOOKUP(F199,Resumen_Base!$B$6:$F$69,5,0)</f>
        <v>Travel for personnel (employees)</v>
      </c>
      <c r="F199" s="5" t="s">
        <v>64</v>
      </c>
      <c r="G199" s="34" t="s">
        <v>65</v>
      </c>
      <c r="H199" s="5" t="str">
        <f t="shared" si="2"/>
        <v>DEL5255</v>
      </c>
      <c r="I199" s="306">
        <v>700</v>
      </c>
      <c r="J199" s="307">
        <v>0.48611111111111099</v>
      </c>
      <c r="K199" s="6">
        <v>1440</v>
      </c>
      <c r="L199" s="5" t="s">
        <v>1939</v>
      </c>
      <c r="M199" s="62" t="s">
        <v>452</v>
      </c>
      <c r="N199" s="62" t="s">
        <v>464</v>
      </c>
      <c r="O199" s="62" t="s">
        <v>1940</v>
      </c>
      <c r="P199" s="100" t="s">
        <v>1895</v>
      </c>
      <c r="Q199" s="5" t="s">
        <v>1941</v>
      </c>
      <c r="R199" s="34" t="s">
        <v>660</v>
      </c>
      <c r="S199" s="5" t="s">
        <v>1943</v>
      </c>
      <c r="T199" s="5" t="s">
        <v>445</v>
      </c>
    </row>
    <row r="200" spans="2:20" ht="14">
      <c r="B200" s="9"/>
      <c r="C200" s="5" t="s">
        <v>1857</v>
      </c>
      <c r="D200" s="214" t="s">
        <v>383</v>
      </c>
      <c r="E200" s="212" t="str">
        <f>+VLOOKUP(F200,Resumen_Base!$B$6:$F$69,5,0)</f>
        <v>Travel for personnel (employees)</v>
      </c>
      <c r="F200" s="5" t="s">
        <v>64</v>
      </c>
      <c r="G200" s="34" t="s">
        <v>65</v>
      </c>
      <c r="H200" s="5" t="str">
        <f t="shared" si="2"/>
        <v>DEL5255</v>
      </c>
      <c r="I200" s="306">
        <v>900</v>
      </c>
      <c r="J200" s="307">
        <v>0.63157894736842102</v>
      </c>
      <c r="K200" s="6">
        <v>1425</v>
      </c>
      <c r="L200" s="5" t="s">
        <v>1955</v>
      </c>
      <c r="M200" s="62" t="s">
        <v>452</v>
      </c>
      <c r="N200" s="62" t="s">
        <v>464</v>
      </c>
      <c r="O200" s="62" t="s">
        <v>1956</v>
      </c>
      <c r="P200" s="100" t="s">
        <v>1895</v>
      </c>
      <c r="Q200" s="5" t="s">
        <v>1957</v>
      </c>
      <c r="R200" s="34" t="s">
        <v>637</v>
      </c>
      <c r="S200" s="5" t="s">
        <v>1959</v>
      </c>
      <c r="T200" s="5" t="s">
        <v>445</v>
      </c>
    </row>
    <row r="201" spans="2:20" ht="14">
      <c r="B201" s="9"/>
      <c r="C201" s="5" t="s">
        <v>1857</v>
      </c>
      <c r="D201" s="214" t="s">
        <v>383</v>
      </c>
      <c r="E201" s="212" t="str">
        <f>+VLOOKUP(F201,Resumen_Base!$B$6:$F$69,5,0)</f>
        <v>Travel for personnel (employees)</v>
      </c>
      <c r="F201" s="5" t="s">
        <v>64</v>
      </c>
      <c r="G201" s="34" t="s">
        <v>65</v>
      </c>
      <c r="H201" s="5" t="str">
        <f t="shared" si="2"/>
        <v>DEL5255</v>
      </c>
      <c r="I201" s="306">
        <v>9300</v>
      </c>
      <c r="J201" s="307">
        <v>6.5724381625441701</v>
      </c>
      <c r="K201" s="6">
        <v>1415</v>
      </c>
      <c r="L201" s="5" t="s">
        <v>1902</v>
      </c>
      <c r="M201" s="62" t="s">
        <v>452</v>
      </c>
      <c r="N201" s="62" t="s">
        <v>464</v>
      </c>
      <c r="O201" s="62" t="s">
        <v>1945</v>
      </c>
      <c r="P201" s="100" t="s">
        <v>1895</v>
      </c>
      <c r="Q201" s="5" t="s">
        <v>1946</v>
      </c>
      <c r="R201" s="34" t="s">
        <v>2053</v>
      </c>
      <c r="S201" s="5" t="s">
        <v>1948</v>
      </c>
      <c r="T201" s="5" t="s">
        <v>445</v>
      </c>
    </row>
    <row r="202" spans="2:20" ht="14">
      <c r="B202" s="9"/>
      <c r="C202" s="5" t="s">
        <v>1857</v>
      </c>
      <c r="D202" s="214" t="s">
        <v>383</v>
      </c>
      <c r="E202" s="212" t="str">
        <f>+VLOOKUP(F202,Resumen_Base!$B$6:$F$69,5,0)</f>
        <v>Travel for personnel (employees)</v>
      </c>
      <c r="F202" s="5" t="s">
        <v>64</v>
      </c>
      <c r="G202" s="34" t="s">
        <v>65</v>
      </c>
      <c r="H202" s="5" t="str">
        <f t="shared" si="2"/>
        <v>DEL5255</v>
      </c>
      <c r="I202" s="306">
        <v>9300</v>
      </c>
      <c r="J202" s="307">
        <v>6.5724381625441701</v>
      </c>
      <c r="K202" s="6">
        <v>1415</v>
      </c>
      <c r="L202" s="5" t="s">
        <v>1902</v>
      </c>
      <c r="M202" s="62" t="s">
        <v>452</v>
      </c>
      <c r="N202" s="62" t="s">
        <v>464</v>
      </c>
      <c r="O202" s="62" t="s">
        <v>1949</v>
      </c>
      <c r="P202" s="100" t="s">
        <v>1895</v>
      </c>
      <c r="Q202" s="5" t="s">
        <v>1950</v>
      </c>
      <c r="R202" s="34" t="s">
        <v>2053</v>
      </c>
      <c r="S202" s="5" t="s">
        <v>1951</v>
      </c>
      <c r="T202" s="5" t="s">
        <v>445</v>
      </c>
    </row>
    <row r="203" spans="2:20" ht="14">
      <c r="B203" s="9"/>
      <c r="C203" s="5" t="s">
        <v>1857</v>
      </c>
      <c r="D203" s="214" t="s">
        <v>383</v>
      </c>
      <c r="E203" s="212" t="str">
        <f>+VLOOKUP(F203,Resumen_Base!$B$6:$F$69,5,0)</f>
        <v>Travel for personnel (employees)</v>
      </c>
      <c r="F203" s="5" t="s">
        <v>64</v>
      </c>
      <c r="G203" s="34" t="s">
        <v>65</v>
      </c>
      <c r="H203" s="5" t="str">
        <f t="shared" si="2"/>
        <v>DEL5255</v>
      </c>
      <c r="I203" s="306">
        <v>-9300</v>
      </c>
      <c r="J203" s="307">
        <v>-6.5724381625441701</v>
      </c>
      <c r="K203" s="6">
        <v>1415</v>
      </c>
      <c r="L203" s="5" t="s">
        <v>1902</v>
      </c>
      <c r="M203" s="62" t="s">
        <v>452</v>
      </c>
      <c r="N203" s="62" t="s">
        <v>464</v>
      </c>
      <c r="O203" s="62" t="s">
        <v>1952</v>
      </c>
      <c r="P203" s="100" t="s">
        <v>1895</v>
      </c>
      <c r="Q203" s="5" t="s">
        <v>1953</v>
      </c>
      <c r="R203" s="34" t="s">
        <v>2053</v>
      </c>
      <c r="S203" s="5" t="s">
        <v>1954</v>
      </c>
      <c r="T203" s="5" t="s">
        <v>445</v>
      </c>
    </row>
    <row r="204" spans="2:20" ht="14">
      <c r="B204" s="9"/>
      <c r="C204" s="5" t="s">
        <v>1857</v>
      </c>
      <c r="D204" s="214" t="s">
        <v>383</v>
      </c>
      <c r="E204" s="212" t="str">
        <f>+VLOOKUP(F204,Resumen_Base!$B$6:$F$69,5,0)</f>
        <v>Travel for personnel (employees)</v>
      </c>
      <c r="F204" s="5" t="s">
        <v>64</v>
      </c>
      <c r="G204" s="34" t="s">
        <v>65</v>
      </c>
      <c r="H204" s="5" t="str">
        <f t="shared" si="2"/>
        <v>DEL5255</v>
      </c>
      <c r="I204" s="306">
        <v>62500</v>
      </c>
      <c r="J204" s="307">
        <v>43.4027777777778</v>
      </c>
      <c r="K204" s="6">
        <v>1440</v>
      </c>
      <c r="L204" s="5" t="s">
        <v>1939</v>
      </c>
      <c r="M204" s="62" t="s">
        <v>452</v>
      </c>
      <c r="N204" s="62" t="s">
        <v>464</v>
      </c>
      <c r="O204" s="62" t="s">
        <v>1940</v>
      </c>
      <c r="P204" s="100" t="s">
        <v>1895</v>
      </c>
      <c r="Q204" s="5" t="s">
        <v>1941</v>
      </c>
      <c r="R204" s="34" t="s">
        <v>2055</v>
      </c>
      <c r="S204" s="5" t="s">
        <v>1943</v>
      </c>
      <c r="T204" s="5" t="s">
        <v>445</v>
      </c>
    </row>
    <row r="205" spans="2:20" ht="14">
      <c r="B205" s="9"/>
      <c r="C205" s="5" t="s">
        <v>1857</v>
      </c>
      <c r="D205" s="214" t="s">
        <v>383</v>
      </c>
      <c r="E205" s="212" t="str">
        <f>+VLOOKUP(F205,Resumen_Base!$B$6:$F$69,5,0)</f>
        <v>Travel for personnel (employees)</v>
      </c>
      <c r="F205" s="5" t="s">
        <v>64</v>
      </c>
      <c r="G205" s="34" t="s">
        <v>65</v>
      </c>
      <c r="H205" s="5" t="str">
        <f t="shared" si="2"/>
        <v>DEL5255</v>
      </c>
      <c r="I205" s="306">
        <v>62500</v>
      </c>
      <c r="J205" s="307">
        <v>44.169611307420503</v>
      </c>
      <c r="K205" s="6">
        <v>1415</v>
      </c>
      <c r="L205" s="5" t="s">
        <v>1902</v>
      </c>
      <c r="M205" s="62" t="s">
        <v>452</v>
      </c>
      <c r="N205" s="62" t="s">
        <v>464</v>
      </c>
      <c r="O205" s="62" t="s">
        <v>1945</v>
      </c>
      <c r="P205" s="100" t="s">
        <v>1895</v>
      </c>
      <c r="Q205" s="5" t="s">
        <v>1946</v>
      </c>
      <c r="R205" s="34" t="s">
        <v>2055</v>
      </c>
      <c r="S205" s="5" t="s">
        <v>1948</v>
      </c>
      <c r="T205" s="5" t="s">
        <v>445</v>
      </c>
    </row>
    <row r="206" spans="2:20" ht="14">
      <c r="B206" s="9"/>
      <c r="C206" s="5" t="s">
        <v>1857</v>
      </c>
      <c r="D206" s="214" t="s">
        <v>383</v>
      </c>
      <c r="E206" s="212" t="str">
        <f>+VLOOKUP(F206,Resumen_Base!$B$6:$F$69,5,0)</f>
        <v>Travel for personnel (employees)</v>
      </c>
      <c r="F206" s="5" t="s">
        <v>64</v>
      </c>
      <c r="G206" s="34" t="s">
        <v>65</v>
      </c>
      <c r="H206" s="5" t="str">
        <f t="shared" ref="H206:H251" si="4">+D206&amp;F206</f>
        <v>DEL5255</v>
      </c>
      <c r="I206" s="306">
        <v>62500</v>
      </c>
      <c r="J206" s="307">
        <v>44.169611307420503</v>
      </c>
      <c r="K206" s="6">
        <v>1415</v>
      </c>
      <c r="L206" s="5" t="s">
        <v>1902</v>
      </c>
      <c r="M206" s="62" t="s">
        <v>452</v>
      </c>
      <c r="N206" s="62" t="s">
        <v>464</v>
      </c>
      <c r="O206" s="62" t="s">
        <v>1949</v>
      </c>
      <c r="P206" s="100" t="s">
        <v>1895</v>
      </c>
      <c r="Q206" s="5" t="s">
        <v>1950</v>
      </c>
      <c r="R206" s="34" t="s">
        <v>2055</v>
      </c>
      <c r="S206" s="5" t="s">
        <v>1951</v>
      </c>
      <c r="T206" s="5" t="s">
        <v>445</v>
      </c>
    </row>
    <row r="207" spans="2:20" ht="14">
      <c r="B207" s="9"/>
      <c r="C207" s="5" t="s">
        <v>1857</v>
      </c>
      <c r="D207" s="214" t="s">
        <v>383</v>
      </c>
      <c r="E207" s="212" t="str">
        <f>+VLOOKUP(F207,Resumen_Base!$B$6:$F$69,5,0)</f>
        <v>Travel for personnel (employees)</v>
      </c>
      <c r="F207" s="5" t="s">
        <v>64</v>
      </c>
      <c r="G207" s="34" t="s">
        <v>65</v>
      </c>
      <c r="H207" s="5" t="str">
        <f t="shared" si="4"/>
        <v>DEL5255</v>
      </c>
      <c r="I207" s="306">
        <v>-62500</v>
      </c>
      <c r="J207" s="307">
        <v>-44.169611307420503</v>
      </c>
      <c r="K207" s="6">
        <v>1415</v>
      </c>
      <c r="L207" s="5" t="s">
        <v>1902</v>
      </c>
      <c r="M207" s="62" t="s">
        <v>452</v>
      </c>
      <c r="N207" s="62" t="s">
        <v>464</v>
      </c>
      <c r="O207" s="62" t="s">
        <v>1952</v>
      </c>
      <c r="P207" s="100" t="s">
        <v>1895</v>
      </c>
      <c r="Q207" s="5" t="s">
        <v>1953</v>
      </c>
      <c r="R207" s="34" t="s">
        <v>2055</v>
      </c>
      <c r="S207" s="5" t="s">
        <v>1954</v>
      </c>
      <c r="T207" s="5" t="s">
        <v>445</v>
      </c>
    </row>
    <row r="208" spans="2:20" ht="14">
      <c r="B208" s="9"/>
      <c r="C208" s="5" t="s">
        <v>1857</v>
      </c>
      <c r="D208" s="214" t="s">
        <v>383</v>
      </c>
      <c r="E208" s="212" t="str">
        <f>+VLOOKUP(F208,Resumen_Base!$B$6:$F$69,5,0)</f>
        <v>Travel for personnel (employees)</v>
      </c>
      <c r="F208" s="5" t="s">
        <v>64</v>
      </c>
      <c r="G208" s="34" t="s">
        <v>65</v>
      </c>
      <c r="H208" s="5" t="str">
        <f t="shared" si="4"/>
        <v>DEL5255</v>
      </c>
      <c r="I208" s="306">
        <v>42400</v>
      </c>
      <c r="J208" s="307">
        <v>29.754385964912299</v>
      </c>
      <c r="K208" s="6">
        <v>1425</v>
      </c>
      <c r="L208" s="5" t="s">
        <v>1955</v>
      </c>
      <c r="M208" s="62" t="s">
        <v>452</v>
      </c>
      <c r="N208" s="62" t="s">
        <v>464</v>
      </c>
      <c r="O208" s="62" t="s">
        <v>1956</v>
      </c>
      <c r="P208" s="100" t="s">
        <v>1895</v>
      </c>
      <c r="Q208" s="5" t="s">
        <v>1957</v>
      </c>
      <c r="R208" s="34" t="s">
        <v>2057</v>
      </c>
      <c r="S208" s="5" t="s">
        <v>1959</v>
      </c>
      <c r="T208" s="5" t="s">
        <v>445</v>
      </c>
    </row>
    <row r="209" spans="2:20" ht="14">
      <c r="B209" s="9"/>
      <c r="C209" s="5" t="s">
        <v>1857</v>
      </c>
      <c r="D209" s="214" t="s">
        <v>383</v>
      </c>
      <c r="E209" s="212" t="str">
        <f>+VLOOKUP(F209,Resumen_Base!$B$6:$F$69,5,0)</f>
        <v>Food &amp; Wine</v>
      </c>
      <c r="F209" s="5" t="s">
        <v>712</v>
      </c>
      <c r="G209" s="34" t="s">
        <v>713</v>
      </c>
      <c r="H209" s="5" t="str">
        <f t="shared" si="4"/>
        <v>DEL5257</v>
      </c>
      <c r="I209" s="306">
        <v>28000</v>
      </c>
      <c r="J209" s="307">
        <v>19.649122807017498</v>
      </c>
      <c r="K209" s="6">
        <v>1425</v>
      </c>
      <c r="L209" s="5" t="s">
        <v>1955</v>
      </c>
      <c r="M209" s="62" t="s">
        <v>452</v>
      </c>
      <c r="N209" s="62" t="s">
        <v>464</v>
      </c>
      <c r="O209" s="62" t="s">
        <v>1956</v>
      </c>
      <c r="P209" s="100" t="s">
        <v>1895</v>
      </c>
      <c r="Q209" s="5" t="s">
        <v>1957</v>
      </c>
      <c r="R209" s="34" t="s">
        <v>1963</v>
      </c>
      <c r="S209" s="5" t="s">
        <v>1959</v>
      </c>
      <c r="T209" s="5" t="s">
        <v>445</v>
      </c>
    </row>
    <row r="210" spans="2:20" ht="14">
      <c r="B210" s="9"/>
      <c r="C210" s="5" t="s">
        <v>1857</v>
      </c>
      <c r="D210" s="214" t="s">
        <v>383</v>
      </c>
      <c r="E210" s="212" t="str">
        <f>+VLOOKUP(F210,Resumen_Base!$B$6:$F$69,5,0)</f>
        <v>Food &amp; Wine</v>
      </c>
      <c r="F210" s="5" t="s">
        <v>712</v>
      </c>
      <c r="G210" s="34" t="s">
        <v>713</v>
      </c>
      <c r="H210" s="5" t="str">
        <f t="shared" si="4"/>
        <v>DEL5257</v>
      </c>
      <c r="I210" s="306">
        <v>52500</v>
      </c>
      <c r="J210" s="307">
        <v>36.4583333333333</v>
      </c>
      <c r="K210" s="6">
        <v>1440</v>
      </c>
      <c r="L210" s="5" t="s">
        <v>1939</v>
      </c>
      <c r="M210" s="62" t="s">
        <v>452</v>
      </c>
      <c r="N210" s="62" t="s">
        <v>464</v>
      </c>
      <c r="O210" s="62" t="s">
        <v>1940</v>
      </c>
      <c r="P210" s="100" t="s">
        <v>1895</v>
      </c>
      <c r="Q210" s="5" t="s">
        <v>1941</v>
      </c>
      <c r="R210" s="34" t="s">
        <v>837</v>
      </c>
      <c r="S210" s="5" t="s">
        <v>1943</v>
      </c>
      <c r="T210" s="5" t="s">
        <v>445</v>
      </c>
    </row>
    <row r="211" spans="2:20" ht="14">
      <c r="B211" s="9"/>
      <c r="C211" s="5" t="s">
        <v>1857</v>
      </c>
      <c r="D211" s="214" t="s">
        <v>383</v>
      </c>
      <c r="E211" s="212" t="str">
        <f>+VLOOKUP(F211,Resumen_Base!$B$6:$F$69,5,0)</f>
        <v>Food &amp; Wine</v>
      </c>
      <c r="F211" s="5" t="s">
        <v>712</v>
      </c>
      <c r="G211" s="34" t="s">
        <v>713</v>
      </c>
      <c r="H211" s="5" t="str">
        <f t="shared" si="4"/>
        <v>DEL5257</v>
      </c>
      <c r="I211" s="306">
        <v>33000</v>
      </c>
      <c r="J211" s="307">
        <v>22.9166666666667</v>
      </c>
      <c r="K211" s="6">
        <v>1440</v>
      </c>
      <c r="L211" s="5" t="s">
        <v>1939</v>
      </c>
      <c r="M211" s="62" t="s">
        <v>452</v>
      </c>
      <c r="N211" s="62" t="s">
        <v>464</v>
      </c>
      <c r="O211" s="62" t="s">
        <v>1940</v>
      </c>
      <c r="P211" s="100" t="s">
        <v>1895</v>
      </c>
      <c r="Q211" s="5" t="s">
        <v>1941</v>
      </c>
      <c r="R211" s="34" t="s">
        <v>837</v>
      </c>
      <c r="S211" s="5" t="s">
        <v>1943</v>
      </c>
      <c r="T211" s="5" t="s">
        <v>445</v>
      </c>
    </row>
    <row r="212" spans="2:20" ht="14">
      <c r="B212" s="9"/>
      <c r="C212" s="5" t="s">
        <v>1857</v>
      </c>
      <c r="D212" s="214" t="s">
        <v>383</v>
      </c>
      <c r="E212" s="212" t="str">
        <f>+VLOOKUP(F212,Resumen_Base!$B$6:$F$69,5,0)</f>
        <v>Food &amp; Wine</v>
      </c>
      <c r="F212" s="5" t="s">
        <v>712</v>
      </c>
      <c r="G212" s="34" t="s">
        <v>713</v>
      </c>
      <c r="H212" s="5" t="str">
        <f t="shared" si="4"/>
        <v>DEL5257</v>
      </c>
      <c r="I212" s="306">
        <v>29000</v>
      </c>
      <c r="J212" s="307">
        <v>20.350877192982502</v>
      </c>
      <c r="K212" s="6">
        <v>1425</v>
      </c>
      <c r="L212" s="5" t="s">
        <v>1969</v>
      </c>
      <c r="M212" s="62" t="s">
        <v>452</v>
      </c>
      <c r="N212" s="62" t="s">
        <v>464</v>
      </c>
      <c r="O212" s="62" t="s">
        <v>1970</v>
      </c>
      <c r="P212" s="100" t="s">
        <v>1895</v>
      </c>
      <c r="Q212" s="5" t="s">
        <v>1971</v>
      </c>
      <c r="R212" s="34" t="s">
        <v>837</v>
      </c>
      <c r="S212" s="5" t="s">
        <v>1972</v>
      </c>
      <c r="T212" s="5" t="s">
        <v>445</v>
      </c>
    </row>
    <row r="213" spans="2:20" ht="14">
      <c r="B213" s="9"/>
      <c r="C213" s="5" t="s">
        <v>1857</v>
      </c>
      <c r="D213" s="214" t="s">
        <v>383</v>
      </c>
      <c r="E213" s="212" t="str">
        <f>+VLOOKUP(F213,Resumen_Base!$B$6:$F$69,5,0)</f>
        <v>Food &amp; Wine</v>
      </c>
      <c r="F213" s="5" t="s">
        <v>712</v>
      </c>
      <c r="G213" s="34" t="s">
        <v>713</v>
      </c>
      <c r="H213" s="5" t="str">
        <f t="shared" si="4"/>
        <v>DEL5257</v>
      </c>
      <c r="I213" s="306">
        <v>70000</v>
      </c>
      <c r="J213" s="307">
        <v>49.469964664311</v>
      </c>
      <c r="K213" s="6">
        <v>1415</v>
      </c>
      <c r="L213" s="5" t="s">
        <v>1902</v>
      </c>
      <c r="M213" s="62" t="s">
        <v>452</v>
      </c>
      <c r="N213" s="62" t="s">
        <v>464</v>
      </c>
      <c r="O213" s="62" t="s">
        <v>1945</v>
      </c>
      <c r="P213" s="100" t="s">
        <v>1895</v>
      </c>
      <c r="Q213" s="5" t="s">
        <v>1946</v>
      </c>
      <c r="R213" s="34" t="s">
        <v>837</v>
      </c>
      <c r="S213" s="5" t="s">
        <v>1948</v>
      </c>
      <c r="T213" s="5" t="s">
        <v>445</v>
      </c>
    </row>
    <row r="214" spans="2:20" ht="14">
      <c r="B214" s="9"/>
      <c r="C214" s="5" t="s">
        <v>1857</v>
      </c>
      <c r="D214" s="214" t="s">
        <v>383</v>
      </c>
      <c r="E214" s="212" t="str">
        <f>+VLOOKUP(F214,Resumen_Base!$B$6:$F$69,5,0)</f>
        <v>Food &amp; Wine</v>
      </c>
      <c r="F214" s="5" t="s">
        <v>712</v>
      </c>
      <c r="G214" s="34" t="s">
        <v>713</v>
      </c>
      <c r="H214" s="5" t="str">
        <f t="shared" si="4"/>
        <v>DEL5257</v>
      </c>
      <c r="I214" s="306">
        <v>70000</v>
      </c>
      <c r="J214" s="307">
        <v>49.469964664311</v>
      </c>
      <c r="K214" s="6">
        <v>1415</v>
      </c>
      <c r="L214" s="5" t="s">
        <v>1902</v>
      </c>
      <c r="M214" s="62" t="s">
        <v>452</v>
      </c>
      <c r="N214" s="62" t="s">
        <v>464</v>
      </c>
      <c r="O214" s="62" t="s">
        <v>1949</v>
      </c>
      <c r="P214" s="100" t="s">
        <v>1895</v>
      </c>
      <c r="Q214" s="5" t="s">
        <v>1950</v>
      </c>
      <c r="R214" s="34" t="s">
        <v>837</v>
      </c>
      <c r="S214" s="5" t="s">
        <v>1951</v>
      </c>
      <c r="T214" s="5" t="s">
        <v>445</v>
      </c>
    </row>
    <row r="215" spans="2:20" ht="14">
      <c r="B215" s="9"/>
      <c r="C215" s="5" t="s">
        <v>1857</v>
      </c>
      <c r="D215" s="214" t="s">
        <v>383</v>
      </c>
      <c r="E215" s="212" t="str">
        <f>+VLOOKUP(F215,Resumen_Base!$B$6:$F$69,5,0)</f>
        <v>Food &amp; Wine</v>
      </c>
      <c r="F215" s="5" t="s">
        <v>712</v>
      </c>
      <c r="G215" s="34" t="s">
        <v>713</v>
      </c>
      <c r="H215" s="5" t="str">
        <f t="shared" si="4"/>
        <v>DEL5257</v>
      </c>
      <c r="I215" s="306">
        <v>-70000</v>
      </c>
      <c r="J215" s="307">
        <v>-49.469964664311</v>
      </c>
      <c r="K215" s="6">
        <v>1415</v>
      </c>
      <c r="L215" s="5" t="s">
        <v>1902</v>
      </c>
      <c r="M215" s="62" t="s">
        <v>452</v>
      </c>
      <c r="N215" s="62" t="s">
        <v>464</v>
      </c>
      <c r="O215" s="62" t="s">
        <v>1952</v>
      </c>
      <c r="P215" s="100" t="s">
        <v>1895</v>
      </c>
      <c r="Q215" s="5" t="s">
        <v>1953</v>
      </c>
      <c r="R215" s="34" t="s">
        <v>837</v>
      </c>
      <c r="S215" s="5" t="s">
        <v>1954</v>
      </c>
      <c r="T215" s="5" t="s">
        <v>445</v>
      </c>
    </row>
    <row r="216" spans="2:20" ht="14">
      <c r="B216" s="9"/>
      <c r="C216" s="5" t="s">
        <v>1857</v>
      </c>
      <c r="D216" s="214" t="s">
        <v>383</v>
      </c>
      <c r="E216" s="212" t="str">
        <f>+VLOOKUP(F216,Resumen_Base!$B$6:$F$69,5,0)</f>
        <v>Food &amp; Wine</v>
      </c>
      <c r="F216" s="5" t="s">
        <v>712</v>
      </c>
      <c r="G216" s="34" t="s">
        <v>713</v>
      </c>
      <c r="H216" s="5" t="str">
        <f t="shared" si="4"/>
        <v>DEL5257</v>
      </c>
      <c r="I216" s="306">
        <v>76654</v>
      </c>
      <c r="J216" s="307">
        <v>53.231944444444402</v>
      </c>
      <c r="K216" s="6">
        <v>1440</v>
      </c>
      <c r="L216" s="5" t="s">
        <v>1939</v>
      </c>
      <c r="M216" s="62" t="s">
        <v>452</v>
      </c>
      <c r="N216" s="62" t="s">
        <v>464</v>
      </c>
      <c r="O216" s="62" t="s">
        <v>1940</v>
      </c>
      <c r="P216" s="100" t="s">
        <v>1895</v>
      </c>
      <c r="Q216" s="5" t="s">
        <v>1941</v>
      </c>
      <c r="R216" s="34" t="s">
        <v>1976</v>
      </c>
      <c r="S216" s="5" t="s">
        <v>1943</v>
      </c>
      <c r="T216" s="5" t="s">
        <v>445</v>
      </c>
    </row>
    <row r="217" spans="2:20" ht="14">
      <c r="B217" s="9"/>
      <c r="C217" s="5" t="s">
        <v>1857</v>
      </c>
      <c r="D217" s="214" t="s">
        <v>383</v>
      </c>
      <c r="E217" s="212" t="str">
        <f>+VLOOKUP(F217,Resumen_Base!$B$6:$F$69,5,0)</f>
        <v>Food &amp; Wine</v>
      </c>
      <c r="F217" s="5" t="s">
        <v>712</v>
      </c>
      <c r="G217" s="34" t="s">
        <v>713</v>
      </c>
      <c r="H217" s="5" t="str">
        <f t="shared" si="4"/>
        <v>DEL5257</v>
      </c>
      <c r="I217" s="306">
        <v>287200</v>
      </c>
      <c r="J217" s="307">
        <v>202.96819787985899</v>
      </c>
      <c r="K217" s="6">
        <v>1415</v>
      </c>
      <c r="L217" s="5" t="s">
        <v>1902</v>
      </c>
      <c r="M217" s="62" t="s">
        <v>452</v>
      </c>
      <c r="N217" s="62" t="s">
        <v>464</v>
      </c>
      <c r="O217" s="62" t="s">
        <v>1945</v>
      </c>
      <c r="P217" s="100" t="s">
        <v>1895</v>
      </c>
      <c r="Q217" s="5" t="s">
        <v>1946</v>
      </c>
      <c r="R217" s="34" t="s">
        <v>1978</v>
      </c>
      <c r="S217" s="5" t="s">
        <v>1948</v>
      </c>
      <c r="T217" s="5" t="s">
        <v>445</v>
      </c>
    </row>
    <row r="218" spans="2:20" ht="14">
      <c r="B218" s="9"/>
      <c r="C218" s="5" t="s">
        <v>1857</v>
      </c>
      <c r="D218" s="214" t="s">
        <v>383</v>
      </c>
      <c r="E218" s="212" t="str">
        <f>+VLOOKUP(F218,Resumen_Base!$B$6:$F$69,5,0)</f>
        <v>Food &amp; Wine</v>
      </c>
      <c r="F218" s="5" t="s">
        <v>712</v>
      </c>
      <c r="G218" s="34" t="s">
        <v>713</v>
      </c>
      <c r="H218" s="5" t="str">
        <f t="shared" si="4"/>
        <v>DEL5257</v>
      </c>
      <c r="I218" s="306">
        <v>287200</v>
      </c>
      <c r="J218" s="307">
        <v>202.96819787985899</v>
      </c>
      <c r="K218" s="6">
        <v>1415</v>
      </c>
      <c r="L218" s="5" t="s">
        <v>1902</v>
      </c>
      <c r="M218" s="62" t="s">
        <v>452</v>
      </c>
      <c r="N218" s="62" t="s">
        <v>464</v>
      </c>
      <c r="O218" s="62" t="s">
        <v>1949</v>
      </c>
      <c r="P218" s="100" t="s">
        <v>1895</v>
      </c>
      <c r="Q218" s="5" t="s">
        <v>1950</v>
      </c>
      <c r="R218" s="34" t="s">
        <v>1978</v>
      </c>
      <c r="S218" s="5" t="s">
        <v>1951</v>
      </c>
      <c r="T218" s="5" t="s">
        <v>445</v>
      </c>
    </row>
    <row r="219" spans="2:20" ht="14">
      <c r="B219" s="9"/>
      <c r="C219" s="5" t="s">
        <v>1857</v>
      </c>
      <c r="D219" s="214" t="s">
        <v>383</v>
      </c>
      <c r="E219" s="212" t="str">
        <f>+VLOOKUP(F219,Resumen_Base!$B$6:$F$69,5,0)</f>
        <v>Food &amp; Wine</v>
      </c>
      <c r="F219" s="5" t="s">
        <v>712</v>
      </c>
      <c r="G219" s="34" t="s">
        <v>713</v>
      </c>
      <c r="H219" s="5" t="str">
        <f t="shared" si="4"/>
        <v>DEL5257</v>
      </c>
      <c r="I219" s="306">
        <v>-287200</v>
      </c>
      <c r="J219" s="307">
        <v>-202.96819787985899</v>
      </c>
      <c r="K219" s="6">
        <v>1415</v>
      </c>
      <c r="L219" s="5" t="s">
        <v>1902</v>
      </c>
      <c r="M219" s="62" t="s">
        <v>452</v>
      </c>
      <c r="N219" s="62" t="s">
        <v>464</v>
      </c>
      <c r="O219" s="62" t="s">
        <v>1952</v>
      </c>
      <c r="P219" s="100" t="s">
        <v>1895</v>
      </c>
      <c r="Q219" s="5" t="s">
        <v>1953</v>
      </c>
      <c r="R219" s="34" t="s">
        <v>1978</v>
      </c>
      <c r="S219" s="5" t="s">
        <v>1954</v>
      </c>
      <c r="T219" s="5" t="s">
        <v>445</v>
      </c>
    </row>
    <row r="220" spans="2:20" ht="14">
      <c r="B220" s="9"/>
      <c r="C220" s="5" t="s">
        <v>1857</v>
      </c>
      <c r="D220" s="214" t="s">
        <v>383</v>
      </c>
      <c r="E220" s="212" t="str">
        <f>+VLOOKUP(F220,Resumen_Base!$B$6:$F$69,5,0)</f>
        <v>Food &amp; Wine</v>
      </c>
      <c r="F220" s="5" t="s">
        <v>712</v>
      </c>
      <c r="G220" s="34" t="s">
        <v>713</v>
      </c>
      <c r="H220" s="5" t="str">
        <f t="shared" si="4"/>
        <v>DEL5257</v>
      </c>
      <c r="I220" s="306">
        <v>7000</v>
      </c>
      <c r="J220" s="307">
        <v>4.8611111111111098</v>
      </c>
      <c r="K220" s="6">
        <v>1440</v>
      </c>
      <c r="L220" s="5" t="s">
        <v>1939</v>
      </c>
      <c r="M220" s="62" t="s">
        <v>452</v>
      </c>
      <c r="N220" s="62" t="s">
        <v>464</v>
      </c>
      <c r="O220" s="62" t="s">
        <v>1940</v>
      </c>
      <c r="P220" s="100" t="s">
        <v>1895</v>
      </c>
      <c r="Q220" s="5" t="s">
        <v>1941</v>
      </c>
      <c r="R220" s="34" t="s">
        <v>764</v>
      </c>
      <c r="S220" s="5" t="s">
        <v>1943</v>
      </c>
      <c r="T220" s="5" t="s">
        <v>445</v>
      </c>
    </row>
    <row r="221" spans="2:20" ht="14">
      <c r="B221" s="9"/>
      <c r="C221" s="5" t="s">
        <v>1857</v>
      </c>
      <c r="D221" s="214" t="s">
        <v>383</v>
      </c>
      <c r="E221" s="212" t="str">
        <f>+VLOOKUP(F221,Resumen_Base!$B$6:$F$69,5,0)</f>
        <v>Food &amp; Wine</v>
      </c>
      <c r="F221" s="5" t="s">
        <v>712</v>
      </c>
      <c r="G221" s="34" t="s">
        <v>713</v>
      </c>
      <c r="H221" s="5" t="str">
        <f t="shared" si="4"/>
        <v>DEL5257</v>
      </c>
      <c r="I221" s="306">
        <v>42000</v>
      </c>
      <c r="J221" s="307">
        <v>29.473684210526301</v>
      </c>
      <c r="K221" s="6">
        <v>1425</v>
      </c>
      <c r="L221" s="5" t="s">
        <v>1955</v>
      </c>
      <c r="M221" s="62" t="s">
        <v>452</v>
      </c>
      <c r="N221" s="62" t="s">
        <v>464</v>
      </c>
      <c r="O221" s="62" t="s">
        <v>1956</v>
      </c>
      <c r="P221" s="100" t="s">
        <v>1895</v>
      </c>
      <c r="Q221" s="5" t="s">
        <v>1957</v>
      </c>
      <c r="R221" s="34" t="s">
        <v>764</v>
      </c>
      <c r="S221" s="5" t="s">
        <v>1959</v>
      </c>
      <c r="T221" s="5" t="s">
        <v>445</v>
      </c>
    </row>
    <row r="222" spans="2:20" ht="14">
      <c r="B222" s="9"/>
      <c r="C222" s="5" t="s">
        <v>1857</v>
      </c>
      <c r="D222" s="214" t="s">
        <v>383</v>
      </c>
      <c r="E222" s="212" t="str">
        <f>+VLOOKUP(F222,Resumen_Base!$B$6:$F$69,5,0)</f>
        <v>Food &amp; Wine</v>
      </c>
      <c r="F222" s="5" t="s">
        <v>712</v>
      </c>
      <c r="G222" s="34" t="s">
        <v>713</v>
      </c>
      <c r="H222" s="5" t="str">
        <f t="shared" si="4"/>
        <v>DEL5257</v>
      </c>
      <c r="I222" s="306">
        <v>12000</v>
      </c>
      <c r="J222" s="307">
        <v>8.4210526315789505</v>
      </c>
      <c r="K222" s="6">
        <v>1425</v>
      </c>
      <c r="L222" s="5" t="s">
        <v>1969</v>
      </c>
      <c r="M222" s="62" t="s">
        <v>452</v>
      </c>
      <c r="N222" s="62" t="s">
        <v>464</v>
      </c>
      <c r="O222" s="62" t="s">
        <v>1970</v>
      </c>
      <c r="P222" s="100" t="s">
        <v>1895</v>
      </c>
      <c r="Q222" s="5" t="s">
        <v>1971</v>
      </c>
      <c r="R222" s="34" t="s">
        <v>764</v>
      </c>
      <c r="S222" s="5" t="s">
        <v>1972</v>
      </c>
      <c r="T222" s="5" t="s">
        <v>445</v>
      </c>
    </row>
    <row r="223" spans="2:20" ht="14">
      <c r="B223" s="9"/>
      <c r="C223" s="5" t="s">
        <v>1857</v>
      </c>
      <c r="D223" s="214" t="s">
        <v>383</v>
      </c>
      <c r="E223" s="212" t="str">
        <f>+VLOOKUP(F223,Resumen_Base!$B$6:$F$69,5,0)</f>
        <v>Food &amp; Wine</v>
      </c>
      <c r="F223" s="5" t="s">
        <v>712</v>
      </c>
      <c r="G223" s="34" t="s">
        <v>713</v>
      </c>
      <c r="H223" s="5" t="str">
        <f t="shared" si="4"/>
        <v>DEL5257</v>
      </c>
      <c r="I223" s="306">
        <v>24000</v>
      </c>
      <c r="J223" s="307">
        <v>16.842105263157901</v>
      </c>
      <c r="K223" s="6">
        <v>1425</v>
      </c>
      <c r="L223" s="5" t="s">
        <v>1969</v>
      </c>
      <c r="M223" s="62" t="s">
        <v>452</v>
      </c>
      <c r="N223" s="62" t="s">
        <v>464</v>
      </c>
      <c r="O223" s="62" t="s">
        <v>1970</v>
      </c>
      <c r="P223" s="100" t="s">
        <v>1895</v>
      </c>
      <c r="Q223" s="5" t="s">
        <v>1971</v>
      </c>
      <c r="R223" s="34" t="s">
        <v>764</v>
      </c>
      <c r="S223" s="5" t="s">
        <v>1972</v>
      </c>
      <c r="T223" s="5" t="s">
        <v>445</v>
      </c>
    </row>
    <row r="224" spans="2:20" ht="14">
      <c r="B224" s="9"/>
      <c r="C224" s="5" t="s">
        <v>1857</v>
      </c>
      <c r="D224" s="214" t="s">
        <v>383</v>
      </c>
      <c r="E224" s="212" t="str">
        <f>+VLOOKUP(F224,Resumen_Base!$B$6:$F$69,5,0)</f>
        <v>Food &amp; Wine</v>
      </c>
      <c r="F224" s="5" t="s">
        <v>712</v>
      </c>
      <c r="G224" s="34" t="s">
        <v>713</v>
      </c>
      <c r="H224" s="5" t="str">
        <f t="shared" si="4"/>
        <v>DEL5257</v>
      </c>
      <c r="I224" s="306">
        <v>56000</v>
      </c>
      <c r="J224" s="307">
        <v>39.298245614035103</v>
      </c>
      <c r="K224" s="6">
        <v>1425</v>
      </c>
      <c r="L224" s="5" t="s">
        <v>1969</v>
      </c>
      <c r="M224" s="62" t="s">
        <v>452</v>
      </c>
      <c r="N224" s="62" t="s">
        <v>464</v>
      </c>
      <c r="O224" s="62" t="s">
        <v>1970</v>
      </c>
      <c r="P224" s="100" t="s">
        <v>1895</v>
      </c>
      <c r="Q224" s="5" t="s">
        <v>1971</v>
      </c>
      <c r="R224" s="34" t="s">
        <v>764</v>
      </c>
      <c r="S224" s="5" t="s">
        <v>1972</v>
      </c>
      <c r="T224" s="5" t="s">
        <v>445</v>
      </c>
    </row>
    <row r="225" spans="1:20" ht="14">
      <c r="B225" s="9"/>
      <c r="C225" s="5" t="s">
        <v>1857</v>
      </c>
      <c r="D225" s="214" t="s">
        <v>383</v>
      </c>
      <c r="E225" s="212" t="str">
        <f>+VLOOKUP(F225,Resumen_Base!$B$6:$F$69,5,0)</f>
        <v>Food &amp; Wine</v>
      </c>
      <c r="F225" s="5" t="s">
        <v>712</v>
      </c>
      <c r="G225" s="34" t="s">
        <v>713</v>
      </c>
      <c r="H225" s="5" t="str">
        <f t="shared" si="4"/>
        <v>DEL5257</v>
      </c>
      <c r="I225" s="306">
        <v>56000</v>
      </c>
      <c r="J225" s="307">
        <v>38.8888888888889</v>
      </c>
      <c r="K225" s="6">
        <v>1440</v>
      </c>
      <c r="L225" s="5" t="s">
        <v>1939</v>
      </c>
      <c r="M225" s="62" t="s">
        <v>452</v>
      </c>
      <c r="N225" s="62" t="s">
        <v>464</v>
      </c>
      <c r="O225" s="62" t="s">
        <v>1940</v>
      </c>
      <c r="P225" s="100" t="s">
        <v>1895</v>
      </c>
      <c r="Q225" s="5" t="s">
        <v>1941</v>
      </c>
      <c r="R225" s="34" t="s">
        <v>1988</v>
      </c>
      <c r="S225" s="5" t="s">
        <v>1943</v>
      </c>
      <c r="T225" s="5" t="s">
        <v>445</v>
      </c>
    </row>
    <row r="226" spans="1:20" ht="14">
      <c r="B226" s="9"/>
      <c r="C226" s="5" t="s">
        <v>1857</v>
      </c>
      <c r="D226" s="214" t="s">
        <v>383</v>
      </c>
      <c r="E226" s="212" t="str">
        <f>+VLOOKUP(F226,Resumen_Base!$B$6:$F$69,5,0)</f>
        <v>Food &amp; Wine</v>
      </c>
      <c r="F226" s="5" t="s">
        <v>712</v>
      </c>
      <c r="G226" s="34" t="s">
        <v>713</v>
      </c>
      <c r="H226" s="5" t="str">
        <f t="shared" si="4"/>
        <v>DEL5257</v>
      </c>
      <c r="I226" s="306">
        <v>70000</v>
      </c>
      <c r="J226" s="307">
        <v>49.122807017543899</v>
      </c>
      <c r="K226" s="6">
        <v>1425</v>
      </c>
      <c r="L226" s="5" t="s">
        <v>1955</v>
      </c>
      <c r="M226" s="62" t="s">
        <v>452</v>
      </c>
      <c r="N226" s="62" t="s">
        <v>464</v>
      </c>
      <c r="O226" s="62" t="s">
        <v>1956</v>
      </c>
      <c r="P226" s="100" t="s">
        <v>1895</v>
      </c>
      <c r="Q226" s="5" t="s">
        <v>1957</v>
      </c>
      <c r="R226" s="34" t="s">
        <v>1989</v>
      </c>
      <c r="S226" s="5" t="s">
        <v>1959</v>
      </c>
      <c r="T226" s="5" t="s">
        <v>445</v>
      </c>
    </row>
    <row r="227" spans="1:20" ht="14">
      <c r="A227" s="341" t="s">
        <v>2169</v>
      </c>
      <c r="B227" s="88" t="s">
        <v>2176</v>
      </c>
      <c r="C227" s="5" t="s">
        <v>1857</v>
      </c>
      <c r="D227" s="214" t="s">
        <v>383</v>
      </c>
      <c r="E227" s="212" t="str">
        <f>+VLOOKUP(F227,Resumen_Base!$B$6:$F$69,5,0)</f>
        <v>Food &amp; Wine</v>
      </c>
      <c r="F227" s="179" t="s">
        <v>35</v>
      </c>
      <c r="G227" s="168" t="s">
        <v>232</v>
      </c>
      <c r="H227" s="5" t="str">
        <f t="shared" si="4"/>
        <v>DEL5250</v>
      </c>
      <c r="I227" s="306">
        <v>39000</v>
      </c>
      <c r="J227" s="307">
        <v>27.5618374558304</v>
      </c>
      <c r="K227" s="6">
        <v>1415</v>
      </c>
      <c r="L227" s="5" t="s">
        <v>1902</v>
      </c>
      <c r="M227" s="62" t="s">
        <v>452</v>
      </c>
      <c r="N227" s="62" t="s">
        <v>464</v>
      </c>
      <c r="O227" s="62" t="s">
        <v>1945</v>
      </c>
      <c r="P227" s="100" t="s">
        <v>1895</v>
      </c>
      <c r="Q227" s="5" t="s">
        <v>1946</v>
      </c>
      <c r="R227" s="34" t="s">
        <v>1947</v>
      </c>
      <c r="S227" s="5" t="s">
        <v>1948</v>
      </c>
      <c r="T227" s="5" t="s">
        <v>445</v>
      </c>
    </row>
    <row r="228" spans="1:20" ht="14">
      <c r="A228" s="341" t="s">
        <v>2169</v>
      </c>
      <c r="B228" s="88" t="s">
        <v>2176</v>
      </c>
      <c r="C228" s="5" t="s">
        <v>1857</v>
      </c>
      <c r="D228" s="214" t="s">
        <v>383</v>
      </c>
      <c r="E228" s="212" t="str">
        <f>+VLOOKUP(F228,Resumen_Base!$B$6:$F$69,5,0)</f>
        <v>Food &amp; Wine</v>
      </c>
      <c r="F228" s="179" t="s">
        <v>35</v>
      </c>
      <c r="G228" s="168" t="s">
        <v>232</v>
      </c>
      <c r="H228" s="5" t="str">
        <f t="shared" si="4"/>
        <v>DEL5250</v>
      </c>
      <c r="I228" s="306">
        <v>39000</v>
      </c>
      <c r="J228" s="307">
        <v>27.5618374558304</v>
      </c>
      <c r="K228" s="6">
        <v>1415</v>
      </c>
      <c r="L228" s="5" t="s">
        <v>1902</v>
      </c>
      <c r="M228" s="62" t="s">
        <v>452</v>
      </c>
      <c r="N228" s="62" t="s">
        <v>464</v>
      </c>
      <c r="O228" s="62" t="s">
        <v>1949</v>
      </c>
      <c r="P228" s="100" t="s">
        <v>1895</v>
      </c>
      <c r="Q228" s="5" t="s">
        <v>1950</v>
      </c>
      <c r="R228" s="34" t="s">
        <v>1947</v>
      </c>
      <c r="S228" s="5" t="s">
        <v>1951</v>
      </c>
      <c r="T228" s="5" t="s">
        <v>445</v>
      </c>
    </row>
    <row r="229" spans="1:20" ht="14">
      <c r="A229" s="341" t="s">
        <v>2169</v>
      </c>
      <c r="B229" s="88" t="s">
        <v>2176</v>
      </c>
      <c r="C229" s="5" t="s">
        <v>1857</v>
      </c>
      <c r="D229" s="214" t="s">
        <v>383</v>
      </c>
      <c r="E229" s="212" t="str">
        <f>+VLOOKUP(F229,Resumen_Base!$B$6:$F$69,5,0)</f>
        <v>Food &amp; Wine</v>
      </c>
      <c r="F229" s="179" t="s">
        <v>35</v>
      </c>
      <c r="G229" s="168" t="s">
        <v>232</v>
      </c>
      <c r="H229" s="5" t="str">
        <f t="shared" si="4"/>
        <v>DEL5250</v>
      </c>
      <c r="I229" s="306">
        <v>-39000</v>
      </c>
      <c r="J229" s="307">
        <v>-27.5618374558304</v>
      </c>
      <c r="K229" s="6">
        <v>1415</v>
      </c>
      <c r="L229" s="5" t="s">
        <v>1902</v>
      </c>
      <c r="M229" s="62" t="s">
        <v>452</v>
      </c>
      <c r="N229" s="62" t="s">
        <v>464</v>
      </c>
      <c r="O229" s="62" t="s">
        <v>1952</v>
      </c>
      <c r="P229" s="100" t="s">
        <v>1895</v>
      </c>
      <c r="Q229" s="5" t="s">
        <v>1953</v>
      </c>
      <c r="R229" s="34" t="s">
        <v>1947</v>
      </c>
      <c r="S229" s="5" t="s">
        <v>1954</v>
      </c>
      <c r="T229" s="5" t="s">
        <v>445</v>
      </c>
    </row>
    <row r="230" spans="1:20" ht="14">
      <c r="A230" s="341" t="s">
        <v>2173</v>
      </c>
      <c r="B230" s="88" t="s">
        <v>2177</v>
      </c>
      <c r="C230" s="5" t="s">
        <v>1857</v>
      </c>
      <c r="D230" s="214" t="s">
        <v>383</v>
      </c>
      <c r="E230" s="212" t="str">
        <f>+VLOOKUP(F230,Resumen_Base!$B$6:$F$69,5,0)</f>
        <v>Food &amp; Wine</v>
      </c>
      <c r="F230" s="179" t="s">
        <v>35</v>
      </c>
      <c r="G230" s="168" t="s">
        <v>232</v>
      </c>
      <c r="H230" s="5" t="str">
        <f t="shared" si="4"/>
        <v>DEL5250</v>
      </c>
      <c r="I230" s="306">
        <v>15000</v>
      </c>
      <c r="J230" s="307">
        <v>10.4166666666667</v>
      </c>
      <c r="K230" s="6">
        <v>1440</v>
      </c>
      <c r="L230" s="5" t="s">
        <v>1939</v>
      </c>
      <c r="M230" s="62" t="s">
        <v>452</v>
      </c>
      <c r="N230" s="62" t="s">
        <v>464</v>
      </c>
      <c r="O230" s="62" t="s">
        <v>1940</v>
      </c>
      <c r="P230" s="100" t="s">
        <v>1895</v>
      </c>
      <c r="Q230" s="5" t="s">
        <v>1941</v>
      </c>
      <c r="R230" s="34" t="s">
        <v>1968</v>
      </c>
      <c r="S230" s="5" t="s">
        <v>1943</v>
      </c>
      <c r="T230" s="5" t="s">
        <v>445</v>
      </c>
    </row>
    <row r="231" spans="1:20" ht="14">
      <c r="B231" s="9"/>
      <c r="C231" s="5" t="s">
        <v>1857</v>
      </c>
      <c r="D231" s="214" t="s">
        <v>383</v>
      </c>
      <c r="E231" s="212" t="str">
        <f>+VLOOKUP(F231,Resumen_Base!$B$6:$F$69,5,0)</f>
        <v>Miscellaneous &amp; Shipping</v>
      </c>
      <c r="F231" s="5" t="s">
        <v>26</v>
      </c>
      <c r="G231" s="34" t="s">
        <v>313</v>
      </c>
      <c r="H231" s="5" t="str">
        <f t="shared" si="4"/>
        <v>DEL5263</v>
      </c>
      <c r="I231" s="306">
        <v>140000</v>
      </c>
      <c r="J231" s="307">
        <v>98.245614035087698</v>
      </c>
      <c r="K231" s="6">
        <v>1425</v>
      </c>
      <c r="L231" s="5" t="s">
        <v>1955</v>
      </c>
      <c r="M231" s="62" t="s">
        <v>452</v>
      </c>
      <c r="N231" s="62" t="s">
        <v>464</v>
      </c>
      <c r="O231" s="62" t="s">
        <v>1956</v>
      </c>
      <c r="P231" s="100" t="s">
        <v>1895</v>
      </c>
      <c r="Q231" s="5" t="s">
        <v>1957</v>
      </c>
      <c r="R231" s="34" t="s">
        <v>2012</v>
      </c>
      <c r="S231" s="5" t="s">
        <v>1959</v>
      </c>
      <c r="T231" s="5" t="s">
        <v>445</v>
      </c>
    </row>
    <row r="232" spans="1:20" ht="14">
      <c r="B232" s="9"/>
      <c r="C232" s="5" t="s">
        <v>1857</v>
      </c>
      <c r="D232" s="214" t="s">
        <v>383</v>
      </c>
      <c r="E232" s="212" t="str">
        <f>+VLOOKUP(F232,Resumen_Base!$B$6:$F$69,5,0)</f>
        <v>Miscellaneous &amp; Shipping</v>
      </c>
      <c r="F232" s="5" t="s">
        <v>26</v>
      </c>
      <c r="G232" s="34" t="s">
        <v>313</v>
      </c>
      <c r="H232" s="5" t="str">
        <f t="shared" si="4"/>
        <v>DEL5263</v>
      </c>
      <c r="I232" s="306">
        <v>120000</v>
      </c>
      <c r="J232" s="307">
        <v>84.210526315789494</v>
      </c>
      <c r="K232" s="6">
        <v>1425</v>
      </c>
      <c r="L232" s="5" t="s">
        <v>1969</v>
      </c>
      <c r="M232" s="62" t="s">
        <v>452</v>
      </c>
      <c r="N232" s="62" t="s">
        <v>464</v>
      </c>
      <c r="O232" s="62" t="s">
        <v>1970</v>
      </c>
      <c r="P232" s="100" t="s">
        <v>1895</v>
      </c>
      <c r="Q232" s="5" t="s">
        <v>1971</v>
      </c>
      <c r="R232" s="34" t="s">
        <v>2017</v>
      </c>
      <c r="S232" s="5" t="s">
        <v>1972</v>
      </c>
      <c r="T232" s="5" t="s">
        <v>445</v>
      </c>
    </row>
    <row r="233" spans="1:20" ht="14">
      <c r="A233" s="341" t="s">
        <v>2172</v>
      </c>
      <c r="B233" s="88" t="s">
        <v>2177</v>
      </c>
      <c r="C233" s="5" t="s">
        <v>1857</v>
      </c>
      <c r="D233" s="214" t="s">
        <v>383</v>
      </c>
      <c r="E233" s="212" t="str">
        <f>+VLOOKUP(F233,Resumen_Base!$B$6:$F$69,5,0)</f>
        <v>Food &amp; Wine</v>
      </c>
      <c r="F233" s="179" t="s">
        <v>35</v>
      </c>
      <c r="G233" s="168" t="s">
        <v>232</v>
      </c>
      <c r="H233" s="5" t="str">
        <f t="shared" si="4"/>
        <v>DEL5250</v>
      </c>
      <c r="I233" s="306">
        <v>25000</v>
      </c>
      <c r="J233" s="307">
        <v>17.3611111111111</v>
      </c>
      <c r="K233" s="6">
        <v>1440</v>
      </c>
      <c r="L233" s="5" t="s">
        <v>1939</v>
      </c>
      <c r="M233" s="62" t="s">
        <v>452</v>
      </c>
      <c r="N233" s="62" t="s">
        <v>464</v>
      </c>
      <c r="O233" s="62" t="s">
        <v>1940</v>
      </c>
      <c r="P233" s="100" t="s">
        <v>1895</v>
      </c>
      <c r="Q233" s="5" t="s">
        <v>1941</v>
      </c>
      <c r="R233" s="34" t="s">
        <v>2027</v>
      </c>
      <c r="S233" s="5" t="s">
        <v>1943</v>
      </c>
      <c r="T233" s="5" t="s">
        <v>445</v>
      </c>
    </row>
    <row r="234" spans="1:20" ht="14">
      <c r="B234" s="9"/>
      <c r="C234" s="5" t="s">
        <v>1857</v>
      </c>
      <c r="D234" s="214" t="s">
        <v>383</v>
      </c>
      <c r="E234" s="212" t="str">
        <f>+VLOOKUP(F234,Resumen_Base!$B$6:$F$69,5,0)</f>
        <v>Miscellaneous &amp; Shipping</v>
      </c>
      <c r="F234" s="5" t="s">
        <v>26</v>
      </c>
      <c r="G234" s="34" t="s">
        <v>313</v>
      </c>
      <c r="H234" s="5" t="str">
        <f t="shared" si="4"/>
        <v>DEL5263</v>
      </c>
      <c r="I234" s="306">
        <v>350000</v>
      </c>
      <c r="J234" s="307">
        <v>245.614035087719</v>
      </c>
      <c r="K234" s="6">
        <v>1425</v>
      </c>
      <c r="L234" s="5" t="s">
        <v>1911</v>
      </c>
      <c r="M234" s="62" t="s">
        <v>452</v>
      </c>
      <c r="N234" s="62" t="s">
        <v>464</v>
      </c>
      <c r="O234" s="62" t="s">
        <v>2060</v>
      </c>
      <c r="P234" s="100" t="s">
        <v>1895</v>
      </c>
      <c r="Q234" s="5" t="s">
        <v>2061</v>
      </c>
      <c r="R234" s="34" t="s">
        <v>2103</v>
      </c>
      <c r="S234" s="5" t="s">
        <v>2063</v>
      </c>
      <c r="T234" s="5" t="s">
        <v>445</v>
      </c>
    </row>
    <row r="235" spans="1:20" ht="14">
      <c r="B235" s="9"/>
      <c r="C235" s="5" t="s">
        <v>1857</v>
      </c>
      <c r="D235" s="214" t="s">
        <v>383</v>
      </c>
      <c r="E235" s="212" t="str">
        <f>+VLOOKUP(F235,Resumen_Base!$B$6:$F$69,5,0)</f>
        <v>Maintenance Lodge</v>
      </c>
      <c r="F235" s="5" t="s">
        <v>113</v>
      </c>
      <c r="G235" s="34" t="s">
        <v>114</v>
      </c>
      <c r="H235" s="5" t="str">
        <f t="shared" si="4"/>
        <v>DEL5283</v>
      </c>
      <c r="I235" s="306">
        <v>39996</v>
      </c>
      <c r="J235" s="307">
        <v>27.774999999999999</v>
      </c>
      <c r="K235" s="6">
        <v>1440</v>
      </c>
      <c r="L235" s="5" t="s">
        <v>1939</v>
      </c>
      <c r="M235" s="62" t="s">
        <v>452</v>
      </c>
      <c r="N235" s="62" t="s">
        <v>464</v>
      </c>
      <c r="O235" s="62" t="s">
        <v>1940</v>
      </c>
      <c r="P235" s="100" t="s">
        <v>1895</v>
      </c>
      <c r="Q235" s="5" t="s">
        <v>1941</v>
      </c>
      <c r="R235" s="34" t="s">
        <v>1965</v>
      </c>
      <c r="S235" s="5" t="s">
        <v>1943</v>
      </c>
      <c r="T235" s="5" t="s">
        <v>445</v>
      </c>
    </row>
    <row r="236" spans="1:20" ht="14">
      <c r="B236" s="9"/>
      <c r="C236" s="5" t="s">
        <v>1857</v>
      </c>
      <c r="D236" s="214" t="s">
        <v>383</v>
      </c>
      <c r="E236" s="212" t="str">
        <f>+VLOOKUP(F236,Resumen_Base!$B$6:$F$69,5,0)</f>
        <v>Maintenance Lodge</v>
      </c>
      <c r="F236" s="5" t="s">
        <v>113</v>
      </c>
      <c r="G236" s="34" t="s">
        <v>114</v>
      </c>
      <c r="H236" s="5" t="str">
        <f t="shared" si="4"/>
        <v>DEL5283</v>
      </c>
      <c r="I236" s="306">
        <v>14400</v>
      </c>
      <c r="J236" s="307">
        <v>10</v>
      </c>
      <c r="K236" s="6">
        <v>1440</v>
      </c>
      <c r="L236" s="5" t="s">
        <v>1939</v>
      </c>
      <c r="M236" s="62" t="s">
        <v>452</v>
      </c>
      <c r="N236" s="62" t="s">
        <v>464</v>
      </c>
      <c r="O236" s="62" t="s">
        <v>1940</v>
      </c>
      <c r="P236" s="100" t="s">
        <v>1895</v>
      </c>
      <c r="Q236" s="5" t="s">
        <v>1941</v>
      </c>
      <c r="R236" s="34" t="s">
        <v>1965</v>
      </c>
      <c r="S236" s="5" t="s">
        <v>1943</v>
      </c>
      <c r="T236" s="5" t="s">
        <v>445</v>
      </c>
    </row>
    <row r="237" spans="1:20" ht="14">
      <c r="B237" s="9"/>
      <c r="C237" s="5" t="s">
        <v>1857</v>
      </c>
      <c r="D237" s="214" t="s">
        <v>383</v>
      </c>
      <c r="E237" s="212" t="str">
        <f>+VLOOKUP(F237,Resumen_Base!$B$6:$F$69,5,0)</f>
        <v>Food &amp; Wine</v>
      </c>
      <c r="F237" s="5" t="s">
        <v>119</v>
      </c>
      <c r="G237" s="34" t="s">
        <v>120</v>
      </c>
      <c r="H237" s="5" t="str">
        <f t="shared" si="4"/>
        <v>DEL5289</v>
      </c>
      <c r="I237" s="306">
        <v>11700</v>
      </c>
      <c r="J237" s="307">
        <v>8.2105263157894708</v>
      </c>
      <c r="K237" s="6">
        <v>1425</v>
      </c>
      <c r="L237" s="5" t="s">
        <v>1955</v>
      </c>
      <c r="M237" s="62" t="s">
        <v>452</v>
      </c>
      <c r="N237" s="62" t="s">
        <v>464</v>
      </c>
      <c r="O237" s="62" t="s">
        <v>1956</v>
      </c>
      <c r="P237" s="100" t="s">
        <v>1895</v>
      </c>
      <c r="Q237" s="5" t="s">
        <v>1957</v>
      </c>
      <c r="R237" s="34" t="s">
        <v>1659</v>
      </c>
      <c r="S237" s="5" t="s">
        <v>1959</v>
      </c>
      <c r="T237" s="5" t="s">
        <v>445</v>
      </c>
    </row>
    <row r="238" spans="1:20" ht="14">
      <c r="B238" s="9"/>
      <c r="C238" s="5" t="s">
        <v>1857</v>
      </c>
      <c r="D238" s="214" t="s">
        <v>383</v>
      </c>
      <c r="E238" s="212" t="str">
        <f>+VLOOKUP(F238,Resumen_Base!$B$6:$F$69,5,0)</f>
        <v>Food &amp; Wine</v>
      </c>
      <c r="F238" s="5" t="s">
        <v>119</v>
      </c>
      <c r="G238" s="34" t="s">
        <v>120</v>
      </c>
      <c r="H238" s="5" t="str">
        <f t="shared" si="4"/>
        <v>DEL5289</v>
      </c>
      <c r="I238" s="306">
        <v>36900</v>
      </c>
      <c r="J238" s="307">
        <v>25.625</v>
      </c>
      <c r="K238" s="6">
        <v>1440</v>
      </c>
      <c r="L238" s="5" t="s">
        <v>1939</v>
      </c>
      <c r="M238" s="62" t="s">
        <v>452</v>
      </c>
      <c r="N238" s="62" t="s">
        <v>464</v>
      </c>
      <c r="O238" s="62" t="s">
        <v>1940</v>
      </c>
      <c r="P238" s="100" t="s">
        <v>1895</v>
      </c>
      <c r="Q238" s="5" t="s">
        <v>1941</v>
      </c>
      <c r="R238" s="34" t="s">
        <v>704</v>
      </c>
      <c r="S238" s="5" t="s">
        <v>1943</v>
      </c>
      <c r="T238" s="5" t="s">
        <v>445</v>
      </c>
    </row>
    <row r="239" spans="1:20" ht="14">
      <c r="B239" s="9"/>
      <c r="C239" s="5" t="s">
        <v>1857</v>
      </c>
      <c r="D239" s="214" t="s">
        <v>383</v>
      </c>
      <c r="E239" s="212" t="str">
        <f>+VLOOKUP(F239,Resumen_Base!$B$6:$F$69,5,0)</f>
        <v>Food &amp; Wine</v>
      </c>
      <c r="F239" s="5" t="s">
        <v>119</v>
      </c>
      <c r="G239" s="34" t="s">
        <v>120</v>
      </c>
      <c r="H239" s="5" t="str">
        <f t="shared" si="4"/>
        <v>DEL5289</v>
      </c>
      <c r="I239" s="306">
        <v>46900</v>
      </c>
      <c r="J239" s="307">
        <v>33.144876325088298</v>
      </c>
      <c r="K239" s="6">
        <v>1415</v>
      </c>
      <c r="L239" s="5" t="s">
        <v>1902</v>
      </c>
      <c r="M239" s="62" t="s">
        <v>452</v>
      </c>
      <c r="N239" s="62" t="s">
        <v>464</v>
      </c>
      <c r="O239" s="62" t="s">
        <v>1945</v>
      </c>
      <c r="P239" s="100" t="s">
        <v>1895</v>
      </c>
      <c r="Q239" s="5" t="s">
        <v>1946</v>
      </c>
      <c r="R239" s="34" t="s">
        <v>2031</v>
      </c>
      <c r="S239" s="5" t="s">
        <v>1948</v>
      </c>
      <c r="T239" s="5" t="s">
        <v>445</v>
      </c>
    </row>
    <row r="240" spans="1:20" ht="14">
      <c r="B240" s="9"/>
      <c r="C240" s="5" t="s">
        <v>1857</v>
      </c>
      <c r="D240" s="214" t="s">
        <v>383</v>
      </c>
      <c r="E240" s="212" t="str">
        <f>+VLOOKUP(F240,Resumen_Base!$B$6:$F$69,5,0)</f>
        <v>Food &amp; Wine</v>
      </c>
      <c r="F240" s="5" t="s">
        <v>119</v>
      </c>
      <c r="G240" s="34" t="s">
        <v>120</v>
      </c>
      <c r="H240" s="5" t="str">
        <f t="shared" si="4"/>
        <v>DEL5289</v>
      </c>
      <c r="I240" s="306">
        <v>46900</v>
      </c>
      <c r="J240" s="307">
        <v>33.144876325088298</v>
      </c>
      <c r="K240" s="6">
        <v>1415</v>
      </c>
      <c r="L240" s="5" t="s">
        <v>1902</v>
      </c>
      <c r="M240" s="62" t="s">
        <v>452</v>
      </c>
      <c r="N240" s="62" t="s">
        <v>464</v>
      </c>
      <c r="O240" s="62" t="s">
        <v>1949</v>
      </c>
      <c r="P240" s="100" t="s">
        <v>1895</v>
      </c>
      <c r="Q240" s="5" t="s">
        <v>1950</v>
      </c>
      <c r="R240" s="34" t="s">
        <v>2031</v>
      </c>
      <c r="S240" s="5" t="s">
        <v>1951</v>
      </c>
      <c r="T240" s="5" t="s">
        <v>445</v>
      </c>
    </row>
    <row r="241" spans="1:256" ht="14">
      <c r="B241" s="9"/>
      <c r="C241" s="5" t="s">
        <v>1857</v>
      </c>
      <c r="D241" s="214" t="s">
        <v>383</v>
      </c>
      <c r="E241" s="212" t="str">
        <f>+VLOOKUP(F241,Resumen_Base!$B$6:$F$69,5,0)</f>
        <v>Food &amp; Wine</v>
      </c>
      <c r="F241" s="5" t="s">
        <v>119</v>
      </c>
      <c r="G241" s="34" t="s">
        <v>120</v>
      </c>
      <c r="H241" s="5" t="str">
        <f t="shared" si="4"/>
        <v>DEL5289</v>
      </c>
      <c r="I241" s="306">
        <v>-46900</v>
      </c>
      <c r="J241" s="307">
        <v>-33.144876325088298</v>
      </c>
      <c r="K241" s="6">
        <v>1415</v>
      </c>
      <c r="L241" s="5" t="s">
        <v>1902</v>
      </c>
      <c r="M241" s="62" t="s">
        <v>452</v>
      </c>
      <c r="N241" s="62" t="s">
        <v>464</v>
      </c>
      <c r="O241" s="62" t="s">
        <v>1952</v>
      </c>
      <c r="P241" s="100" t="s">
        <v>1895</v>
      </c>
      <c r="Q241" s="5" t="s">
        <v>1953</v>
      </c>
      <c r="R241" s="34" t="s">
        <v>2031</v>
      </c>
      <c r="S241" s="5" t="s">
        <v>1954</v>
      </c>
      <c r="T241" s="5" t="s">
        <v>445</v>
      </c>
    </row>
    <row r="242" spans="1:256" ht="14">
      <c r="B242" s="9"/>
      <c r="C242" s="5" t="s">
        <v>1857</v>
      </c>
      <c r="D242" s="214" t="s">
        <v>383</v>
      </c>
      <c r="E242" s="212" t="str">
        <f>+VLOOKUP(F242,Resumen_Base!$B$6:$F$69,5,0)</f>
        <v>Food &amp; Wine</v>
      </c>
      <c r="F242" s="5" t="s">
        <v>110</v>
      </c>
      <c r="G242" s="34" t="s">
        <v>111</v>
      </c>
      <c r="H242" s="5" t="str">
        <f t="shared" si="4"/>
        <v>DEL5291</v>
      </c>
      <c r="I242" s="306">
        <v>40000</v>
      </c>
      <c r="J242" s="307">
        <v>28.268551236749101</v>
      </c>
      <c r="K242" s="6">
        <v>1415</v>
      </c>
      <c r="L242" s="5" t="s">
        <v>1902</v>
      </c>
      <c r="M242" s="62" t="s">
        <v>452</v>
      </c>
      <c r="N242" s="62" t="s">
        <v>464</v>
      </c>
      <c r="O242" s="62" t="s">
        <v>1945</v>
      </c>
      <c r="P242" s="100" t="s">
        <v>1895</v>
      </c>
      <c r="Q242" s="5" t="s">
        <v>1946</v>
      </c>
      <c r="R242" s="34" t="s">
        <v>2019</v>
      </c>
      <c r="S242" s="5" t="s">
        <v>1948</v>
      </c>
      <c r="T242" s="5" t="s">
        <v>445</v>
      </c>
    </row>
    <row r="243" spans="1:256" ht="14">
      <c r="B243" s="9"/>
      <c r="C243" s="5" t="s">
        <v>1857</v>
      </c>
      <c r="D243" s="214" t="s">
        <v>383</v>
      </c>
      <c r="E243" s="212" t="str">
        <f>+VLOOKUP(F243,Resumen_Base!$B$6:$F$69,5,0)</f>
        <v>Food &amp; Wine</v>
      </c>
      <c r="F243" s="5" t="s">
        <v>110</v>
      </c>
      <c r="G243" s="34" t="s">
        <v>111</v>
      </c>
      <c r="H243" s="5" t="str">
        <f t="shared" si="4"/>
        <v>DEL5291</v>
      </c>
      <c r="I243" s="306">
        <v>40000</v>
      </c>
      <c r="J243" s="307">
        <v>28.268551236749101</v>
      </c>
      <c r="K243" s="6">
        <v>1415</v>
      </c>
      <c r="L243" s="5" t="s">
        <v>1902</v>
      </c>
      <c r="M243" s="62" t="s">
        <v>452</v>
      </c>
      <c r="N243" s="62" t="s">
        <v>464</v>
      </c>
      <c r="O243" s="62" t="s">
        <v>1949</v>
      </c>
      <c r="P243" s="100" t="s">
        <v>1895</v>
      </c>
      <c r="Q243" s="5" t="s">
        <v>1950</v>
      </c>
      <c r="R243" s="34" t="s">
        <v>2019</v>
      </c>
      <c r="S243" s="5" t="s">
        <v>1951</v>
      </c>
      <c r="T243" s="5" t="s">
        <v>445</v>
      </c>
    </row>
    <row r="244" spans="1:256" ht="14">
      <c r="B244" s="9"/>
      <c r="C244" s="5" t="s">
        <v>1857</v>
      </c>
      <c r="D244" s="214" t="s">
        <v>383</v>
      </c>
      <c r="E244" s="212" t="str">
        <f>+VLOOKUP(F244,Resumen_Base!$B$6:$F$69,5,0)</f>
        <v>Food &amp; Wine</v>
      </c>
      <c r="F244" s="5" t="s">
        <v>110</v>
      </c>
      <c r="G244" s="34" t="s">
        <v>111</v>
      </c>
      <c r="H244" s="5" t="str">
        <f t="shared" si="4"/>
        <v>DEL5291</v>
      </c>
      <c r="I244" s="306">
        <v>-40000</v>
      </c>
      <c r="J244" s="307">
        <v>-28.268551236749101</v>
      </c>
      <c r="K244" s="6">
        <v>1415</v>
      </c>
      <c r="L244" s="5" t="s">
        <v>1902</v>
      </c>
      <c r="M244" s="62" t="s">
        <v>452</v>
      </c>
      <c r="N244" s="62" t="s">
        <v>464</v>
      </c>
      <c r="O244" s="62" t="s">
        <v>1952</v>
      </c>
      <c r="P244" s="100" t="s">
        <v>1895</v>
      </c>
      <c r="Q244" s="5" t="s">
        <v>1953</v>
      </c>
      <c r="R244" s="34" t="s">
        <v>2019</v>
      </c>
      <c r="S244" s="5" t="s">
        <v>1954</v>
      </c>
      <c r="T244" s="5" t="s">
        <v>445</v>
      </c>
    </row>
    <row r="245" spans="1:256" ht="14">
      <c r="B245" s="9"/>
      <c r="C245" s="5" t="s">
        <v>1857</v>
      </c>
      <c r="D245" s="214" t="s">
        <v>383</v>
      </c>
      <c r="E245" s="212" t="str">
        <f>+VLOOKUP(F245,Resumen_Base!$B$6:$F$69,5,0)</f>
        <v>Food &amp; Wine</v>
      </c>
      <c r="F245" s="5" t="s">
        <v>110</v>
      </c>
      <c r="G245" s="34" t="s">
        <v>111</v>
      </c>
      <c r="H245" s="5" t="str">
        <f t="shared" si="4"/>
        <v>DEL5291</v>
      </c>
      <c r="I245" s="306">
        <v>76000</v>
      </c>
      <c r="J245" s="307">
        <v>53.710247349823298</v>
      </c>
      <c r="K245" s="6">
        <v>1415</v>
      </c>
      <c r="L245" s="5" t="s">
        <v>1902</v>
      </c>
      <c r="M245" s="62" t="s">
        <v>452</v>
      </c>
      <c r="N245" s="62" t="s">
        <v>464</v>
      </c>
      <c r="O245" s="62" t="s">
        <v>1945</v>
      </c>
      <c r="P245" s="100" t="s">
        <v>1895</v>
      </c>
      <c r="Q245" s="5" t="s">
        <v>1946</v>
      </c>
      <c r="R245" s="34" t="s">
        <v>2029</v>
      </c>
      <c r="S245" s="5" t="s">
        <v>1948</v>
      </c>
      <c r="T245" s="5" t="s">
        <v>445</v>
      </c>
    </row>
    <row r="246" spans="1:256" ht="14">
      <c r="B246" s="9"/>
      <c r="C246" s="5" t="s">
        <v>1857</v>
      </c>
      <c r="D246" s="214" t="s">
        <v>383</v>
      </c>
      <c r="E246" s="212" t="str">
        <f>+VLOOKUP(F246,Resumen_Base!$B$6:$F$69,5,0)</f>
        <v>Food &amp; Wine</v>
      </c>
      <c r="F246" s="5" t="s">
        <v>110</v>
      </c>
      <c r="G246" s="34" t="s">
        <v>111</v>
      </c>
      <c r="H246" s="5" t="str">
        <f t="shared" si="4"/>
        <v>DEL5291</v>
      </c>
      <c r="I246" s="306">
        <v>76000</v>
      </c>
      <c r="J246" s="307">
        <v>53.710247349823298</v>
      </c>
      <c r="K246" s="6">
        <v>1415</v>
      </c>
      <c r="L246" s="5" t="s">
        <v>1902</v>
      </c>
      <c r="M246" s="62" t="s">
        <v>452</v>
      </c>
      <c r="N246" s="62" t="s">
        <v>464</v>
      </c>
      <c r="O246" s="62" t="s">
        <v>1949</v>
      </c>
      <c r="P246" s="100" t="s">
        <v>1895</v>
      </c>
      <c r="Q246" s="5" t="s">
        <v>1950</v>
      </c>
      <c r="R246" s="34" t="s">
        <v>2029</v>
      </c>
      <c r="S246" s="5" t="s">
        <v>1951</v>
      </c>
      <c r="T246" s="5" t="s">
        <v>445</v>
      </c>
    </row>
    <row r="247" spans="1:256" ht="14">
      <c r="B247" s="9"/>
      <c r="C247" s="5" t="s">
        <v>1857</v>
      </c>
      <c r="D247" s="214" t="s">
        <v>383</v>
      </c>
      <c r="E247" s="212" t="str">
        <f>+VLOOKUP(F247,Resumen_Base!$B$6:$F$69,5,0)</f>
        <v>Food &amp; Wine</v>
      </c>
      <c r="F247" s="5" t="s">
        <v>110</v>
      </c>
      <c r="G247" s="34" t="s">
        <v>111</v>
      </c>
      <c r="H247" s="5" t="str">
        <f t="shared" si="4"/>
        <v>DEL5291</v>
      </c>
      <c r="I247" s="306">
        <v>-76000</v>
      </c>
      <c r="J247" s="307">
        <v>-53.710247349823298</v>
      </c>
      <c r="K247" s="6">
        <v>1415</v>
      </c>
      <c r="L247" s="5" t="s">
        <v>1902</v>
      </c>
      <c r="M247" s="62" t="s">
        <v>452</v>
      </c>
      <c r="N247" s="62" t="s">
        <v>464</v>
      </c>
      <c r="O247" s="62" t="s">
        <v>1952</v>
      </c>
      <c r="P247" s="100" t="s">
        <v>1895</v>
      </c>
      <c r="Q247" s="5" t="s">
        <v>1953</v>
      </c>
      <c r="R247" s="34" t="s">
        <v>2029</v>
      </c>
      <c r="S247" s="5" t="s">
        <v>1954</v>
      </c>
      <c r="T247" s="5" t="s">
        <v>445</v>
      </c>
    </row>
    <row r="248" spans="1:256" ht="14">
      <c r="B248" s="9"/>
      <c r="C248" s="5" t="s">
        <v>1857</v>
      </c>
      <c r="D248" s="214" t="s">
        <v>383</v>
      </c>
      <c r="E248" s="212" t="str">
        <f>+VLOOKUP(F248,Resumen_Base!$B$6:$F$69,5,0)</f>
        <v>Food &amp; Wine</v>
      </c>
      <c r="F248" s="5" t="s">
        <v>110</v>
      </c>
      <c r="G248" s="34" t="s">
        <v>111</v>
      </c>
      <c r="H248" s="5" t="str">
        <f t="shared" si="4"/>
        <v>DEL5291</v>
      </c>
      <c r="I248" s="306">
        <v>30000</v>
      </c>
      <c r="J248" s="307">
        <v>20.8333333333333</v>
      </c>
      <c r="K248" s="6">
        <v>1440</v>
      </c>
      <c r="L248" s="5" t="s">
        <v>1939</v>
      </c>
      <c r="M248" s="62" t="s">
        <v>452</v>
      </c>
      <c r="N248" s="62" t="s">
        <v>464</v>
      </c>
      <c r="O248" s="62" t="s">
        <v>1940</v>
      </c>
      <c r="P248" s="100" t="s">
        <v>1895</v>
      </c>
      <c r="Q248" s="5" t="s">
        <v>1941</v>
      </c>
      <c r="R248" s="34" t="s">
        <v>2032</v>
      </c>
      <c r="S248" s="5" t="s">
        <v>1943</v>
      </c>
      <c r="T248" s="5" t="s">
        <v>445</v>
      </c>
    </row>
    <row r="249" spans="1:256" ht="14">
      <c r="B249" s="9"/>
      <c r="C249" s="5" t="s">
        <v>1857</v>
      </c>
      <c r="D249" s="214" t="s">
        <v>383</v>
      </c>
      <c r="E249" s="212" t="str">
        <f>+VLOOKUP(F249,Resumen_Base!$B$6:$F$69,5,0)</f>
        <v>Food &amp; Wine</v>
      </c>
      <c r="F249" s="5" t="s">
        <v>110</v>
      </c>
      <c r="G249" s="34" t="s">
        <v>111</v>
      </c>
      <c r="H249" s="5" t="str">
        <f t="shared" si="4"/>
        <v>DEL5291</v>
      </c>
      <c r="I249" s="306">
        <v>4400</v>
      </c>
      <c r="J249" s="307">
        <v>3.1095406360424001</v>
      </c>
      <c r="K249" s="6">
        <v>1415</v>
      </c>
      <c r="L249" s="5" t="s">
        <v>1902</v>
      </c>
      <c r="M249" s="62" t="s">
        <v>452</v>
      </c>
      <c r="N249" s="62" t="s">
        <v>464</v>
      </c>
      <c r="O249" s="62" t="s">
        <v>1945</v>
      </c>
      <c r="P249" s="100" t="s">
        <v>1895</v>
      </c>
      <c r="Q249" s="5" t="s">
        <v>1946</v>
      </c>
      <c r="R249" s="34" t="s">
        <v>2054</v>
      </c>
      <c r="S249" s="5" t="s">
        <v>1948</v>
      </c>
      <c r="T249" s="5" t="s">
        <v>445</v>
      </c>
    </row>
    <row r="250" spans="1:256" ht="14">
      <c r="B250" s="9"/>
      <c r="C250" s="5" t="s">
        <v>1857</v>
      </c>
      <c r="D250" s="214" t="s">
        <v>383</v>
      </c>
      <c r="E250" s="212" t="str">
        <f>+VLOOKUP(F250,Resumen_Base!$B$6:$F$69,5,0)</f>
        <v>Food &amp; Wine</v>
      </c>
      <c r="F250" s="5" t="s">
        <v>110</v>
      </c>
      <c r="G250" s="34" t="s">
        <v>111</v>
      </c>
      <c r="H250" s="5" t="str">
        <f t="shared" si="4"/>
        <v>DEL5291</v>
      </c>
      <c r="I250" s="306">
        <v>4400</v>
      </c>
      <c r="J250" s="307">
        <v>3.1095406360424001</v>
      </c>
      <c r="K250" s="6">
        <v>1415</v>
      </c>
      <c r="L250" s="5" t="s">
        <v>1902</v>
      </c>
      <c r="M250" s="62" t="s">
        <v>452</v>
      </c>
      <c r="N250" s="62" t="s">
        <v>464</v>
      </c>
      <c r="O250" s="62" t="s">
        <v>1949</v>
      </c>
      <c r="P250" s="100" t="s">
        <v>1895</v>
      </c>
      <c r="Q250" s="5" t="s">
        <v>1950</v>
      </c>
      <c r="R250" s="34" t="s">
        <v>2054</v>
      </c>
      <c r="S250" s="5" t="s">
        <v>1951</v>
      </c>
      <c r="T250" s="5" t="s">
        <v>445</v>
      </c>
    </row>
    <row r="251" spans="1:256" ht="14">
      <c r="B251" s="9"/>
      <c r="C251" s="5" t="s">
        <v>1857</v>
      </c>
      <c r="D251" s="214" t="s">
        <v>383</v>
      </c>
      <c r="E251" s="212" t="str">
        <f>+VLOOKUP(F251,Resumen_Base!$B$6:$F$69,5,0)</f>
        <v>Food &amp; Wine</v>
      </c>
      <c r="F251" s="5" t="s">
        <v>110</v>
      </c>
      <c r="G251" s="34" t="s">
        <v>111</v>
      </c>
      <c r="H251" s="5" t="str">
        <f t="shared" si="4"/>
        <v>DEL5291</v>
      </c>
      <c r="I251" s="306">
        <v>-4400</v>
      </c>
      <c r="J251" s="307">
        <v>-3.1095406360424001</v>
      </c>
      <c r="K251" s="6">
        <v>1415</v>
      </c>
      <c r="L251" s="5" t="s">
        <v>1902</v>
      </c>
      <c r="M251" s="62" t="s">
        <v>452</v>
      </c>
      <c r="N251" s="62" t="s">
        <v>464</v>
      </c>
      <c r="O251" s="62" t="s">
        <v>1952</v>
      </c>
      <c r="P251" s="100" t="s">
        <v>1895</v>
      </c>
      <c r="Q251" s="5" t="s">
        <v>1953</v>
      </c>
      <c r="R251" s="34" t="s">
        <v>2054</v>
      </c>
      <c r="S251" s="5" t="s">
        <v>1954</v>
      </c>
      <c r="T251" s="5" t="s">
        <v>445</v>
      </c>
    </row>
    <row r="252" spans="1:256" ht="15">
      <c r="A252" s="194"/>
      <c r="B252" s="194"/>
      <c r="C252" s="194"/>
      <c r="D252" s="194"/>
      <c r="E252" s="194"/>
      <c r="F252" s="193"/>
      <c r="G252" s="194"/>
      <c r="H252" s="194"/>
      <c r="I252" s="195"/>
      <c r="J252" s="195"/>
      <c r="K252" s="195"/>
      <c r="L252" s="2"/>
      <c r="M252" s="2"/>
      <c r="N252"/>
      <c r="O252"/>
      <c r="P252"/>
      <c r="Q252"/>
      <c r="R252"/>
      <c r="S252"/>
      <c r="T252"/>
      <c r="U252"/>
      <c r="V252"/>
      <c r="W252"/>
      <c r="X252" s="1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  <c r="BP252" s="194"/>
      <c r="BQ252" s="194"/>
      <c r="BR252" s="194"/>
      <c r="BS252" s="194"/>
      <c r="BT252" s="194"/>
      <c r="BU252" s="194"/>
      <c r="BV252" s="194"/>
      <c r="BW252" s="194"/>
      <c r="BX252" s="194"/>
      <c r="BY252" s="194"/>
      <c r="BZ252" s="194"/>
      <c r="CA252" s="194"/>
      <c r="CB252" s="194"/>
      <c r="CC252" s="194"/>
      <c r="CD252" s="194"/>
      <c r="CE252" s="194"/>
      <c r="CF252" s="194"/>
      <c r="CG252" s="194"/>
      <c r="CH252" s="194"/>
      <c r="CI252" s="194"/>
      <c r="CJ252" s="194"/>
      <c r="CK252" s="194"/>
      <c r="CL252" s="194"/>
      <c r="CM252" s="194"/>
      <c r="CN252" s="194"/>
      <c r="CO252" s="194"/>
      <c r="CP252" s="194"/>
      <c r="CQ252" s="194"/>
      <c r="CR252" s="194"/>
      <c r="CS252" s="194"/>
      <c r="CT252" s="194"/>
      <c r="CU252" s="194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4"/>
      <c r="DG252" s="194"/>
      <c r="DH252" s="194"/>
      <c r="DI252" s="194"/>
      <c r="DJ252" s="194"/>
      <c r="DK252" s="194"/>
      <c r="DL252" s="194"/>
      <c r="DM252" s="194"/>
      <c r="DN252" s="194"/>
      <c r="DO252" s="194"/>
      <c r="DP252" s="194"/>
      <c r="DQ252" s="194"/>
      <c r="DR252" s="194"/>
      <c r="DS252" s="194"/>
      <c r="DT252" s="194"/>
      <c r="DU252" s="194"/>
      <c r="DV252" s="194"/>
      <c r="DW252" s="194"/>
      <c r="DX252" s="194"/>
      <c r="DY252" s="194"/>
      <c r="DZ252" s="194"/>
      <c r="EA252" s="194"/>
      <c r="EB252" s="194"/>
      <c r="EC252" s="194"/>
      <c r="ED252" s="194"/>
      <c r="EE252" s="194"/>
      <c r="EF252" s="194"/>
      <c r="EG252" s="194"/>
      <c r="EH252" s="194"/>
      <c r="EI252" s="194"/>
      <c r="EJ252" s="194"/>
      <c r="EK252" s="194"/>
      <c r="EL252" s="194"/>
      <c r="EM252" s="194"/>
      <c r="EN252" s="194"/>
      <c r="EO252" s="194"/>
      <c r="EP252" s="194"/>
      <c r="EQ252" s="194"/>
      <c r="ER252" s="194"/>
      <c r="ES252" s="194"/>
      <c r="ET252" s="194"/>
      <c r="EU252" s="194"/>
      <c r="EV252" s="194"/>
      <c r="EW252" s="194"/>
      <c r="EX252" s="194"/>
      <c r="EY252" s="194"/>
      <c r="EZ252" s="194"/>
      <c r="FA252" s="194"/>
      <c r="FB252" s="194"/>
      <c r="FC252" s="194"/>
      <c r="FD252" s="194"/>
      <c r="FE252" s="194"/>
      <c r="FF252" s="194"/>
      <c r="FG252" s="194"/>
      <c r="FH252" s="194"/>
      <c r="FI252" s="194"/>
      <c r="FJ252" s="194"/>
      <c r="FK252" s="194"/>
      <c r="FL252" s="194"/>
      <c r="FM252" s="194"/>
      <c r="FN252" s="194"/>
      <c r="FO252" s="194"/>
      <c r="FP252" s="194"/>
      <c r="FQ252" s="194"/>
      <c r="FR252" s="194"/>
      <c r="FS252" s="194"/>
      <c r="FT252" s="194"/>
      <c r="FU252" s="194"/>
      <c r="FV252" s="194"/>
      <c r="FW252" s="194"/>
      <c r="FX252" s="194"/>
      <c r="FY252" s="194"/>
      <c r="FZ252" s="194"/>
      <c r="GA252" s="194"/>
      <c r="GB252" s="194"/>
      <c r="GC252" s="194"/>
      <c r="GD252" s="194"/>
      <c r="GE252" s="194"/>
      <c r="GF252" s="194"/>
      <c r="GG252" s="194"/>
      <c r="GH252" s="194"/>
      <c r="GI252" s="194"/>
      <c r="GJ252" s="194"/>
      <c r="GK252" s="194"/>
      <c r="GL252" s="194"/>
      <c r="GM252" s="194"/>
      <c r="GN252" s="194"/>
      <c r="GO252" s="194"/>
      <c r="GP252" s="194"/>
      <c r="GQ252" s="194"/>
      <c r="GR252" s="194"/>
      <c r="GS252" s="194"/>
      <c r="GT252" s="194"/>
      <c r="GU252" s="194"/>
      <c r="GV252" s="194"/>
      <c r="GW252" s="194"/>
      <c r="GX252" s="194"/>
      <c r="GY252" s="194"/>
      <c r="GZ252" s="194"/>
      <c r="HA252" s="194"/>
      <c r="HB252" s="194"/>
      <c r="HC252" s="194"/>
      <c r="HD252" s="194"/>
      <c r="HE252" s="194"/>
      <c r="HF252" s="194"/>
      <c r="HG252" s="194"/>
      <c r="HH252" s="194"/>
      <c r="HI252" s="194"/>
      <c r="HJ252" s="194"/>
      <c r="HK252" s="194"/>
      <c r="HL252" s="194"/>
      <c r="HM252" s="194"/>
      <c r="HN252" s="194"/>
      <c r="HO252" s="194"/>
      <c r="HP252" s="194"/>
      <c r="HQ252" s="194"/>
      <c r="HR252" s="194"/>
      <c r="HS252" s="194"/>
      <c r="HT252" s="194"/>
      <c r="HU252" s="194"/>
      <c r="HV252" s="194"/>
      <c r="HW252" s="194"/>
      <c r="HX252" s="194"/>
      <c r="HY252" s="194"/>
      <c r="HZ252" s="194"/>
      <c r="IA252" s="194"/>
      <c r="IB252" s="194"/>
      <c r="IC252" s="194"/>
      <c r="ID252" s="194"/>
      <c r="IE252" s="194"/>
      <c r="IF252" s="194"/>
      <c r="IG252" s="194"/>
      <c r="IH252" s="194"/>
      <c r="II252" s="194"/>
      <c r="IJ252" s="194"/>
      <c r="IK252" s="194"/>
      <c r="IL252" s="194"/>
      <c r="IM252" s="194"/>
      <c r="IN252" s="194"/>
      <c r="IO252" s="194"/>
      <c r="IP252" s="194"/>
      <c r="IQ252" s="194"/>
      <c r="IR252" s="194"/>
      <c r="IS252" s="194"/>
      <c r="IT252" s="194"/>
      <c r="IU252" s="194"/>
      <c r="IV252" s="194"/>
    </row>
    <row r="254" spans="1:256" ht="84">
      <c r="A254" s="328" t="s">
        <v>2178</v>
      </c>
      <c r="B254" s="325"/>
      <c r="C254" s="325" t="s">
        <v>1857</v>
      </c>
      <c r="D254" s="328" t="s">
        <v>383</v>
      </c>
      <c r="E254" s="332" t="str">
        <f>+VLOOKUP(F254,Resumen_Base!$B$6:$F$69,5,0)</f>
        <v>Guides</v>
      </c>
      <c r="F254" s="325" t="s">
        <v>149</v>
      </c>
      <c r="G254" s="329" t="s">
        <v>284</v>
      </c>
      <c r="H254" s="325" t="str">
        <f t="shared" ref="H254" si="5">+D254&amp;F254</f>
        <v>DEL5227</v>
      </c>
      <c r="I254" s="342"/>
      <c r="J254" s="343">
        <v>-800</v>
      </c>
      <c r="K254" s="343"/>
      <c r="L254" s="344">
        <v>46081</v>
      </c>
      <c r="M254" s="331" t="s">
        <v>452</v>
      </c>
      <c r="N254" s="331" t="s">
        <v>464</v>
      </c>
      <c r="O254" s="62"/>
      <c r="P254" s="100"/>
      <c r="R254" s="34"/>
    </row>
    <row r="255" spans="1:256" ht="56">
      <c r="A255" s="328" t="s">
        <v>2179</v>
      </c>
      <c r="B255" s="325"/>
      <c r="C255" s="325" t="s">
        <v>1857</v>
      </c>
      <c r="D255" s="328" t="s">
        <v>383</v>
      </c>
      <c r="E255" s="332" t="str">
        <f>+VLOOKUP(F255,Resumen_Base!$B$6:$F$69,5,0)</f>
        <v>Guides</v>
      </c>
      <c r="F255" s="325" t="s">
        <v>149</v>
      </c>
      <c r="G255" s="329" t="s">
        <v>284</v>
      </c>
      <c r="H255" s="325" t="str">
        <f t="shared" ref="H255" si="6">+D255&amp;F255</f>
        <v>DEL5227</v>
      </c>
      <c r="I255" s="342"/>
      <c r="J255" s="343">
        <v>-280</v>
      </c>
      <c r="K255" s="343"/>
      <c r="L255" s="344">
        <v>46081</v>
      </c>
      <c r="M255" s="331" t="s">
        <v>452</v>
      </c>
      <c r="N255" s="331" t="s">
        <v>464</v>
      </c>
    </row>
    <row r="256" spans="1:256" ht="56">
      <c r="A256" s="328" t="s">
        <v>2179</v>
      </c>
      <c r="B256" s="325"/>
      <c r="C256" s="325" t="s">
        <v>1857</v>
      </c>
      <c r="D256" s="328" t="s">
        <v>383</v>
      </c>
      <c r="E256" s="332" t="str">
        <f>+VLOOKUP(F256,Resumen_Base!$B$6:$F$69,5,0)</f>
        <v>Electricity - Gas for Boats &amp; Vehicles</v>
      </c>
      <c r="F256" s="345" t="s">
        <v>60</v>
      </c>
      <c r="G256" s="346" t="s">
        <v>236</v>
      </c>
      <c r="H256" s="325" t="str">
        <f t="shared" ref="H256" si="7">+D256&amp;F256</f>
        <v>DEL5248</v>
      </c>
      <c r="I256" s="342"/>
      <c r="J256" s="343">
        <v>280</v>
      </c>
      <c r="K256" s="343"/>
      <c r="L256" s="344">
        <v>46081</v>
      </c>
      <c r="M256" s="331" t="s">
        <v>452</v>
      </c>
      <c r="N256" s="331" t="s">
        <v>464</v>
      </c>
    </row>
    <row r="258" spans="1:256" ht="15">
      <c r="A258" s="194"/>
      <c r="B258" s="194"/>
      <c r="C258" s="103"/>
      <c r="D258" s="194"/>
      <c r="E258" s="194"/>
      <c r="F258" s="193"/>
      <c r="G258" s="194"/>
      <c r="H258" s="194"/>
      <c r="I258" s="195"/>
      <c r="J258" s="195"/>
      <c r="K258" s="195"/>
      <c r="L258" s="2"/>
      <c r="M258" s="2"/>
      <c r="N258"/>
      <c r="O258"/>
      <c r="P258"/>
      <c r="Q258"/>
      <c r="R258"/>
      <c r="S258"/>
      <c r="T258"/>
      <c r="U258"/>
      <c r="V258"/>
      <c r="W258"/>
      <c r="X258" s="1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  <c r="BP258" s="194"/>
      <c r="BQ258" s="194"/>
      <c r="BR258" s="194"/>
      <c r="BS258" s="194"/>
      <c r="BT258" s="194"/>
      <c r="BU258" s="194"/>
      <c r="BV258" s="194"/>
      <c r="BW258" s="194"/>
      <c r="BX258" s="194"/>
      <c r="BY258" s="194"/>
      <c r="BZ258" s="194"/>
      <c r="CA258" s="194"/>
      <c r="CB258" s="194"/>
      <c r="CC258" s="194"/>
      <c r="CD258" s="194"/>
      <c r="CE258" s="194"/>
      <c r="CF258" s="194"/>
      <c r="CG258" s="194"/>
      <c r="CH258" s="194"/>
      <c r="CI258" s="194"/>
      <c r="CJ258" s="194"/>
      <c r="CK258" s="194"/>
      <c r="CL258" s="194"/>
      <c r="CM258" s="194"/>
      <c r="CN258" s="194"/>
      <c r="CO258" s="194"/>
      <c r="CP258" s="194"/>
      <c r="CQ258" s="194"/>
      <c r="CR258" s="194"/>
      <c r="CS258" s="194"/>
      <c r="CT258" s="194"/>
      <c r="CU258" s="194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4"/>
      <c r="DG258" s="194"/>
      <c r="DH258" s="194"/>
      <c r="DI258" s="194"/>
      <c r="DJ258" s="194"/>
      <c r="DK258" s="194"/>
      <c r="DL258" s="194"/>
      <c r="DM258" s="194"/>
      <c r="DN258" s="194"/>
      <c r="DO258" s="194"/>
      <c r="DP258" s="194"/>
      <c r="DQ258" s="194"/>
      <c r="DR258" s="194"/>
      <c r="DS258" s="194"/>
      <c r="DT258" s="194"/>
      <c r="DU258" s="194"/>
      <c r="DV258" s="194"/>
      <c r="DW258" s="194"/>
      <c r="DX258" s="194"/>
      <c r="DY258" s="194"/>
      <c r="DZ258" s="194"/>
      <c r="EA258" s="194"/>
      <c r="EB258" s="194"/>
      <c r="EC258" s="194"/>
      <c r="ED258" s="194"/>
      <c r="EE258" s="194"/>
      <c r="EF258" s="194"/>
      <c r="EG258" s="194"/>
      <c r="EH258" s="194"/>
      <c r="EI258" s="194"/>
      <c r="EJ258" s="194"/>
      <c r="EK258" s="194"/>
      <c r="EL258" s="194"/>
      <c r="EM258" s="194"/>
      <c r="EN258" s="194"/>
      <c r="EO258" s="194"/>
      <c r="EP258" s="194"/>
      <c r="EQ258" s="194"/>
      <c r="ER258" s="194"/>
      <c r="ES258" s="194"/>
      <c r="ET258" s="194"/>
      <c r="EU258" s="194"/>
      <c r="EV258" s="194"/>
      <c r="EW258" s="194"/>
      <c r="EX258" s="194"/>
      <c r="EY258" s="194"/>
      <c r="EZ258" s="194"/>
      <c r="FA258" s="194"/>
      <c r="FB258" s="194"/>
      <c r="FC258" s="194"/>
      <c r="FD258" s="194"/>
      <c r="FE258" s="194"/>
      <c r="FF258" s="194"/>
      <c r="FG258" s="194"/>
      <c r="FH258" s="194"/>
      <c r="FI258" s="194"/>
      <c r="FJ258" s="194"/>
      <c r="FK258" s="194"/>
      <c r="FL258" s="194"/>
      <c r="FM258" s="194"/>
      <c r="FN258" s="194"/>
      <c r="FO258" s="194"/>
      <c r="FP258" s="194"/>
      <c r="FQ258" s="194"/>
      <c r="FR258" s="194"/>
      <c r="FS258" s="194"/>
      <c r="FT258" s="194"/>
      <c r="FU258" s="194"/>
      <c r="FV258" s="194"/>
      <c r="FW258" s="194"/>
      <c r="FX258" s="194"/>
      <c r="FY258" s="194"/>
      <c r="FZ258" s="194"/>
      <c r="GA258" s="194"/>
      <c r="GB258" s="194"/>
      <c r="GC258" s="194"/>
      <c r="GD258" s="194"/>
      <c r="GE258" s="194"/>
      <c r="GF258" s="194"/>
      <c r="GG258" s="194"/>
      <c r="GH258" s="194"/>
      <c r="GI258" s="194"/>
      <c r="GJ258" s="194"/>
      <c r="GK258" s="194"/>
      <c r="GL258" s="194"/>
      <c r="GM258" s="194"/>
      <c r="GN258" s="194"/>
      <c r="GO258" s="194"/>
      <c r="GP258" s="194"/>
      <c r="GQ258" s="194"/>
      <c r="GR258" s="194"/>
      <c r="GS258" s="194"/>
      <c r="GT258" s="194"/>
      <c r="GU258" s="194"/>
      <c r="GV258" s="194"/>
      <c r="GW258" s="194"/>
      <c r="GX258" s="194"/>
      <c r="GY258" s="194"/>
      <c r="GZ258" s="194"/>
      <c r="HA258" s="194"/>
      <c r="HB258" s="194"/>
      <c r="HC258" s="194"/>
      <c r="HD258" s="194"/>
      <c r="HE258" s="194"/>
      <c r="HF258" s="194"/>
      <c r="HG258" s="194"/>
      <c r="HH258" s="194"/>
      <c r="HI258" s="194"/>
      <c r="HJ258" s="194"/>
      <c r="HK258" s="194"/>
      <c r="HL258" s="194"/>
      <c r="HM258" s="194"/>
      <c r="HN258" s="194"/>
      <c r="HO258" s="194"/>
      <c r="HP258" s="194"/>
      <c r="HQ258" s="194"/>
      <c r="HR258" s="194"/>
      <c r="HS258" s="194"/>
      <c r="HT258" s="194"/>
      <c r="HU258" s="194"/>
      <c r="HV258" s="194"/>
      <c r="HW258" s="194"/>
      <c r="HX258" s="194"/>
      <c r="HY258" s="194"/>
      <c r="HZ258" s="194"/>
      <c r="IA258" s="194"/>
      <c r="IB258" s="194"/>
      <c r="IC258" s="194"/>
      <c r="ID258" s="194"/>
      <c r="IE258" s="194"/>
      <c r="IF258" s="194"/>
      <c r="IG258" s="194"/>
      <c r="IH258" s="194"/>
      <c r="II258" s="194"/>
      <c r="IJ258" s="194"/>
      <c r="IK258" s="194"/>
      <c r="IL258" s="194"/>
      <c r="IM258" s="194"/>
      <c r="IN258" s="194"/>
      <c r="IO258" s="194"/>
      <c r="IP258" s="194"/>
      <c r="IQ258" s="194"/>
      <c r="IR258" s="194"/>
      <c r="IS258" s="194"/>
      <c r="IT258" s="194"/>
      <c r="IU258" s="194"/>
      <c r="IV258" s="194"/>
    </row>
    <row r="259" spans="1:256" ht="14">
      <c r="A259" s="10" t="s">
        <v>75</v>
      </c>
      <c r="B259" s="10" t="s">
        <v>75</v>
      </c>
      <c r="C259" s="10" t="s">
        <v>75</v>
      </c>
      <c r="D259" s="10" t="s">
        <v>75</v>
      </c>
      <c r="E259" s="10" t="s">
        <v>75</v>
      </c>
      <c r="F259" s="11" t="s">
        <v>75</v>
      </c>
      <c r="G259" s="11" t="s">
        <v>75</v>
      </c>
      <c r="H259" s="11" t="s">
        <v>75</v>
      </c>
      <c r="I259" s="35" t="s">
        <v>75</v>
      </c>
      <c r="J259" s="35" t="s">
        <v>75</v>
      </c>
      <c r="K259" s="35" t="s">
        <v>75</v>
      </c>
      <c r="L259" s="102" t="s">
        <v>75</v>
      </c>
      <c r="M259" s="11" t="s">
        <v>75</v>
      </c>
      <c r="N259" s="11" t="s">
        <v>75</v>
      </c>
      <c r="O259" s="11" t="s">
        <v>75</v>
      </c>
      <c r="P259" s="11" t="s">
        <v>75</v>
      </c>
      <c r="Q259" s="11" t="s">
        <v>75</v>
      </c>
      <c r="R259" s="11" t="s">
        <v>75</v>
      </c>
      <c r="S259" s="11" t="s">
        <v>75</v>
      </c>
      <c r="T259" s="11" t="s">
        <v>75</v>
      </c>
      <c r="U259" s="11" t="s">
        <v>75</v>
      </c>
      <c r="V259" s="11" t="s">
        <v>75</v>
      </c>
      <c r="W259" s="11" t="s">
        <v>75</v>
      </c>
    </row>
    <row r="262" spans="1:256" ht="84">
      <c r="A262" s="328" t="s">
        <v>2178</v>
      </c>
      <c r="B262" s="325"/>
      <c r="C262" s="325"/>
      <c r="D262" s="329"/>
      <c r="E262" s="330"/>
      <c r="F262" s="325" t="s">
        <v>45</v>
      </c>
      <c r="G262" s="329" t="s">
        <v>44</v>
      </c>
      <c r="H262" s="325"/>
      <c r="I262" s="342"/>
      <c r="J262" s="343">
        <v>800</v>
      </c>
      <c r="K262" s="343"/>
      <c r="L262" s="344">
        <v>46081</v>
      </c>
      <c r="M262" s="331" t="s">
        <v>452</v>
      </c>
      <c r="N262" s="331" t="s">
        <v>464</v>
      </c>
      <c r="O262" s="331"/>
      <c r="P262" s="326"/>
      <c r="Q262" s="325"/>
      <c r="R262" s="329"/>
      <c r="S262" s="325"/>
      <c r="T262" s="325"/>
    </row>
    <row r="263" spans="1:256" ht="56">
      <c r="A263" s="328" t="s">
        <v>2171</v>
      </c>
      <c r="B263" s="325"/>
      <c r="C263" s="325"/>
      <c r="D263" s="329"/>
      <c r="E263" s="330"/>
      <c r="F263" s="325" t="s">
        <v>45</v>
      </c>
      <c r="G263" s="329" t="s">
        <v>44</v>
      </c>
      <c r="H263" s="325"/>
      <c r="I263" s="342">
        <f>+J263*K263</f>
        <v>504000</v>
      </c>
      <c r="J263" s="343">
        <v>350</v>
      </c>
      <c r="K263" s="343">
        <v>1440</v>
      </c>
      <c r="L263" s="325" t="s">
        <v>1939</v>
      </c>
      <c r="M263" s="331" t="s">
        <v>452</v>
      </c>
      <c r="N263" s="331" t="s">
        <v>464</v>
      </c>
      <c r="O263" s="331" t="s">
        <v>2007</v>
      </c>
      <c r="P263" s="326" t="s">
        <v>1895</v>
      </c>
      <c r="Q263" s="325" t="s">
        <v>2008</v>
      </c>
      <c r="R263" s="329" t="s">
        <v>2009</v>
      </c>
      <c r="S263" s="325" t="s">
        <v>2010</v>
      </c>
      <c r="T263" s="325" t="s">
        <v>445</v>
      </c>
    </row>
    <row r="264" spans="1:256">
      <c r="A264" s="214"/>
      <c r="B264" s="88"/>
      <c r="D264" s="214"/>
      <c r="F264" s="5"/>
      <c r="G264" s="34"/>
      <c r="I264" s="306"/>
      <c r="J264" s="307"/>
      <c r="K264" s="6"/>
      <c r="L264" s="5"/>
      <c r="M264" s="62"/>
      <c r="N264" s="62"/>
      <c r="O264" s="62"/>
      <c r="P264" s="100"/>
      <c r="R264" s="34"/>
    </row>
    <row r="265" spans="1:256">
      <c r="B265" s="9"/>
      <c r="C265" s="5" t="s">
        <v>1857</v>
      </c>
      <c r="D265" s="5"/>
      <c r="F265" s="5" t="s">
        <v>291</v>
      </c>
      <c r="G265" s="34" t="s">
        <v>292</v>
      </c>
      <c r="H265" s="34"/>
      <c r="I265" s="306">
        <v>2500000</v>
      </c>
      <c r="J265" s="307">
        <v>1736.1111111111099</v>
      </c>
      <c r="K265" s="6">
        <v>1440</v>
      </c>
      <c r="L265" s="5" t="s">
        <v>2130</v>
      </c>
      <c r="M265" s="62" t="s">
        <v>452</v>
      </c>
      <c r="N265" s="62" t="s">
        <v>442</v>
      </c>
      <c r="O265" s="62" t="s">
        <v>2131</v>
      </c>
      <c r="P265" s="100" t="s">
        <v>1895</v>
      </c>
      <c r="Q265" s="5" t="s">
        <v>2132</v>
      </c>
      <c r="R265" s="34" t="s">
        <v>2132</v>
      </c>
      <c r="S265" s="5" t="s">
        <v>2133</v>
      </c>
      <c r="T265" s="5" t="s">
        <v>445</v>
      </c>
    </row>
    <row r="266" spans="1:256">
      <c r="B266" s="9"/>
      <c r="C266" s="5" t="s">
        <v>1857</v>
      </c>
      <c r="D266" s="5"/>
      <c r="F266" s="5" t="s">
        <v>291</v>
      </c>
      <c r="G266" s="34" t="s">
        <v>292</v>
      </c>
      <c r="H266" s="34"/>
      <c r="I266" s="306">
        <v>2200000</v>
      </c>
      <c r="J266" s="307">
        <v>1543.85964912281</v>
      </c>
      <c r="K266" s="6">
        <v>1425</v>
      </c>
      <c r="L266" s="5" t="s">
        <v>2074</v>
      </c>
      <c r="M266" s="62" t="s">
        <v>452</v>
      </c>
      <c r="N266" s="62" t="s">
        <v>442</v>
      </c>
      <c r="O266" s="62" t="s">
        <v>2134</v>
      </c>
      <c r="P266" s="100" t="s">
        <v>1895</v>
      </c>
      <c r="Q266" s="5" t="s">
        <v>2135</v>
      </c>
      <c r="R266" s="34" t="s">
        <v>2135</v>
      </c>
      <c r="S266" s="5" t="s">
        <v>2136</v>
      </c>
      <c r="T266" s="5" t="s">
        <v>445</v>
      </c>
    </row>
    <row r="267" spans="1:256">
      <c r="B267" s="9"/>
      <c r="C267" s="5" t="s">
        <v>1857</v>
      </c>
      <c r="D267" s="5"/>
      <c r="F267" s="5" t="s">
        <v>291</v>
      </c>
      <c r="G267" s="34" t="s">
        <v>292</v>
      </c>
      <c r="H267" s="34"/>
      <c r="I267" s="306">
        <v>1100000</v>
      </c>
      <c r="J267" s="307">
        <v>771.92982456140396</v>
      </c>
      <c r="K267" s="6">
        <v>1425</v>
      </c>
      <c r="L267" s="5" t="s">
        <v>1911</v>
      </c>
      <c r="M267" s="62" t="s">
        <v>452</v>
      </c>
      <c r="N267" s="62" t="s">
        <v>442</v>
      </c>
      <c r="O267" s="62" t="s">
        <v>2137</v>
      </c>
      <c r="P267" s="100" t="s">
        <v>1895</v>
      </c>
      <c r="Q267" s="5" t="s">
        <v>2138</v>
      </c>
      <c r="R267" s="34" t="s">
        <v>2138</v>
      </c>
      <c r="S267" s="5" t="s">
        <v>2139</v>
      </c>
      <c r="T267" s="5" t="s">
        <v>445</v>
      </c>
    </row>
    <row r="268" spans="1:256">
      <c r="B268" s="9"/>
      <c r="C268" s="5" t="s">
        <v>1857</v>
      </c>
      <c r="D268" s="5"/>
      <c r="F268" s="5" t="s">
        <v>291</v>
      </c>
      <c r="G268" s="34" t="s">
        <v>292</v>
      </c>
      <c r="H268" s="34"/>
      <c r="I268" s="306">
        <v>7100000</v>
      </c>
      <c r="J268" s="307">
        <v>5017.66784452297</v>
      </c>
      <c r="K268" s="6">
        <v>1415</v>
      </c>
      <c r="L268" s="5" t="s">
        <v>1893</v>
      </c>
      <c r="M268" s="62" t="s">
        <v>452</v>
      </c>
      <c r="N268" s="62" t="s">
        <v>442</v>
      </c>
      <c r="O268" s="62" t="s">
        <v>2140</v>
      </c>
      <c r="P268" s="100" t="s">
        <v>1895</v>
      </c>
      <c r="Q268" s="5" t="s">
        <v>2141</v>
      </c>
      <c r="R268" s="34" t="s">
        <v>2141</v>
      </c>
      <c r="S268" s="5" t="s">
        <v>2142</v>
      </c>
      <c r="T268" s="5" t="s">
        <v>445</v>
      </c>
    </row>
    <row r="269" spans="1:256">
      <c r="B269" s="9"/>
      <c r="C269" s="5" t="s">
        <v>1857</v>
      </c>
      <c r="D269" s="5"/>
      <c r="F269" s="5" t="s">
        <v>291</v>
      </c>
      <c r="G269" s="34" t="s">
        <v>292</v>
      </c>
      <c r="H269" s="34"/>
      <c r="I269" s="306">
        <v>-257724</v>
      </c>
      <c r="J269" s="307">
        <v>-180.85894736842101</v>
      </c>
      <c r="K269" s="6">
        <v>1425</v>
      </c>
      <c r="L269" s="5" t="s">
        <v>1911</v>
      </c>
      <c r="M269" s="62" t="s">
        <v>452</v>
      </c>
      <c r="N269" s="62" t="s">
        <v>464</v>
      </c>
      <c r="O269" s="62" t="s">
        <v>2060</v>
      </c>
      <c r="P269" s="100" t="s">
        <v>1895</v>
      </c>
      <c r="Q269" s="5" t="s">
        <v>2061</v>
      </c>
      <c r="R269" s="34" t="s">
        <v>2062</v>
      </c>
      <c r="S269" s="5" t="s">
        <v>2063</v>
      </c>
      <c r="T269" s="5" t="s">
        <v>445</v>
      </c>
    </row>
    <row r="270" spans="1:256">
      <c r="B270" s="9"/>
      <c r="C270" s="5" t="s">
        <v>1857</v>
      </c>
      <c r="D270" s="5"/>
      <c r="F270" s="5" t="s">
        <v>291</v>
      </c>
      <c r="G270" s="34" t="s">
        <v>292</v>
      </c>
      <c r="H270" s="34"/>
      <c r="I270" s="306">
        <v>-40088</v>
      </c>
      <c r="J270" s="307">
        <v>-28.1319298245614</v>
      </c>
      <c r="K270" s="6">
        <v>1425</v>
      </c>
      <c r="L270" s="5" t="s">
        <v>1911</v>
      </c>
      <c r="M270" s="62" t="s">
        <v>452</v>
      </c>
      <c r="N270" s="62" t="s">
        <v>464</v>
      </c>
      <c r="O270" s="62" t="s">
        <v>2060</v>
      </c>
      <c r="P270" s="100" t="s">
        <v>1895</v>
      </c>
      <c r="Q270" s="5" t="s">
        <v>2061</v>
      </c>
      <c r="R270" s="34" t="s">
        <v>2064</v>
      </c>
      <c r="S270" s="5" t="s">
        <v>2063</v>
      </c>
      <c r="T270" s="5" t="s">
        <v>445</v>
      </c>
    </row>
    <row r="271" spans="1:256">
      <c r="B271" s="9"/>
      <c r="C271" s="5" t="s">
        <v>1857</v>
      </c>
      <c r="D271" s="5"/>
      <c r="F271" s="5" t="s">
        <v>291</v>
      </c>
      <c r="G271" s="34" t="s">
        <v>292</v>
      </c>
      <c r="H271" s="34"/>
      <c r="I271" s="306">
        <v>-53014</v>
      </c>
      <c r="J271" s="307">
        <v>-37.202807017543897</v>
      </c>
      <c r="K271" s="6">
        <v>1425</v>
      </c>
      <c r="L271" s="5" t="s">
        <v>1911</v>
      </c>
      <c r="M271" s="62" t="s">
        <v>452</v>
      </c>
      <c r="N271" s="62" t="s">
        <v>464</v>
      </c>
      <c r="O271" s="62" t="s">
        <v>2060</v>
      </c>
      <c r="P271" s="100" t="s">
        <v>1895</v>
      </c>
      <c r="Q271" s="5" t="s">
        <v>2061</v>
      </c>
      <c r="R271" s="34" t="s">
        <v>2065</v>
      </c>
      <c r="S271" s="5" t="s">
        <v>2063</v>
      </c>
      <c r="T271" s="5" t="s">
        <v>445</v>
      </c>
    </row>
    <row r="272" spans="1:256">
      <c r="B272" s="9"/>
      <c r="C272" s="5" t="s">
        <v>1857</v>
      </c>
      <c r="D272" s="5"/>
      <c r="F272" s="5" t="s">
        <v>291</v>
      </c>
      <c r="G272" s="34" t="s">
        <v>292</v>
      </c>
      <c r="H272" s="34"/>
      <c r="I272" s="306">
        <v>-323000</v>
      </c>
      <c r="J272" s="307">
        <v>-228.268551236749</v>
      </c>
      <c r="K272" s="6">
        <v>1415</v>
      </c>
      <c r="L272" s="5" t="s">
        <v>1902</v>
      </c>
      <c r="M272" s="62" t="s">
        <v>452</v>
      </c>
      <c r="N272" s="62" t="s">
        <v>464</v>
      </c>
      <c r="O272" s="62" t="s">
        <v>2066</v>
      </c>
      <c r="P272" s="100" t="s">
        <v>1895</v>
      </c>
      <c r="Q272" s="5" t="s">
        <v>2067</v>
      </c>
      <c r="R272" s="34" t="s">
        <v>2068</v>
      </c>
      <c r="S272" s="5" t="s">
        <v>2069</v>
      </c>
      <c r="T272" s="5" t="s">
        <v>445</v>
      </c>
    </row>
    <row r="273" spans="2:20">
      <c r="B273" s="9"/>
      <c r="C273" s="5" t="s">
        <v>1857</v>
      </c>
      <c r="D273" s="5"/>
      <c r="F273" s="5" t="s">
        <v>291</v>
      </c>
      <c r="G273" s="34" t="s">
        <v>292</v>
      </c>
      <c r="H273" s="34"/>
      <c r="I273" s="306">
        <v>-5760000</v>
      </c>
      <c r="J273" s="307">
        <v>-4070.6713780918699</v>
      </c>
      <c r="K273" s="6">
        <v>1415</v>
      </c>
      <c r="L273" s="5" t="s">
        <v>1893</v>
      </c>
      <c r="M273" s="62" t="s">
        <v>452</v>
      </c>
      <c r="N273" s="62" t="s">
        <v>464</v>
      </c>
      <c r="O273" s="62" t="s">
        <v>2079</v>
      </c>
      <c r="P273" s="100" t="s">
        <v>1895</v>
      </c>
      <c r="Q273" s="5" t="s">
        <v>2080</v>
      </c>
      <c r="R273" s="34" t="s">
        <v>2081</v>
      </c>
      <c r="S273" s="5" t="s">
        <v>2082</v>
      </c>
      <c r="T273" s="5" t="s">
        <v>445</v>
      </c>
    </row>
    <row r="274" spans="2:20">
      <c r="B274" s="9"/>
      <c r="C274" s="5" t="s">
        <v>1857</v>
      </c>
      <c r="D274" s="5"/>
      <c r="F274" s="5" t="s">
        <v>291</v>
      </c>
      <c r="G274" s="34" t="s">
        <v>292</v>
      </c>
      <c r="H274" s="34"/>
      <c r="I274" s="306">
        <v>-2059263</v>
      </c>
      <c r="J274" s="307">
        <v>-1445.0968421052601</v>
      </c>
      <c r="K274" s="6">
        <v>1425</v>
      </c>
      <c r="L274" s="5" t="s">
        <v>2074</v>
      </c>
      <c r="M274" s="62" t="s">
        <v>452</v>
      </c>
      <c r="N274" s="62" t="s">
        <v>464</v>
      </c>
      <c r="O274" s="62" t="s">
        <v>2083</v>
      </c>
      <c r="P274" s="100" t="s">
        <v>1895</v>
      </c>
      <c r="Q274" s="5" t="s">
        <v>2084</v>
      </c>
      <c r="R274" s="34" t="s">
        <v>2085</v>
      </c>
      <c r="S274" s="5" t="s">
        <v>2086</v>
      </c>
      <c r="T274" s="5" t="s">
        <v>445</v>
      </c>
    </row>
    <row r="275" spans="2:20">
      <c r="B275" s="9"/>
      <c r="C275" s="5" t="s">
        <v>1857</v>
      </c>
      <c r="D275" s="5"/>
      <c r="F275" s="5" t="s">
        <v>291</v>
      </c>
      <c r="G275" s="34" t="s">
        <v>292</v>
      </c>
      <c r="H275" s="34"/>
      <c r="I275" s="306">
        <v>-376220</v>
      </c>
      <c r="J275" s="307">
        <v>-264.01403508771898</v>
      </c>
      <c r="K275" s="6">
        <v>1425</v>
      </c>
      <c r="L275" s="5" t="s">
        <v>1893</v>
      </c>
      <c r="M275" s="62" t="s">
        <v>452</v>
      </c>
      <c r="N275" s="62" t="s">
        <v>464</v>
      </c>
      <c r="O275" s="62" t="s">
        <v>2079</v>
      </c>
      <c r="P275" s="100" t="s">
        <v>1895</v>
      </c>
      <c r="Q275" s="5" t="s">
        <v>2080</v>
      </c>
      <c r="R275" s="34" t="s">
        <v>2087</v>
      </c>
      <c r="S275" s="5" t="s">
        <v>2082</v>
      </c>
      <c r="T275" s="5" t="s">
        <v>445</v>
      </c>
    </row>
    <row r="276" spans="2:20">
      <c r="B276" s="9"/>
      <c r="C276" s="5" t="s">
        <v>1857</v>
      </c>
      <c r="D276" s="5"/>
      <c r="F276" s="5" t="s">
        <v>291</v>
      </c>
      <c r="G276" s="34" t="s">
        <v>292</v>
      </c>
      <c r="H276" s="34"/>
      <c r="I276" s="306">
        <v>-665998</v>
      </c>
      <c r="J276" s="307">
        <v>-470.66996466431101</v>
      </c>
      <c r="K276" s="6">
        <v>1415</v>
      </c>
      <c r="L276" s="5" t="s">
        <v>1893</v>
      </c>
      <c r="M276" s="62" t="s">
        <v>452</v>
      </c>
      <c r="N276" s="62" t="s">
        <v>464</v>
      </c>
      <c r="O276" s="62" t="s">
        <v>2079</v>
      </c>
      <c r="P276" s="100" t="s">
        <v>1895</v>
      </c>
      <c r="Q276" s="5" t="s">
        <v>2080</v>
      </c>
      <c r="R276" s="34" t="s">
        <v>2088</v>
      </c>
      <c r="S276" s="5" t="s">
        <v>2082</v>
      </c>
      <c r="T276" s="5" t="s">
        <v>445</v>
      </c>
    </row>
    <row r="277" spans="2:20">
      <c r="B277" s="9"/>
      <c r="C277" s="5" t="s">
        <v>1857</v>
      </c>
      <c r="D277" s="5"/>
      <c r="F277" s="5" t="s">
        <v>291</v>
      </c>
      <c r="G277" s="34" t="s">
        <v>292</v>
      </c>
      <c r="H277" s="34"/>
      <c r="I277" s="306">
        <v>-269998</v>
      </c>
      <c r="J277" s="307">
        <v>-190.81130742049501</v>
      </c>
      <c r="K277" s="6">
        <v>1415</v>
      </c>
      <c r="L277" s="5" t="s">
        <v>1902</v>
      </c>
      <c r="M277" s="62" t="s">
        <v>452</v>
      </c>
      <c r="N277" s="62" t="s">
        <v>464</v>
      </c>
      <c r="O277" s="62" t="s">
        <v>2066</v>
      </c>
      <c r="P277" s="100" t="s">
        <v>1895</v>
      </c>
      <c r="Q277" s="5" t="s">
        <v>2067</v>
      </c>
      <c r="R277" s="34" t="s">
        <v>2089</v>
      </c>
      <c r="S277" s="5" t="s">
        <v>2069</v>
      </c>
      <c r="T277" s="5" t="s">
        <v>445</v>
      </c>
    </row>
    <row r="278" spans="2:20">
      <c r="B278" s="9"/>
      <c r="C278" s="5" t="s">
        <v>1857</v>
      </c>
      <c r="D278" s="5"/>
      <c r="F278" s="5" t="s">
        <v>291</v>
      </c>
      <c r="G278" s="34" t="s">
        <v>292</v>
      </c>
      <c r="H278" s="34"/>
      <c r="I278" s="306">
        <v>-288300</v>
      </c>
      <c r="J278" s="307">
        <v>-202.31578947368399</v>
      </c>
      <c r="K278" s="6">
        <v>1425</v>
      </c>
      <c r="L278" s="5" t="s">
        <v>1911</v>
      </c>
      <c r="M278" s="62" t="s">
        <v>452</v>
      </c>
      <c r="N278" s="62" t="s">
        <v>464</v>
      </c>
      <c r="O278" s="62" t="s">
        <v>2060</v>
      </c>
      <c r="P278" s="100" t="s">
        <v>1895</v>
      </c>
      <c r="Q278" s="5" t="s">
        <v>2061</v>
      </c>
      <c r="R278" s="34" t="s">
        <v>2090</v>
      </c>
      <c r="S278" s="5" t="s">
        <v>2063</v>
      </c>
      <c r="T278" s="5" t="s">
        <v>445</v>
      </c>
    </row>
    <row r="279" spans="2:20">
      <c r="B279" s="9"/>
      <c r="C279" s="5" t="s">
        <v>1857</v>
      </c>
      <c r="D279" s="5"/>
      <c r="F279" s="5" t="s">
        <v>291</v>
      </c>
      <c r="G279" s="34" t="s">
        <v>292</v>
      </c>
      <c r="H279" s="34"/>
      <c r="I279" s="306">
        <v>-288990.27</v>
      </c>
      <c r="J279" s="307">
        <v>-204.233406360424</v>
      </c>
      <c r="K279" s="6">
        <v>1415</v>
      </c>
      <c r="L279" s="5" t="s">
        <v>1893</v>
      </c>
      <c r="M279" s="62" t="s">
        <v>452</v>
      </c>
      <c r="N279" s="62" t="s">
        <v>464</v>
      </c>
      <c r="O279" s="62" t="s">
        <v>2079</v>
      </c>
      <c r="P279" s="100" t="s">
        <v>1895</v>
      </c>
      <c r="Q279" s="5" t="s">
        <v>2080</v>
      </c>
      <c r="R279" s="34" t="s">
        <v>2091</v>
      </c>
      <c r="S279" s="5" t="s">
        <v>2082</v>
      </c>
      <c r="T279" s="5" t="s">
        <v>445</v>
      </c>
    </row>
    <row r="280" spans="2:20">
      <c r="B280" s="9"/>
      <c r="C280" s="5" t="s">
        <v>1857</v>
      </c>
      <c r="D280" s="5"/>
      <c r="F280" s="5" t="s">
        <v>291</v>
      </c>
      <c r="G280" s="34" t="s">
        <v>292</v>
      </c>
      <c r="H280" s="34"/>
      <c r="I280" s="306">
        <v>-384000</v>
      </c>
      <c r="J280" s="307">
        <v>-271.37809187279203</v>
      </c>
      <c r="K280" s="6">
        <v>1415</v>
      </c>
      <c r="L280" s="5" t="s">
        <v>1902</v>
      </c>
      <c r="M280" s="62" t="s">
        <v>452</v>
      </c>
      <c r="N280" s="62" t="s">
        <v>464</v>
      </c>
      <c r="O280" s="62" t="s">
        <v>2066</v>
      </c>
      <c r="P280" s="100" t="s">
        <v>1895</v>
      </c>
      <c r="Q280" s="5" t="s">
        <v>2067</v>
      </c>
      <c r="R280" s="34" t="s">
        <v>2092</v>
      </c>
      <c r="S280" s="5" t="s">
        <v>2069</v>
      </c>
      <c r="T280" s="5" t="s">
        <v>445</v>
      </c>
    </row>
    <row r="281" spans="2:20">
      <c r="B281" s="9"/>
      <c r="C281" s="5" t="s">
        <v>1857</v>
      </c>
      <c r="D281" s="5"/>
      <c r="F281" s="5" t="s">
        <v>291</v>
      </c>
      <c r="G281" s="34" t="s">
        <v>292</v>
      </c>
      <c r="H281" s="34"/>
      <c r="I281" s="306">
        <v>-156000</v>
      </c>
      <c r="J281" s="307">
        <v>-109.473684210526</v>
      </c>
      <c r="K281" s="6">
        <v>1425</v>
      </c>
      <c r="L281" s="5" t="s">
        <v>2074</v>
      </c>
      <c r="M281" s="62" t="s">
        <v>452</v>
      </c>
      <c r="N281" s="62" t="s">
        <v>464</v>
      </c>
      <c r="O281" s="62" t="s">
        <v>2083</v>
      </c>
      <c r="P281" s="100" t="s">
        <v>1895</v>
      </c>
      <c r="Q281" s="5" t="s">
        <v>2084</v>
      </c>
      <c r="R281" s="34" t="s">
        <v>2094</v>
      </c>
      <c r="S281" s="5" t="s">
        <v>2086</v>
      </c>
      <c r="T281" s="5" t="s">
        <v>445</v>
      </c>
    </row>
    <row r="282" spans="2:20">
      <c r="B282" s="9"/>
      <c r="C282" s="5" t="s">
        <v>1857</v>
      </c>
      <c r="D282" s="5"/>
      <c r="F282" s="5" t="s">
        <v>291</v>
      </c>
      <c r="G282" s="34" t="s">
        <v>292</v>
      </c>
      <c r="H282" s="34"/>
      <c r="I282" s="306">
        <v>1304896.46</v>
      </c>
      <c r="J282" s="307">
        <v>915.71681403508796</v>
      </c>
      <c r="K282" s="6">
        <v>1425</v>
      </c>
      <c r="L282" s="5" t="s">
        <v>1911</v>
      </c>
      <c r="M282" s="62" t="s">
        <v>452</v>
      </c>
      <c r="N282" s="62" t="s">
        <v>464</v>
      </c>
      <c r="O282" s="62" t="s">
        <v>2096</v>
      </c>
      <c r="P282" s="100" t="s">
        <v>1895</v>
      </c>
      <c r="Q282" s="5" t="s">
        <v>2097</v>
      </c>
      <c r="R282" s="34" t="s">
        <v>2098</v>
      </c>
      <c r="S282" s="5" t="s">
        <v>2099</v>
      </c>
      <c r="T282" s="5" t="s">
        <v>445</v>
      </c>
    </row>
    <row r="283" spans="2:20">
      <c r="B283" s="9"/>
      <c r="C283" s="5" t="s">
        <v>1857</v>
      </c>
      <c r="D283" s="5"/>
      <c r="F283" s="5" t="s">
        <v>291</v>
      </c>
      <c r="G283" s="34" t="s">
        <v>292</v>
      </c>
      <c r="H283" s="34"/>
      <c r="I283" s="306">
        <v>-202000</v>
      </c>
      <c r="J283" s="307">
        <v>-141.75438596491199</v>
      </c>
      <c r="K283" s="6">
        <v>1425</v>
      </c>
      <c r="L283" s="5" t="s">
        <v>1911</v>
      </c>
      <c r="M283" s="62" t="s">
        <v>452</v>
      </c>
      <c r="N283" s="62" t="s">
        <v>464</v>
      </c>
      <c r="O283" s="62" t="s">
        <v>2060</v>
      </c>
      <c r="P283" s="100" t="s">
        <v>1895</v>
      </c>
      <c r="Q283" s="5" t="s">
        <v>2061</v>
      </c>
      <c r="R283" s="34" t="s">
        <v>2100</v>
      </c>
      <c r="S283" s="5" t="s">
        <v>2063</v>
      </c>
      <c r="T283" s="5" t="s">
        <v>445</v>
      </c>
    </row>
    <row r="284" spans="2:20">
      <c r="B284" s="9"/>
      <c r="C284" s="5" t="s">
        <v>1857</v>
      </c>
      <c r="D284" s="5"/>
      <c r="F284" s="5" t="s">
        <v>291</v>
      </c>
      <c r="G284" s="34" t="s">
        <v>292</v>
      </c>
      <c r="H284" s="34"/>
      <c r="I284" s="306">
        <v>-350000</v>
      </c>
      <c r="J284" s="307">
        <v>-245.614035087719</v>
      </c>
      <c r="K284" s="6">
        <v>1425</v>
      </c>
      <c r="L284" s="5" t="s">
        <v>1911</v>
      </c>
      <c r="M284" s="62" t="s">
        <v>452</v>
      </c>
      <c r="N284" s="62" t="s">
        <v>464</v>
      </c>
      <c r="O284" s="62" t="s">
        <v>2060</v>
      </c>
      <c r="P284" s="100" t="s">
        <v>1895</v>
      </c>
      <c r="Q284" s="5" t="s">
        <v>2061</v>
      </c>
      <c r="R284" s="34" t="s">
        <v>2103</v>
      </c>
      <c r="S284" s="5" t="s">
        <v>2063</v>
      </c>
      <c r="T284" s="5" t="s">
        <v>445</v>
      </c>
    </row>
    <row r="285" spans="2:20">
      <c r="B285" s="9"/>
      <c r="C285" s="5" t="s">
        <v>1857</v>
      </c>
      <c r="D285" s="5"/>
      <c r="F285" s="5" t="s">
        <v>293</v>
      </c>
      <c r="G285" s="34" t="s">
        <v>294</v>
      </c>
      <c r="H285" s="34"/>
      <c r="I285" s="306">
        <v>-2499998.4</v>
      </c>
      <c r="J285" s="307">
        <v>-1736.11</v>
      </c>
      <c r="K285" s="6">
        <v>1440</v>
      </c>
      <c r="L285" s="5" t="s">
        <v>2130</v>
      </c>
      <c r="M285" s="62" t="s">
        <v>452</v>
      </c>
      <c r="N285" s="62" t="s">
        <v>442</v>
      </c>
      <c r="O285" s="62" t="s">
        <v>2131</v>
      </c>
      <c r="P285" s="100" t="s">
        <v>1895</v>
      </c>
      <c r="Q285" s="5" t="s">
        <v>2132</v>
      </c>
      <c r="R285" s="34" t="s">
        <v>2132</v>
      </c>
      <c r="S285" s="5" t="s">
        <v>2133</v>
      </c>
      <c r="T285" s="5" t="s">
        <v>445</v>
      </c>
    </row>
    <row r="286" spans="2:20">
      <c r="B286" s="9"/>
      <c r="C286" s="5" t="s">
        <v>1857</v>
      </c>
      <c r="D286" s="5"/>
      <c r="F286" s="5" t="s">
        <v>293</v>
      </c>
      <c r="G286" s="34" t="s">
        <v>294</v>
      </c>
      <c r="H286" s="34"/>
      <c r="I286" s="306">
        <v>-2200000.5</v>
      </c>
      <c r="J286" s="307">
        <v>-1543.86</v>
      </c>
      <c r="K286" s="6">
        <v>1425</v>
      </c>
      <c r="L286" s="5" t="s">
        <v>2074</v>
      </c>
      <c r="M286" s="62" t="s">
        <v>452</v>
      </c>
      <c r="N286" s="62" t="s">
        <v>442</v>
      </c>
      <c r="O286" s="62" t="s">
        <v>2134</v>
      </c>
      <c r="P286" s="100" t="s">
        <v>1895</v>
      </c>
      <c r="Q286" s="5" t="s">
        <v>2135</v>
      </c>
      <c r="R286" s="34" t="s">
        <v>2135</v>
      </c>
      <c r="S286" s="5" t="s">
        <v>2136</v>
      </c>
      <c r="T286" s="5" t="s">
        <v>445</v>
      </c>
    </row>
    <row r="287" spans="2:20">
      <c r="B287" s="9"/>
      <c r="C287" s="5" t="s">
        <v>1857</v>
      </c>
      <c r="D287" s="5"/>
      <c r="F287" s="5" t="s">
        <v>293</v>
      </c>
      <c r="G287" s="34" t="s">
        <v>294</v>
      </c>
      <c r="H287" s="34"/>
      <c r="I287" s="306">
        <v>-1100000.25</v>
      </c>
      <c r="J287" s="307">
        <v>-771.93</v>
      </c>
      <c r="K287" s="6">
        <v>1425</v>
      </c>
      <c r="L287" s="5" t="s">
        <v>1911</v>
      </c>
      <c r="M287" s="62" t="s">
        <v>452</v>
      </c>
      <c r="N287" s="62" t="s">
        <v>442</v>
      </c>
      <c r="O287" s="62" t="s">
        <v>2137</v>
      </c>
      <c r="P287" s="100" t="s">
        <v>1895</v>
      </c>
      <c r="Q287" s="5" t="s">
        <v>2138</v>
      </c>
      <c r="R287" s="34" t="s">
        <v>2138</v>
      </c>
      <c r="S287" s="5" t="s">
        <v>2139</v>
      </c>
      <c r="T287" s="5" t="s">
        <v>445</v>
      </c>
    </row>
    <row r="288" spans="2:20">
      <c r="B288" s="9"/>
      <c r="C288" s="5" t="s">
        <v>1857</v>
      </c>
      <c r="D288" s="5"/>
      <c r="F288" s="5" t="s">
        <v>293</v>
      </c>
      <c r="G288" s="34" t="s">
        <v>294</v>
      </c>
      <c r="H288" s="34"/>
      <c r="I288" s="306">
        <v>-7100003.0499999998</v>
      </c>
      <c r="J288" s="307">
        <v>-5017.67</v>
      </c>
      <c r="K288" s="6">
        <v>1415</v>
      </c>
      <c r="L288" s="5" t="s">
        <v>1893</v>
      </c>
      <c r="M288" s="62" t="s">
        <v>452</v>
      </c>
      <c r="N288" s="62" t="s">
        <v>442</v>
      </c>
      <c r="O288" s="62" t="s">
        <v>2140</v>
      </c>
      <c r="P288" s="100" t="s">
        <v>1895</v>
      </c>
      <c r="Q288" s="5" t="s">
        <v>2141</v>
      </c>
      <c r="R288" s="34" t="s">
        <v>2141</v>
      </c>
      <c r="S288" s="5" t="s">
        <v>2142</v>
      </c>
      <c r="T288" s="5" t="s">
        <v>445</v>
      </c>
    </row>
    <row r="289" spans="2:20">
      <c r="B289" s="9"/>
      <c r="C289" s="5" t="s">
        <v>1857</v>
      </c>
      <c r="D289" s="5"/>
      <c r="F289" s="5" t="s">
        <v>293</v>
      </c>
      <c r="G289" s="34" t="s">
        <v>294</v>
      </c>
      <c r="H289" s="34"/>
      <c r="I289" s="306">
        <v>-273095</v>
      </c>
      <c r="J289" s="307">
        <v>-193</v>
      </c>
      <c r="K289" s="6">
        <v>1415</v>
      </c>
      <c r="L289" s="5" t="s">
        <v>1893</v>
      </c>
      <c r="M289" s="62" t="s">
        <v>452</v>
      </c>
      <c r="N289" s="62" t="s">
        <v>464</v>
      </c>
      <c r="O289" s="62" t="s">
        <v>1894</v>
      </c>
      <c r="P289" s="100" t="s">
        <v>1895</v>
      </c>
      <c r="Q289" s="5" t="s">
        <v>1896</v>
      </c>
      <c r="R289" s="34" t="s">
        <v>1897</v>
      </c>
      <c r="S289" s="5" t="s">
        <v>1898</v>
      </c>
      <c r="T289" s="5" t="s">
        <v>445</v>
      </c>
    </row>
    <row r="290" spans="2:20">
      <c r="B290" s="9"/>
      <c r="C290" s="5" t="s">
        <v>1857</v>
      </c>
      <c r="D290" s="5"/>
      <c r="F290" s="5" t="s">
        <v>293</v>
      </c>
      <c r="G290" s="34" t="s">
        <v>294</v>
      </c>
      <c r="H290" s="34"/>
      <c r="I290" s="306">
        <v>-799475</v>
      </c>
      <c r="J290" s="307">
        <v>-565</v>
      </c>
      <c r="K290" s="6">
        <v>1415</v>
      </c>
      <c r="L290" s="5" t="s">
        <v>1893</v>
      </c>
      <c r="M290" s="62" t="s">
        <v>452</v>
      </c>
      <c r="N290" s="62" t="s">
        <v>464</v>
      </c>
      <c r="O290" s="62" t="s">
        <v>1894</v>
      </c>
      <c r="P290" s="100" t="s">
        <v>1895</v>
      </c>
      <c r="Q290" s="5" t="s">
        <v>1896</v>
      </c>
      <c r="R290" s="34" t="s">
        <v>1899</v>
      </c>
      <c r="S290" s="5" t="s">
        <v>1898</v>
      </c>
      <c r="T290" s="5" t="s">
        <v>445</v>
      </c>
    </row>
    <row r="291" spans="2:20">
      <c r="B291" s="9"/>
      <c r="C291" s="5" t="s">
        <v>1857</v>
      </c>
      <c r="D291" s="5"/>
      <c r="F291" s="5" t="s">
        <v>293</v>
      </c>
      <c r="G291" s="34" t="s">
        <v>294</v>
      </c>
      <c r="H291" s="34"/>
      <c r="I291" s="306">
        <v>-670710</v>
      </c>
      <c r="J291" s="307">
        <v>-474</v>
      </c>
      <c r="K291" s="6">
        <v>1415</v>
      </c>
      <c r="L291" s="5" t="s">
        <v>1893</v>
      </c>
      <c r="M291" s="62" t="s">
        <v>452</v>
      </c>
      <c r="N291" s="62" t="s">
        <v>464</v>
      </c>
      <c r="O291" s="62" t="s">
        <v>1894</v>
      </c>
      <c r="P291" s="100" t="s">
        <v>1895</v>
      </c>
      <c r="Q291" s="5" t="s">
        <v>1896</v>
      </c>
      <c r="R291" s="34" t="s">
        <v>1900</v>
      </c>
      <c r="S291" s="5" t="s">
        <v>1898</v>
      </c>
      <c r="T291" s="5" t="s">
        <v>445</v>
      </c>
    </row>
    <row r="292" spans="2:20">
      <c r="B292" s="9"/>
      <c r="C292" s="5" t="s">
        <v>1857</v>
      </c>
      <c r="D292" s="5"/>
      <c r="F292" s="5" t="s">
        <v>293</v>
      </c>
      <c r="G292" s="34" t="s">
        <v>294</v>
      </c>
      <c r="H292" s="34"/>
      <c r="I292" s="306">
        <v>-1969680</v>
      </c>
      <c r="J292" s="307">
        <v>-1392</v>
      </c>
      <c r="K292" s="6">
        <v>1415</v>
      </c>
      <c r="L292" s="5" t="s">
        <v>1893</v>
      </c>
      <c r="M292" s="62" t="s">
        <v>452</v>
      </c>
      <c r="N292" s="62" t="s">
        <v>464</v>
      </c>
      <c r="O292" s="62" t="s">
        <v>1894</v>
      </c>
      <c r="P292" s="100" t="s">
        <v>1895</v>
      </c>
      <c r="Q292" s="5" t="s">
        <v>1896</v>
      </c>
      <c r="R292" s="34" t="s">
        <v>1901</v>
      </c>
      <c r="S292" s="5" t="s">
        <v>1898</v>
      </c>
      <c r="T292" s="5" t="s">
        <v>445</v>
      </c>
    </row>
    <row r="293" spans="2:20">
      <c r="B293" s="9"/>
      <c r="C293" s="5" t="s">
        <v>1857</v>
      </c>
      <c r="D293" s="5"/>
      <c r="F293" s="5" t="s">
        <v>293</v>
      </c>
      <c r="G293" s="34" t="s">
        <v>294</v>
      </c>
      <c r="H293" s="34"/>
      <c r="I293" s="306">
        <v>39620</v>
      </c>
      <c r="J293" s="307">
        <v>28</v>
      </c>
      <c r="K293" s="6">
        <v>1415</v>
      </c>
      <c r="L293" s="5" t="s">
        <v>1902</v>
      </c>
      <c r="M293" s="62" t="s">
        <v>452</v>
      </c>
      <c r="N293" s="62" t="s">
        <v>464</v>
      </c>
      <c r="O293" s="62" t="s">
        <v>1903</v>
      </c>
      <c r="P293" s="100" t="s">
        <v>1895</v>
      </c>
      <c r="Q293" s="5" t="s">
        <v>1904</v>
      </c>
      <c r="R293" s="34" t="s">
        <v>1905</v>
      </c>
      <c r="S293" s="5" t="s">
        <v>1906</v>
      </c>
      <c r="T293" s="5" t="s">
        <v>445</v>
      </c>
    </row>
    <row r="294" spans="2:20">
      <c r="B294" s="9"/>
      <c r="C294" s="5" t="s">
        <v>1857</v>
      </c>
      <c r="D294" s="5"/>
      <c r="F294" s="5" t="s">
        <v>293</v>
      </c>
      <c r="G294" s="34" t="s">
        <v>294</v>
      </c>
      <c r="H294" s="34"/>
      <c r="I294" s="306">
        <v>8914.5</v>
      </c>
      <c r="J294" s="307">
        <v>6.3</v>
      </c>
      <c r="K294" s="6">
        <v>1415</v>
      </c>
      <c r="L294" s="5" t="s">
        <v>1902</v>
      </c>
      <c r="M294" s="62" t="s">
        <v>452</v>
      </c>
      <c r="N294" s="62" t="s">
        <v>464</v>
      </c>
      <c r="O294" s="62" t="s">
        <v>1903</v>
      </c>
      <c r="P294" s="100" t="s">
        <v>1895</v>
      </c>
      <c r="Q294" s="5" t="s">
        <v>1904</v>
      </c>
      <c r="R294" s="34" t="s">
        <v>1905</v>
      </c>
      <c r="S294" s="5" t="s">
        <v>1906</v>
      </c>
      <c r="T294" s="5" t="s">
        <v>445</v>
      </c>
    </row>
    <row r="295" spans="2:20">
      <c r="B295" s="9"/>
      <c r="C295" s="5" t="s">
        <v>1857</v>
      </c>
      <c r="D295" s="5"/>
      <c r="F295" s="5" t="s">
        <v>293</v>
      </c>
      <c r="G295" s="34" t="s">
        <v>294</v>
      </c>
      <c r="H295" s="34"/>
      <c r="I295" s="306">
        <v>-9225.7999999999993</v>
      </c>
      <c r="J295" s="307">
        <v>-6.52</v>
      </c>
      <c r="K295" s="6">
        <v>1415</v>
      </c>
      <c r="L295" s="5" t="s">
        <v>1902</v>
      </c>
      <c r="M295" s="62" t="s">
        <v>452</v>
      </c>
      <c r="N295" s="62" t="s">
        <v>464</v>
      </c>
      <c r="O295" s="62" t="s">
        <v>1907</v>
      </c>
      <c r="P295" s="100" t="s">
        <v>1895</v>
      </c>
      <c r="Q295" s="5" t="s">
        <v>1908</v>
      </c>
      <c r="R295" s="34" t="s">
        <v>1909</v>
      </c>
      <c r="S295" s="5" t="s">
        <v>1910</v>
      </c>
      <c r="T295" s="5" t="s">
        <v>445</v>
      </c>
    </row>
    <row r="296" spans="2:20">
      <c r="B296" s="9"/>
      <c r="C296" s="5" t="s">
        <v>1857</v>
      </c>
      <c r="D296" s="5"/>
      <c r="F296" s="5" t="s">
        <v>293</v>
      </c>
      <c r="G296" s="34" t="s">
        <v>294</v>
      </c>
      <c r="H296" s="34"/>
      <c r="I296" s="306">
        <v>-41006.699999999997</v>
      </c>
      <c r="J296" s="307">
        <v>-28.98</v>
      </c>
      <c r="K296" s="6">
        <v>1415</v>
      </c>
      <c r="L296" s="5" t="s">
        <v>1902</v>
      </c>
      <c r="M296" s="62" t="s">
        <v>452</v>
      </c>
      <c r="N296" s="62" t="s">
        <v>464</v>
      </c>
      <c r="O296" s="62" t="s">
        <v>1907</v>
      </c>
      <c r="P296" s="100" t="s">
        <v>1895</v>
      </c>
      <c r="Q296" s="5" t="s">
        <v>1908</v>
      </c>
      <c r="R296" s="34" t="s">
        <v>1909</v>
      </c>
      <c r="S296" s="5" t="s">
        <v>1910</v>
      </c>
      <c r="T296" s="5" t="s">
        <v>445</v>
      </c>
    </row>
    <row r="297" spans="2:20">
      <c r="B297" s="9"/>
      <c r="C297" s="5" t="s">
        <v>1857</v>
      </c>
      <c r="D297" s="5"/>
      <c r="F297" s="5" t="s">
        <v>293</v>
      </c>
      <c r="G297" s="34" t="s">
        <v>294</v>
      </c>
      <c r="H297" s="34"/>
      <c r="I297" s="306">
        <v>634125</v>
      </c>
      <c r="J297" s="307">
        <v>445</v>
      </c>
      <c r="K297" s="6">
        <v>1425</v>
      </c>
      <c r="L297" s="5" t="s">
        <v>1911</v>
      </c>
      <c r="M297" s="62" t="s">
        <v>452</v>
      </c>
      <c r="N297" s="62" t="s">
        <v>464</v>
      </c>
      <c r="O297" s="62" t="s">
        <v>1912</v>
      </c>
      <c r="P297" s="100" t="s">
        <v>1895</v>
      </c>
      <c r="Q297" s="5" t="s">
        <v>1913</v>
      </c>
      <c r="R297" s="34" t="s">
        <v>1914</v>
      </c>
      <c r="S297" s="5" t="s">
        <v>1915</v>
      </c>
      <c r="T297" s="5" t="s">
        <v>445</v>
      </c>
    </row>
    <row r="298" spans="2:20">
      <c r="B298" s="9"/>
      <c r="C298" s="5" t="s">
        <v>1857</v>
      </c>
      <c r="D298" s="5"/>
      <c r="F298" s="5" t="s">
        <v>293</v>
      </c>
      <c r="G298" s="34" t="s">
        <v>294</v>
      </c>
      <c r="H298" s="34"/>
      <c r="I298" s="306">
        <v>634125</v>
      </c>
      <c r="J298" s="307">
        <v>445</v>
      </c>
      <c r="K298" s="6">
        <v>1425</v>
      </c>
      <c r="L298" s="5" t="s">
        <v>1893</v>
      </c>
      <c r="M298" s="62" t="s">
        <v>452</v>
      </c>
      <c r="N298" s="62" t="s">
        <v>464</v>
      </c>
      <c r="O298" s="62" t="s">
        <v>1916</v>
      </c>
      <c r="P298" s="100" t="s">
        <v>1895</v>
      </c>
      <c r="Q298" s="5" t="s">
        <v>1917</v>
      </c>
      <c r="R298" s="34" t="s">
        <v>1918</v>
      </c>
      <c r="S298" s="5" t="s">
        <v>1919</v>
      </c>
      <c r="T298" s="5" t="s">
        <v>445</v>
      </c>
    </row>
    <row r="299" spans="2:20">
      <c r="B299" s="9"/>
      <c r="C299" s="5" t="s">
        <v>1857</v>
      </c>
      <c r="D299" s="5"/>
      <c r="F299" s="5" t="s">
        <v>293</v>
      </c>
      <c r="G299" s="34" t="s">
        <v>294</v>
      </c>
      <c r="H299" s="34"/>
      <c r="I299" s="306">
        <v>645919.19999999995</v>
      </c>
      <c r="J299" s="307">
        <v>456.48</v>
      </c>
      <c r="K299" s="6">
        <v>1415</v>
      </c>
      <c r="L299" s="5" t="s">
        <v>1902</v>
      </c>
      <c r="M299" s="62" t="s">
        <v>452</v>
      </c>
      <c r="N299" s="62" t="s">
        <v>464</v>
      </c>
      <c r="O299" s="62" t="s">
        <v>1920</v>
      </c>
      <c r="P299" s="100" t="s">
        <v>1895</v>
      </c>
      <c r="Q299" s="5" t="s">
        <v>1921</v>
      </c>
      <c r="R299" s="34" t="s">
        <v>1922</v>
      </c>
      <c r="S299" s="5" t="s">
        <v>1923</v>
      </c>
      <c r="T299" s="5" t="s">
        <v>445</v>
      </c>
    </row>
    <row r="300" spans="2:20">
      <c r="B300" s="9"/>
      <c r="C300" s="5" t="s">
        <v>1857</v>
      </c>
      <c r="D300" s="5"/>
      <c r="F300" s="5" t="s">
        <v>293</v>
      </c>
      <c r="G300" s="34" t="s">
        <v>294</v>
      </c>
      <c r="H300" s="34"/>
      <c r="I300" s="306">
        <v>809040.4</v>
      </c>
      <c r="J300" s="307">
        <v>571.76</v>
      </c>
      <c r="K300" s="6">
        <v>1415</v>
      </c>
      <c r="L300" s="5" t="s">
        <v>1902</v>
      </c>
      <c r="M300" s="62" t="s">
        <v>452</v>
      </c>
      <c r="N300" s="62" t="s">
        <v>464</v>
      </c>
      <c r="O300" s="62" t="s">
        <v>1920</v>
      </c>
      <c r="P300" s="100" t="s">
        <v>1895</v>
      </c>
      <c r="Q300" s="5" t="s">
        <v>1921</v>
      </c>
      <c r="R300" s="34" t="s">
        <v>1924</v>
      </c>
      <c r="S300" s="5" t="s">
        <v>1923</v>
      </c>
      <c r="T300" s="5" t="s">
        <v>445</v>
      </c>
    </row>
    <row r="301" spans="2:20">
      <c r="B301" s="9"/>
      <c r="C301" s="5" t="s">
        <v>1857</v>
      </c>
      <c r="D301" s="5"/>
      <c r="F301" s="5" t="s">
        <v>293</v>
      </c>
      <c r="G301" s="34" t="s">
        <v>294</v>
      </c>
      <c r="H301" s="34"/>
      <c r="I301" s="306">
        <v>-28314.15</v>
      </c>
      <c r="J301" s="307">
        <v>-20.010000000000002</v>
      </c>
      <c r="K301" s="6">
        <v>1415</v>
      </c>
      <c r="L301" s="5" t="s">
        <v>1902</v>
      </c>
      <c r="M301" s="62" t="s">
        <v>452</v>
      </c>
      <c r="N301" s="62" t="s">
        <v>464</v>
      </c>
      <c r="O301" s="62" t="s">
        <v>1907</v>
      </c>
      <c r="P301" s="100" t="s">
        <v>1895</v>
      </c>
      <c r="Q301" s="5" t="s">
        <v>1908</v>
      </c>
      <c r="R301" s="34" t="s">
        <v>1925</v>
      </c>
      <c r="S301" s="5" t="s">
        <v>1910</v>
      </c>
      <c r="T301" s="5" t="s">
        <v>445</v>
      </c>
    </row>
    <row r="302" spans="2:20">
      <c r="B302" s="9"/>
      <c r="C302" s="5" t="s">
        <v>1857</v>
      </c>
      <c r="D302" s="5"/>
      <c r="F302" s="5" t="s">
        <v>293</v>
      </c>
      <c r="G302" s="34" t="s">
        <v>294</v>
      </c>
      <c r="H302" s="34"/>
      <c r="I302" s="306">
        <v>5362850</v>
      </c>
      <c r="J302" s="307">
        <v>3790</v>
      </c>
      <c r="K302" s="6">
        <v>1415</v>
      </c>
      <c r="L302" s="5" t="s">
        <v>1902</v>
      </c>
      <c r="M302" s="62" t="s">
        <v>452</v>
      </c>
      <c r="N302" s="62" t="s">
        <v>464</v>
      </c>
      <c r="O302" s="62" t="s">
        <v>1920</v>
      </c>
      <c r="P302" s="100" t="s">
        <v>1895</v>
      </c>
      <c r="Q302" s="5" t="s">
        <v>1921</v>
      </c>
      <c r="R302" s="34" t="s">
        <v>1926</v>
      </c>
      <c r="S302" s="5" t="s">
        <v>1923</v>
      </c>
      <c r="T302" s="5" t="s">
        <v>445</v>
      </c>
    </row>
    <row r="303" spans="2:20">
      <c r="B303" s="9"/>
      <c r="C303" s="5" t="s">
        <v>1857</v>
      </c>
      <c r="D303" s="5"/>
      <c r="F303" s="5" t="s">
        <v>293</v>
      </c>
      <c r="G303" s="34" t="s">
        <v>294</v>
      </c>
      <c r="H303" s="34"/>
      <c r="I303" s="306">
        <v>-187699.75</v>
      </c>
      <c r="J303" s="307">
        <v>-132.65</v>
      </c>
      <c r="K303" s="6">
        <v>1415</v>
      </c>
      <c r="L303" s="5" t="s">
        <v>1902</v>
      </c>
      <c r="M303" s="62" t="s">
        <v>452</v>
      </c>
      <c r="N303" s="62" t="s">
        <v>464</v>
      </c>
      <c r="O303" s="62" t="s">
        <v>1907</v>
      </c>
      <c r="P303" s="100" t="s">
        <v>1895</v>
      </c>
      <c r="Q303" s="5" t="s">
        <v>1908</v>
      </c>
      <c r="R303" s="34" t="s">
        <v>1927</v>
      </c>
      <c r="S303" s="5" t="s">
        <v>1910</v>
      </c>
      <c r="T303" s="5" t="s">
        <v>445</v>
      </c>
    </row>
    <row r="304" spans="2:20">
      <c r="B304" s="9"/>
      <c r="C304" s="5" t="s">
        <v>1857</v>
      </c>
      <c r="D304" s="5"/>
      <c r="F304" s="5" t="s">
        <v>293</v>
      </c>
      <c r="G304" s="34" t="s">
        <v>294</v>
      </c>
      <c r="H304" s="34"/>
      <c r="I304" s="306">
        <v>1068750</v>
      </c>
      <c r="J304" s="307">
        <v>750</v>
      </c>
      <c r="K304" s="6">
        <v>1425</v>
      </c>
      <c r="L304" s="5" t="s">
        <v>1893</v>
      </c>
      <c r="M304" s="62" t="s">
        <v>452</v>
      </c>
      <c r="N304" s="62" t="s">
        <v>464</v>
      </c>
      <c r="O304" s="62" t="s">
        <v>1916</v>
      </c>
      <c r="P304" s="100" t="s">
        <v>1895</v>
      </c>
      <c r="Q304" s="5" t="s">
        <v>1917</v>
      </c>
      <c r="R304" s="34" t="s">
        <v>1928</v>
      </c>
      <c r="S304" s="5" t="s">
        <v>1919</v>
      </c>
      <c r="T304" s="5" t="s">
        <v>445</v>
      </c>
    </row>
    <row r="305" spans="2:20">
      <c r="B305" s="9"/>
      <c r="C305" s="5" t="s">
        <v>1857</v>
      </c>
      <c r="D305" s="5"/>
      <c r="F305" s="5" t="s">
        <v>293</v>
      </c>
      <c r="G305" s="34" t="s">
        <v>294</v>
      </c>
      <c r="H305" s="34"/>
      <c r="I305" s="306">
        <v>2268000</v>
      </c>
      <c r="J305" s="307">
        <v>1575</v>
      </c>
      <c r="K305" s="6">
        <v>1440</v>
      </c>
      <c r="L305" s="5" t="s">
        <v>1911</v>
      </c>
      <c r="M305" s="62" t="s">
        <v>452</v>
      </c>
      <c r="N305" s="62" t="s">
        <v>464</v>
      </c>
      <c r="O305" s="62" t="s">
        <v>1912</v>
      </c>
      <c r="P305" s="100" t="s">
        <v>1895</v>
      </c>
      <c r="Q305" s="5" t="s">
        <v>1913</v>
      </c>
      <c r="R305" s="34" t="s">
        <v>1929</v>
      </c>
      <c r="S305" s="5" t="s">
        <v>1915</v>
      </c>
      <c r="T305" s="5" t="s">
        <v>445</v>
      </c>
    </row>
    <row r="306" spans="2:20">
      <c r="B306" s="9"/>
      <c r="C306" s="5" t="s">
        <v>1857</v>
      </c>
      <c r="D306" s="5"/>
      <c r="F306" s="5" t="s">
        <v>293</v>
      </c>
      <c r="G306" s="34" t="s">
        <v>294</v>
      </c>
      <c r="H306" s="34"/>
      <c r="I306" s="306">
        <v>2971.5</v>
      </c>
      <c r="J306" s="307">
        <v>2.1</v>
      </c>
      <c r="K306" s="6">
        <v>1415</v>
      </c>
      <c r="L306" s="5" t="s">
        <v>1902</v>
      </c>
      <c r="M306" s="62" t="s">
        <v>452</v>
      </c>
      <c r="N306" s="62" t="s">
        <v>464</v>
      </c>
      <c r="O306" s="62" t="s">
        <v>1903</v>
      </c>
      <c r="P306" s="100" t="s">
        <v>1895</v>
      </c>
      <c r="Q306" s="5" t="s">
        <v>1904</v>
      </c>
      <c r="R306" s="34" t="s">
        <v>1930</v>
      </c>
      <c r="S306" s="5" t="s">
        <v>1906</v>
      </c>
      <c r="T306" s="5" t="s">
        <v>445</v>
      </c>
    </row>
    <row r="307" spans="2:20">
      <c r="B307" s="9"/>
      <c r="C307" s="5" t="s">
        <v>1857</v>
      </c>
      <c r="D307" s="5"/>
      <c r="F307" s="5" t="s">
        <v>293</v>
      </c>
      <c r="G307" s="34" t="s">
        <v>294</v>
      </c>
      <c r="H307" s="34"/>
      <c r="I307" s="306">
        <v>95088</v>
      </c>
      <c r="J307" s="307">
        <v>67.2</v>
      </c>
      <c r="K307" s="6">
        <v>1415</v>
      </c>
      <c r="L307" s="5" t="s">
        <v>1902</v>
      </c>
      <c r="M307" s="62" t="s">
        <v>452</v>
      </c>
      <c r="N307" s="62" t="s">
        <v>464</v>
      </c>
      <c r="O307" s="62" t="s">
        <v>1903</v>
      </c>
      <c r="P307" s="100" t="s">
        <v>1895</v>
      </c>
      <c r="Q307" s="5" t="s">
        <v>1904</v>
      </c>
      <c r="R307" s="34" t="s">
        <v>1930</v>
      </c>
      <c r="S307" s="5" t="s">
        <v>1906</v>
      </c>
      <c r="T307" s="5" t="s">
        <v>445</v>
      </c>
    </row>
    <row r="308" spans="2:20">
      <c r="B308" s="9"/>
      <c r="C308" s="5" t="s">
        <v>1857</v>
      </c>
      <c r="D308" s="5"/>
      <c r="F308" s="5" t="s">
        <v>293</v>
      </c>
      <c r="G308" s="34" t="s">
        <v>294</v>
      </c>
      <c r="H308" s="34"/>
      <c r="I308" s="306">
        <v>-3070.55</v>
      </c>
      <c r="J308" s="307">
        <v>-2.17</v>
      </c>
      <c r="K308" s="6">
        <v>1415</v>
      </c>
      <c r="L308" s="5" t="s">
        <v>1902</v>
      </c>
      <c r="M308" s="62" t="s">
        <v>452</v>
      </c>
      <c r="N308" s="62" t="s">
        <v>464</v>
      </c>
      <c r="O308" s="62" t="s">
        <v>1907</v>
      </c>
      <c r="P308" s="100" t="s">
        <v>1895</v>
      </c>
      <c r="Q308" s="5" t="s">
        <v>1908</v>
      </c>
      <c r="R308" s="34" t="s">
        <v>1931</v>
      </c>
      <c r="S308" s="5" t="s">
        <v>1910</v>
      </c>
      <c r="T308" s="5" t="s">
        <v>445</v>
      </c>
    </row>
    <row r="309" spans="2:20">
      <c r="B309" s="9"/>
      <c r="C309" s="5" t="s">
        <v>1857</v>
      </c>
      <c r="D309" s="5"/>
      <c r="F309" s="5" t="s">
        <v>293</v>
      </c>
      <c r="G309" s="34" t="s">
        <v>294</v>
      </c>
      <c r="H309" s="34"/>
      <c r="I309" s="306">
        <v>-98413.25</v>
      </c>
      <c r="J309" s="307">
        <v>-69.55</v>
      </c>
      <c r="K309" s="6">
        <v>1415</v>
      </c>
      <c r="L309" s="5" t="s">
        <v>1902</v>
      </c>
      <c r="M309" s="62" t="s">
        <v>452</v>
      </c>
      <c r="N309" s="62" t="s">
        <v>464</v>
      </c>
      <c r="O309" s="62" t="s">
        <v>1907</v>
      </c>
      <c r="P309" s="100" t="s">
        <v>1895</v>
      </c>
      <c r="Q309" s="5" t="s">
        <v>1908</v>
      </c>
      <c r="R309" s="34" t="s">
        <v>1931</v>
      </c>
      <c r="S309" s="5" t="s">
        <v>1910</v>
      </c>
      <c r="T309" s="5" t="s">
        <v>445</v>
      </c>
    </row>
    <row r="310" spans="2:20">
      <c r="B310" s="9"/>
      <c r="C310" s="5" t="s">
        <v>1857</v>
      </c>
      <c r="D310" s="5"/>
      <c r="F310" s="5" t="s">
        <v>293</v>
      </c>
      <c r="G310" s="34" t="s">
        <v>294</v>
      </c>
      <c r="H310" s="34"/>
      <c r="I310" s="306">
        <v>1800000</v>
      </c>
      <c r="J310" s="307">
        <v>1250</v>
      </c>
      <c r="K310" s="6">
        <v>1440</v>
      </c>
      <c r="L310" s="5" t="s">
        <v>1893</v>
      </c>
      <c r="M310" s="62" t="s">
        <v>452</v>
      </c>
      <c r="N310" s="62" t="s">
        <v>464</v>
      </c>
      <c r="O310" s="62" t="s">
        <v>1916</v>
      </c>
      <c r="P310" s="100" t="s">
        <v>1895</v>
      </c>
      <c r="Q310" s="5" t="s">
        <v>1917</v>
      </c>
      <c r="R310" s="34" t="s">
        <v>1932</v>
      </c>
      <c r="S310" s="5" t="s">
        <v>1919</v>
      </c>
      <c r="T310" s="5" t="s">
        <v>445</v>
      </c>
    </row>
    <row r="311" spans="2:20">
      <c r="B311" s="9"/>
      <c r="C311" s="5" t="s">
        <v>1857</v>
      </c>
      <c r="D311" s="5"/>
      <c r="F311" s="5" t="s">
        <v>293</v>
      </c>
      <c r="G311" s="34" t="s">
        <v>294</v>
      </c>
      <c r="H311" s="34"/>
      <c r="I311" s="306">
        <v>1353750</v>
      </c>
      <c r="J311" s="307">
        <v>950</v>
      </c>
      <c r="K311" s="6">
        <v>1425</v>
      </c>
      <c r="L311" s="5" t="s">
        <v>1893</v>
      </c>
      <c r="M311" s="62" t="s">
        <v>452</v>
      </c>
      <c r="N311" s="62" t="s">
        <v>464</v>
      </c>
      <c r="O311" s="62" t="s">
        <v>1916</v>
      </c>
      <c r="P311" s="100" t="s">
        <v>1895</v>
      </c>
      <c r="Q311" s="5" t="s">
        <v>1917</v>
      </c>
      <c r="R311" s="34" t="s">
        <v>1933</v>
      </c>
      <c r="S311" s="5" t="s">
        <v>1919</v>
      </c>
      <c r="T311" s="5" t="s">
        <v>445</v>
      </c>
    </row>
    <row r="312" spans="2:20">
      <c r="B312" s="9"/>
      <c r="C312" s="5" t="s">
        <v>1857</v>
      </c>
      <c r="D312" s="5"/>
      <c r="F312" s="5" t="s">
        <v>293</v>
      </c>
      <c r="G312" s="34" t="s">
        <v>294</v>
      </c>
      <c r="H312" s="34"/>
      <c r="I312" s="306">
        <v>2547000</v>
      </c>
      <c r="J312" s="307">
        <v>1800</v>
      </c>
      <c r="K312" s="6">
        <v>1415</v>
      </c>
      <c r="L312" s="5" t="s">
        <v>1902</v>
      </c>
      <c r="M312" s="62" t="s">
        <v>452</v>
      </c>
      <c r="N312" s="62" t="s">
        <v>464</v>
      </c>
      <c r="O312" s="62" t="s">
        <v>1920</v>
      </c>
      <c r="P312" s="100" t="s">
        <v>1895</v>
      </c>
      <c r="Q312" s="5" t="s">
        <v>1921</v>
      </c>
      <c r="R312" s="34" t="s">
        <v>1934</v>
      </c>
      <c r="S312" s="5" t="s">
        <v>1923</v>
      </c>
      <c r="T312" s="5" t="s">
        <v>445</v>
      </c>
    </row>
    <row r="313" spans="2:20">
      <c r="B313" s="9"/>
      <c r="C313" s="5" t="s">
        <v>1857</v>
      </c>
      <c r="D313" s="5"/>
      <c r="F313" s="5" t="s">
        <v>293</v>
      </c>
      <c r="G313" s="34" t="s">
        <v>294</v>
      </c>
      <c r="H313" s="34"/>
      <c r="I313" s="306">
        <v>2547000</v>
      </c>
      <c r="J313" s="307">
        <v>1800</v>
      </c>
      <c r="K313" s="6">
        <v>1415</v>
      </c>
      <c r="L313" s="5" t="s">
        <v>1902</v>
      </c>
      <c r="M313" s="62" t="s">
        <v>452</v>
      </c>
      <c r="N313" s="62" t="s">
        <v>464</v>
      </c>
      <c r="O313" s="62" t="s">
        <v>1920</v>
      </c>
      <c r="P313" s="100" t="s">
        <v>1895</v>
      </c>
      <c r="Q313" s="5" t="s">
        <v>1921</v>
      </c>
      <c r="R313" s="34" t="s">
        <v>1935</v>
      </c>
      <c r="S313" s="5" t="s">
        <v>1923</v>
      </c>
      <c r="T313" s="5" t="s">
        <v>445</v>
      </c>
    </row>
    <row r="314" spans="2:20">
      <c r="B314" s="9"/>
      <c r="C314" s="5" t="s">
        <v>1857</v>
      </c>
      <c r="D314" s="5"/>
      <c r="F314" s="5" t="s">
        <v>293</v>
      </c>
      <c r="G314" s="34" t="s">
        <v>294</v>
      </c>
      <c r="H314" s="34"/>
      <c r="I314" s="306">
        <v>6049125</v>
      </c>
      <c r="J314" s="307">
        <v>4275</v>
      </c>
      <c r="K314" s="6">
        <v>1415</v>
      </c>
      <c r="L314" s="5" t="s">
        <v>1902</v>
      </c>
      <c r="M314" s="62" t="s">
        <v>452</v>
      </c>
      <c r="N314" s="62" t="s">
        <v>464</v>
      </c>
      <c r="O314" s="62" t="s">
        <v>1920</v>
      </c>
      <c r="P314" s="100" t="s">
        <v>1895</v>
      </c>
      <c r="Q314" s="5" t="s">
        <v>1921</v>
      </c>
      <c r="R314" s="34" t="s">
        <v>1936</v>
      </c>
      <c r="S314" s="5" t="s">
        <v>1923</v>
      </c>
      <c r="T314" s="5" t="s">
        <v>445</v>
      </c>
    </row>
    <row r="315" spans="2:20">
      <c r="B315" s="9"/>
      <c r="C315" s="5" t="s">
        <v>1857</v>
      </c>
      <c r="D315" s="5"/>
      <c r="F315" s="5" t="s">
        <v>293</v>
      </c>
      <c r="G315" s="34" t="s">
        <v>294</v>
      </c>
      <c r="H315" s="34"/>
      <c r="I315" s="306">
        <v>-211726.45</v>
      </c>
      <c r="J315" s="307">
        <v>-149.63</v>
      </c>
      <c r="K315" s="6">
        <v>1415</v>
      </c>
      <c r="L315" s="5" t="s">
        <v>1902</v>
      </c>
      <c r="M315" s="62" t="s">
        <v>452</v>
      </c>
      <c r="N315" s="62" t="s">
        <v>464</v>
      </c>
      <c r="O315" s="62" t="s">
        <v>1907</v>
      </c>
      <c r="P315" s="100" t="s">
        <v>1895</v>
      </c>
      <c r="Q315" s="5" t="s">
        <v>1908</v>
      </c>
      <c r="R315" s="34" t="s">
        <v>1937</v>
      </c>
      <c r="S315" s="5" t="s">
        <v>1910</v>
      </c>
      <c r="T315" s="5" t="s">
        <v>445</v>
      </c>
    </row>
    <row r="316" spans="2:20">
      <c r="B316" s="9"/>
      <c r="C316" s="5" t="s">
        <v>1857</v>
      </c>
      <c r="D316" s="5"/>
      <c r="F316" s="5" t="s">
        <v>293</v>
      </c>
      <c r="G316" s="34" t="s">
        <v>294</v>
      </c>
      <c r="H316" s="34"/>
      <c r="I316" s="306">
        <v>8122500</v>
      </c>
      <c r="J316" s="307">
        <v>5700</v>
      </c>
      <c r="K316" s="6">
        <v>1425</v>
      </c>
      <c r="L316" s="5" t="s">
        <v>1893</v>
      </c>
      <c r="M316" s="62" t="s">
        <v>452</v>
      </c>
      <c r="N316" s="62" t="s">
        <v>464</v>
      </c>
      <c r="O316" s="62" t="s">
        <v>1916</v>
      </c>
      <c r="P316" s="100" t="s">
        <v>1895</v>
      </c>
      <c r="Q316" s="5" t="s">
        <v>1917</v>
      </c>
      <c r="R316" s="34" t="s">
        <v>1938</v>
      </c>
      <c r="S316" s="5" t="s">
        <v>1919</v>
      </c>
      <c r="T316" s="5" t="s">
        <v>445</v>
      </c>
    </row>
    <row r="317" spans="2:20">
      <c r="B317" s="9"/>
      <c r="C317" s="5" t="s">
        <v>1857</v>
      </c>
      <c r="D317" s="5"/>
      <c r="F317" s="5" t="s">
        <v>293</v>
      </c>
      <c r="G317" s="34" t="s">
        <v>294</v>
      </c>
      <c r="H317" s="34"/>
      <c r="I317" s="306">
        <v>-2830000</v>
      </c>
      <c r="J317" s="307">
        <v>-2000</v>
      </c>
      <c r="K317" s="6">
        <v>1415</v>
      </c>
      <c r="L317" s="5" t="s">
        <v>1893</v>
      </c>
      <c r="M317" s="62" t="s">
        <v>452</v>
      </c>
      <c r="N317" s="62" t="s">
        <v>464</v>
      </c>
      <c r="O317" s="62" t="s">
        <v>1894</v>
      </c>
      <c r="P317" s="100" t="s">
        <v>1895</v>
      </c>
      <c r="Q317" s="5" t="s">
        <v>1896</v>
      </c>
      <c r="R317" s="34" t="s">
        <v>2058</v>
      </c>
      <c r="S317" s="5" t="s">
        <v>1898</v>
      </c>
      <c r="T317" s="5" t="s">
        <v>445</v>
      </c>
    </row>
    <row r="318" spans="2:20">
      <c r="B318" s="9"/>
      <c r="C318" s="5" t="s">
        <v>1857</v>
      </c>
      <c r="D318" s="5"/>
      <c r="F318" s="5" t="s">
        <v>293</v>
      </c>
      <c r="G318" s="34" t="s">
        <v>294</v>
      </c>
      <c r="H318" s="34"/>
      <c r="I318" s="306">
        <v>-424500</v>
      </c>
      <c r="J318" s="307">
        <v>-300</v>
      </c>
      <c r="K318" s="6">
        <v>1415</v>
      </c>
      <c r="L318" s="5" t="s">
        <v>1893</v>
      </c>
      <c r="M318" s="62" t="s">
        <v>452</v>
      </c>
      <c r="N318" s="62" t="s">
        <v>464</v>
      </c>
      <c r="O318" s="62" t="s">
        <v>1894</v>
      </c>
      <c r="P318" s="100" t="s">
        <v>1895</v>
      </c>
      <c r="Q318" s="5" t="s">
        <v>1896</v>
      </c>
      <c r="R318" s="34" t="s">
        <v>2059</v>
      </c>
      <c r="S318" s="5" t="s">
        <v>1898</v>
      </c>
      <c r="T318" s="5" t="s">
        <v>445</v>
      </c>
    </row>
    <row r="319" spans="2:20">
      <c r="B319" s="9"/>
      <c r="C319" s="5" t="s">
        <v>1857</v>
      </c>
      <c r="D319" s="5"/>
      <c r="F319" s="5" t="s">
        <v>293</v>
      </c>
      <c r="G319" s="34" t="s">
        <v>294</v>
      </c>
      <c r="H319" s="34"/>
      <c r="I319" s="306">
        <v>-1140000</v>
      </c>
      <c r="J319" s="307">
        <v>-800</v>
      </c>
      <c r="K319" s="6">
        <v>1425</v>
      </c>
      <c r="L319" s="5" t="s">
        <v>1911</v>
      </c>
      <c r="M319" s="62" t="s">
        <v>452</v>
      </c>
      <c r="N319" s="62" t="s">
        <v>464</v>
      </c>
      <c r="O319" s="62" t="s">
        <v>2070</v>
      </c>
      <c r="P319" s="100" t="s">
        <v>1895</v>
      </c>
      <c r="Q319" s="5" t="s">
        <v>2071</v>
      </c>
      <c r="R319" s="34" t="s">
        <v>2072</v>
      </c>
      <c r="S319" s="5" t="s">
        <v>2073</v>
      </c>
      <c r="T319" s="5" t="s">
        <v>445</v>
      </c>
    </row>
    <row r="320" spans="2:20">
      <c r="B320" s="9"/>
      <c r="C320" s="5" t="s">
        <v>1857</v>
      </c>
      <c r="D320" s="5"/>
      <c r="F320" s="5" t="s">
        <v>293</v>
      </c>
      <c r="G320" s="34" t="s">
        <v>294</v>
      </c>
      <c r="H320" s="34"/>
      <c r="I320" s="306">
        <v>-3240000</v>
      </c>
      <c r="J320" s="307">
        <v>-2250</v>
      </c>
      <c r="K320" s="6">
        <v>1440</v>
      </c>
      <c r="L320" s="5" t="s">
        <v>2074</v>
      </c>
      <c r="M320" s="62" t="s">
        <v>452</v>
      </c>
      <c r="N320" s="62" t="s">
        <v>464</v>
      </c>
      <c r="O320" s="62" t="s">
        <v>2075</v>
      </c>
      <c r="P320" s="100" t="s">
        <v>1895</v>
      </c>
      <c r="Q320" s="5" t="s">
        <v>2076</v>
      </c>
      <c r="R320" s="34" t="s">
        <v>2077</v>
      </c>
      <c r="S320" s="5" t="s">
        <v>2078</v>
      </c>
      <c r="T320" s="5" t="s">
        <v>445</v>
      </c>
    </row>
    <row r="321" spans="2:20">
      <c r="B321" s="9"/>
      <c r="C321" s="5" t="s">
        <v>1857</v>
      </c>
      <c r="D321" s="5"/>
      <c r="F321" s="5" t="s">
        <v>293</v>
      </c>
      <c r="G321" s="34" t="s">
        <v>294</v>
      </c>
      <c r="H321" s="34"/>
      <c r="I321" s="306">
        <v>-424500</v>
      </c>
      <c r="J321" s="307">
        <v>-300</v>
      </c>
      <c r="K321" s="6">
        <v>1415</v>
      </c>
      <c r="L321" s="5" t="s">
        <v>1902</v>
      </c>
      <c r="M321" s="62" t="s">
        <v>452</v>
      </c>
      <c r="N321" s="62" t="s">
        <v>464</v>
      </c>
      <c r="O321" s="62" t="s">
        <v>1907</v>
      </c>
      <c r="P321" s="100" t="s">
        <v>1895</v>
      </c>
      <c r="Q321" s="5" t="s">
        <v>1908</v>
      </c>
      <c r="R321" s="34" t="s">
        <v>2093</v>
      </c>
      <c r="S321" s="5" t="s">
        <v>1910</v>
      </c>
      <c r="T321" s="5" t="s">
        <v>445</v>
      </c>
    </row>
    <row r="322" spans="2:20">
      <c r="B322" s="9"/>
      <c r="C322" s="5" t="s">
        <v>1857</v>
      </c>
      <c r="D322" s="5"/>
      <c r="F322" s="5" t="s">
        <v>293</v>
      </c>
      <c r="G322" s="34" t="s">
        <v>294</v>
      </c>
      <c r="H322" s="34"/>
      <c r="I322" s="306">
        <v>-2716800</v>
      </c>
      <c r="J322" s="307">
        <v>-1920</v>
      </c>
      <c r="K322" s="6">
        <v>1415</v>
      </c>
      <c r="L322" s="5" t="s">
        <v>1893</v>
      </c>
      <c r="M322" s="62" t="s">
        <v>452</v>
      </c>
      <c r="N322" s="62" t="s">
        <v>464</v>
      </c>
      <c r="O322" s="62" t="s">
        <v>1894</v>
      </c>
      <c r="P322" s="100" t="s">
        <v>1895</v>
      </c>
      <c r="Q322" s="5" t="s">
        <v>1896</v>
      </c>
      <c r="R322" s="34" t="s">
        <v>2095</v>
      </c>
      <c r="S322" s="5" t="s">
        <v>1898</v>
      </c>
      <c r="T322" s="5" t="s">
        <v>445</v>
      </c>
    </row>
    <row r="323" spans="2:20">
      <c r="B323" s="9"/>
      <c r="C323" s="5" t="s">
        <v>1857</v>
      </c>
      <c r="D323" s="5"/>
      <c r="F323" s="5" t="s">
        <v>293</v>
      </c>
      <c r="G323" s="34" t="s">
        <v>294</v>
      </c>
      <c r="H323" s="34"/>
      <c r="I323" s="306">
        <v>-6048000</v>
      </c>
      <c r="J323" s="307">
        <v>-4200</v>
      </c>
      <c r="K323" s="6">
        <v>1440</v>
      </c>
      <c r="L323" s="5" t="s">
        <v>2074</v>
      </c>
      <c r="M323" s="62" t="s">
        <v>452</v>
      </c>
      <c r="N323" s="62" t="s">
        <v>464</v>
      </c>
      <c r="O323" s="62" t="s">
        <v>2075</v>
      </c>
      <c r="P323" s="100" t="s">
        <v>1895</v>
      </c>
      <c r="Q323" s="5" t="s">
        <v>2076</v>
      </c>
      <c r="R323" s="34" t="s">
        <v>2101</v>
      </c>
      <c r="S323" s="5" t="s">
        <v>2078</v>
      </c>
      <c r="T323" s="5" t="s">
        <v>445</v>
      </c>
    </row>
    <row r="324" spans="2:20">
      <c r="B324" s="9"/>
      <c r="C324" s="5" t="s">
        <v>1857</v>
      </c>
      <c r="D324" s="5"/>
      <c r="F324" s="5" t="s">
        <v>293</v>
      </c>
      <c r="G324" s="34" t="s">
        <v>294</v>
      </c>
      <c r="H324" s="34"/>
      <c r="I324" s="306">
        <v>-3758240</v>
      </c>
      <c r="J324" s="307">
        <v>-2656</v>
      </c>
      <c r="K324" s="6">
        <v>1415</v>
      </c>
      <c r="L324" s="5" t="s">
        <v>1902</v>
      </c>
      <c r="M324" s="62" t="s">
        <v>452</v>
      </c>
      <c r="N324" s="62" t="s">
        <v>464</v>
      </c>
      <c r="O324" s="62" t="s">
        <v>1907</v>
      </c>
      <c r="P324" s="100" t="s">
        <v>1895</v>
      </c>
      <c r="Q324" s="5" t="s">
        <v>1908</v>
      </c>
      <c r="R324" s="34" t="s">
        <v>2102</v>
      </c>
      <c r="S324" s="5" t="s">
        <v>1910</v>
      </c>
      <c r="T324" s="5" t="s">
        <v>445</v>
      </c>
    </row>
    <row r="325" spans="2:20">
      <c r="B325" s="9"/>
      <c r="C325" s="5" t="s">
        <v>1857</v>
      </c>
      <c r="D325" s="5"/>
      <c r="F325" s="5" t="s">
        <v>293</v>
      </c>
      <c r="G325" s="34" t="s">
        <v>294</v>
      </c>
      <c r="H325" s="34"/>
      <c r="I325" s="306">
        <v>-96644.5</v>
      </c>
      <c r="J325" s="307">
        <v>-68.3</v>
      </c>
      <c r="K325" s="6">
        <v>1415</v>
      </c>
      <c r="L325" s="5" t="s">
        <v>1902</v>
      </c>
      <c r="M325" s="62" t="s">
        <v>452</v>
      </c>
      <c r="N325" s="62" t="s">
        <v>464</v>
      </c>
      <c r="O325" s="62" t="s">
        <v>1907</v>
      </c>
      <c r="P325" s="100" t="s">
        <v>1895</v>
      </c>
      <c r="Q325" s="5" t="s">
        <v>1908</v>
      </c>
      <c r="R325" s="34" t="s">
        <v>2104</v>
      </c>
      <c r="S325" s="5" t="s">
        <v>1910</v>
      </c>
      <c r="T325" s="5" t="s">
        <v>445</v>
      </c>
    </row>
    <row r="326" spans="2:20">
      <c r="B326" s="9"/>
      <c r="C326" s="5" t="s">
        <v>1857</v>
      </c>
      <c r="D326" s="5"/>
      <c r="F326" s="5" t="s">
        <v>293</v>
      </c>
      <c r="G326" s="34" t="s">
        <v>294</v>
      </c>
      <c r="H326" s="34"/>
      <c r="I326" s="306">
        <v>256500.00030000001</v>
      </c>
      <c r="J326" s="307">
        <v>181.27208501766799</v>
      </c>
      <c r="K326" s="6">
        <v>1415</v>
      </c>
      <c r="L326" s="5" t="s">
        <v>1902</v>
      </c>
      <c r="M326" s="62" t="s">
        <v>1416</v>
      </c>
      <c r="N326" s="62" t="s">
        <v>464</v>
      </c>
      <c r="O326" s="62" t="s">
        <v>2153</v>
      </c>
      <c r="P326" s="100" t="s">
        <v>2144</v>
      </c>
      <c r="Q326" s="5" t="s">
        <v>2154</v>
      </c>
      <c r="R326" s="34" t="s">
        <v>2154</v>
      </c>
      <c r="S326" s="5" t="s">
        <v>2155</v>
      </c>
      <c r="T326" s="5" t="s">
        <v>445</v>
      </c>
    </row>
    <row r="327" spans="2:20">
      <c r="B327" s="9"/>
      <c r="C327" s="5" t="s">
        <v>1857</v>
      </c>
      <c r="D327" s="5"/>
      <c r="F327" s="5" t="s">
        <v>293</v>
      </c>
      <c r="G327" s="34" t="s">
        <v>294</v>
      </c>
      <c r="H327" s="34"/>
      <c r="I327" s="306">
        <v>1139999.9997</v>
      </c>
      <c r="J327" s="307">
        <v>805.65371003533596</v>
      </c>
      <c r="K327" s="6">
        <v>1415</v>
      </c>
      <c r="L327" s="5" t="s">
        <v>1902</v>
      </c>
      <c r="M327" s="62" t="s">
        <v>1416</v>
      </c>
      <c r="N327" s="62" t="s">
        <v>464</v>
      </c>
      <c r="O327" s="62" t="s">
        <v>2156</v>
      </c>
      <c r="P327" s="100" t="s">
        <v>2144</v>
      </c>
      <c r="Q327" s="5" t="s">
        <v>2157</v>
      </c>
      <c r="R327" s="34" t="s">
        <v>2157</v>
      </c>
      <c r="S327" s="5" t="s">
        <v>2158</v>
      </c>
      <c r="T327" s="5" t="s">
        <v>445</v>
      </c>
    </row>
    <row r="328" spans="2:20">
      <c r="B328" s="9"/>
      <c r="C328" s="5" t="s">
        <v>1857</v>
      </c>
      <c r="D328" s="5"/>
      <c r="F328" s="5" t="s">
        <v>293</v>
      </c>
      <c r="G328" s="34" t="s">
        <v>294</v>
      </c>
      <c r="H328" s="34"/>
      <c r="I328" s="306">
        <v>2736000.0005999999</v>
      </c>
      <c r="J328" s="307">
        <v>1933.56890501767</v>
      </c>
      <c r="K328" s="6">
        <v>1415</v>
      </c>
      <c r="L328" s="5" t="s">
        <v>1902</v>
      </c>
      <c r="M328" s="62" t="s">
        <v>1416</v>
      </c>
      <c r="N328" s="62" t="s">
        <v>464</v>
      </c>
      <c r="O328" s="62" t="s">
        <v>2159</v>
      </c>
      <c r="P328" s="100" t="s">
        <v>2144</v>
      </c>
      <c r="Q328" s="5" t="s">
        <v>2160</v>
      </c>
      <c r="R328" s="34" t="s">
        <v>2160</v>
      </c>
      <c r="S328" s="5" t="s">
        <v>2161</v>
      </c>
      <c r="T328" s="5" t="s">
        <v>445</v>
      </c>
    </row>
    <row r="329" spans="2:20">
      <c r="B329" s="9"/>
      <c r="C329" s="5" t="s">
        <v>1857</v>
      </c>
      <c r="D329" s="5"/>
      <c r="F329" s="5" t="s">
        <v>293</v>
      </c>
      <c r="G329" s="34" t="s">
        <v>294</v>
      </c>
      <c r="H329" s="34"/>
      <c r="I329" s="306">
        <v>85499.999599999996</v>
      </c>
      <c r="J329" s="307">
        <v>60.424027985865699</v>
      </c>
      <c r="K329" s="6">
        <v>1415</v>
      </c>
      <c r="L329" s="5" t="s">
        <v>1902</v>
      </c>
      <c r="M329" s="62" t="s">
        <v>1416</v>
      </c>
      <c r="N329" s="62" t="s">
        <v>464</v>
      </c>
      <c r="O329" s="62" t="s">
        <v>2162</v>
      </c>
      <c r="P329" s="100" t="s">
        <v>2144</v>
      </c>
      <c r="Q329" s="5" t="s">
        <v>2163</v>
      </c>
      <c r="R329" s="34" t="s">
        <v>2163</v>
      </c>
      <c r="S329" s="5" t="s">
        <v>2164</v>
      </c>
      <c r="T329" s="5" t="s">
        <v>445</v>
      </c>
    </row>
    <row r="330" spans="2:20">
      <c r="B330" s="9"/>
      <c r="C330" s="5" t="s">
        <v>1857</v>
      </c>
      <c r="D330" s="5"/>
      <c r="F330" s="5" t="s">
        <v>295</v>
      </c>
      <c r="G330" s="34" t="s">
        <v>296</v>
      </c>
      <c r="H330" s="34"/>
      <c r="I330" s="306">
        <v>-12000</v>
      </c>
      <c r="J330" s="307">
        <v>-8.3333333333333304</v>
      </c>
      <c r="K330" s="6">
        <v>1440</v>
      </c>
      <c r="L330" s="5" t="s">
        <v>1939</v>
      </c>
      <c r="M330" s="62" t="s">
        <v>452</v>
      </c>
      <c r="N330" s="62" t="s">
        <v>464</v>
      </c>
      <c r="O330" s="62" t="s">
        <v>1940</v>
      </c>
      <c r="P330" s="100" t="s">
        <v>1895</v>
      </c>
      <c r="Q330" s="5" t="s">
        <v>1941</v>
      </c>
      <c r="R330" s="34" t="s">
        <v>1942</v>
      </c>
      <c r="S330" s="5" t="s">
        <v>1943</v>
      </c>
      <c r="T330" s="5" t="s">
        <v>445</v>
      </c>
    </row>
    <row r="331" spans="2:20">
      <c r="B331" s="9"/>
      <c r="C331" s="5" t="s">
        <v>1857</v>
      </c>
      <c r="D331" s="5"/>
      <c r="F331" s="5" t="s">
        <v>295</v>
      </c>
      <c r="G331" s="34" t="s">
        <v>296</v>
      </c>
      <c r="H331" s="34"/>
      <c r="I331" s="306">
        <v>-10800</v>
      </c>
      <c r="J331" s="307">
        <v>-7.5</v>
      </c>
      <c r="K331" s="6">
        <v>1440</v>
      </c>
      <c r="L331" s="5" t="s">
        <v>1939</v>
      </c>
      <c r="M331" s="62" t="s">
        <v>452</v>
      </c>
      <c r="N331" s="62" t="s">
        <v>464</v>
      </c>
      <c r="O331" s="62" t="s">
        <v>1940</v>
      </c>
      <c r="P331" s="100" t="s">
        <v>1895</v>
      </c>
      <c r="Q331" s="5" t="s">
        <v>1941</v>
      </c>
      <c r="R331" s="34" t="s">
        <v>1944</v>
      </c>
      <c r="S331" s="5" t="s">
        <v>1943</v>
      </c>
      <c r="T331" s="5" t="s">
        <v>445</v>
      </c>
    </row>
    <row r="332" spans="2:20">
      <c r="B332" s="9"/>
      <c r="C332" s="5" t="s">
        <v>1857</v>
      </c>
      <c r="D332" s="5"/>
      <c r="F332" s="5" t="s">
        <v>295</v>
      </c>
      <c r="G332" s="34" t="s">
        <v>296</v>
      </c>
      <c r="H332" s="34"/>
      <c r="I332" s="306">
        <v>-39000</v>
      </c>
      <c r="J332" s="307">
        <v>-27.5618374558304</v>
      </c>
      <c r="K332" s="6">
        <v>1415</v>
      </c>
      <c r="L332" s="5" t="s">
        <v>1902</v>
      </c>
      <c r="M332" s="62" t="s">
        <v>452</v>
      </c>
      <c r="N332" s="62" t="s">
        <v>464</v>
      </c>
      <c r="O332" s="62" t="s">
        <v>1945</v>
      </c>
      <c r="P332" s="100" t="s">
        <v>1895</v>
      </c>
      <c r="Q332" s="5" t="s">
        <v>1946</v>
      </c>
      <c r="R332" s="34" t="s">
        <v>1947</v>
      </c>
      <c r="S332" s="5" t="s">
        <v>1948</v>
      </c>
      <c r="T332" s="5" t="s">
        <v>445</v>
      </c>
    </row>
    <row r="333" spans="2:20">
      <c r="B333" s="9"/>
      <c r="C333" s="5" t="s">
        <v>1857</v>
      </c>
      <c r="D333" s="5"/>
      <c r="F333" s="5" t="s">
        <v>295</v>
      </c>
      <c r="G333" s="34" t="s">
        <v>296</v>
      </c>
      <c r="H333" s="34"/>
      <c r="I333" s="306">
        <v>-39000</v>
      </c>
      <c r="J333" s="307">
        <v>-27.5618374558304</v>
      </c>
      <c r="K333" s="6">
        <v>1415</v>
      </c>
      <c r="L333" s="5" t="s">
        <v>1902</v>
      </c>
      <c r="M333" s="62" t="s">
        <v>452</v>
      </c>
      <c r="N333" s="62" t="s">
        <v>464</v>
      </c>
      <c r="O333" s="62" t="s">
        <v>1949</v>
      </c>
      <c r="P333" s="100" t="s">
        <v>1895</v>
      </c>
      <c r="Q333" s="5" t="s">
        <v>1950</v>
      </c>
      <c r="R333" s="34" t="s">
        <v>1947</v>
      </c>
      <c r="S333" s="5" t="s">
        <v>1951</v>
      </c>
      <c r="T333" s="5" t="s">
        <v>445</v>
      </c>
    </row>
    <row r="334" spans="2:20">
      <c r="B334" s="9"/>
      <c r="C334" s="5" t="s">
        <v>1857</v>
      </c>
      <c r="D334" s="5"/>
      <c r="F334" s="5" t="s">
        <v>295</v>
      </c>
      <c r="G334" s="34" t="s">
        <v>296</v>
      </c>
      <c r="H334" s="34"/>
      <c r="I334" s="306">
        <v>39000</v>
      </c>
      <c r="J334" s="307">
        <v>27.5618374558304</v>
      </c>
      <c r="K334" s="6">
        <v>1415</v>
      </c>
      <c r="L334" s="5" t="s">
        <v>1902</v>
      </c>
      <c r="M334" s="62" t="s">
        <v>452</v>
      </c>
      <c r="N334" s="62" t="s">
        <v>464</v>
      </c>
      <c r="O334" s="62" t="s">
        <v>1952</v>
      </c>
      <c r="P334" s="100" t="s">
        <v>1895</v>
      </c>
      <c r="Q334" s="5" t="s">
        <v>1953</v>
      </c>
      <c r="R334" s="34" t="s">
        <v>1947</v>
      </c>
      <c r="S334" s="5" t="s">
        <v>1954</v>
      </c>
      <c r="T334" s="5" t="s">
        <v>445</v>
      </c>
    </row>
    <row r="335" spans="2:20">
      <c r="B335" s="9"/>
      <c r="C335" s="5" t="s">
        <v>1857</v>
      </c>
      <c r="D335" s="5"/>
      <c r="F335" s="5" t="s">
        <v>295</v>
      </c>
      <c r="G335" s="34" t="s">
        <v>296</v>
      </c>
      <c r="H335" s="34"/>
      <c r="I335" s="306">
        <v>-52000</v>
      </c>
      <c r="J335" s="307">
        <v>-36.491228070175403</v>
      </c>
      <c r="K335" s="6">
        <v>1425</v>
      </c>
      <c r="L335" s="5" t="s">
        <v>1955</v>
      </c>
      <c r="M335" s="62" t="s">
        <v>452</v>
      </c>
      <c r="N335" s="62" t="s">
        <v>464</v>
      </c>
      <c r="O335" s="62" t="s">
        <v>1956</v>
      </c>
      <c r="P335" s="100" t="s">
        <v>1895</v>
      </c>
      <c r="Q335" s="5" t="s">
        <v>1957</v>
      </c>
      <c r="R335" s="34" t="s">
        <v>1958</v>
      </c>
      <c r="S335" s="5" t="s">
        <v>1959</v>
      </c>
      <c r="T335" s="5" t="s">
        <v>445</v>
      </c>
    </row>
    <row r="336" spans="2:20">
      <c r="B336" s="9"/>
      <c r="C336" s="5" t="s">
        <v>1857</v>
      </c>
      <c r="D336" s="5"/>
      <c r="F336" s="5" t="s">
        <v>295</v>
      </c>
      <c r="G336" s="34" t="s">
        <v>296</v>
      </c>
      <c r="H336" s="34"/>
      <c r="I336" s="306">
        <v>-176000</v>
      </c>
      <c r="J336" s="307">
        <v>-124.381625441696</v>
      </c>
      <c r="K336" s="6">
        <v>1415</v>
      </c>
      <c r="L336" s="5" t="s">
        <v>1902</v>
      </c>
      <c r="M336" s="62" t="s">
        <v>452</v>
      </c>
      <c r="N336" s="62" t="s">
        <v>464</v>
      </c>
      <c r="O336" s="62" t="s">
        <v>1945</v>
      </c>
      <c r="P336" s="100" t="s">
        <v>1895</v>
      </c>
      <c r="Q336" s="5" t="s">
        <v>1946</v>
      </c>
      <c r="R336" s="34" t="s">
        <v>1960</v>
      </c>
      <c r="S336" s="5" t="s">
        <v>1948</v>
      </c>
      <c r="T336" s="5" t="s">
        <v>445</v>
      </c>
    </row>
    <row r="337" spans="2:20">
      <c r="B337" s="9"/>
      <c r="C337" s="5" t="s">
        <v>1857</v>
      </c>
      <c r="D337" s="5"/>
      <c r="F337" s="5" t="s">
        <v>295</v>
      </c>
      <c r="G337" s="34" t="s">
        <v>296</v>
      </c>
      <c r="H337" s="34"/>
      <c r="I337" s="306">
        <v>-176000</v>
      </c>
      <c r="J337" s="307">
        <v>-124.381625441696</v>
      </c>
      <c r="K337" s="6">
        <v>1415</v>
      </c>
      <c r="L337" s="5" t="s">
        <v>1902</v>
      </c>
      <c r="M337" s="62" t="s">
        <v>452</v>
      </c>
      <c r="N337" s="62" t="s">
        <v>464</v>
      </c>
      <c r="O337" s="62" t="s">
        <v>1949</v>
      </c>
      <c r="P337" s="100" t="s">
        <v>1895</v>
      </c>
      <c r="Q337" s="5" t="s">
        <v>1950</v>
      </c>
      <c r="R337" s="34" t="s">
        <v>1960</v>
      </c>
      <c r="S337" s="5" t="s">
        <v>1951</v>
      </c>
      <c r="T337" s="5" t="s">
        <v>445</v>
      </c>
    </row>
    <row r="338" spans="2:20">
      <c r="B338" s="9"/>
      <c r="C338" s="5" t="s">
        <v>1857</v>
      </c>
      <c r="D338" s="5"/>
      <c r="F338" s="5" t="s">
        <v>295</v>
      </c>
      <c r="G338" s="34" t="s">
        <v>296</v>
      </c>
      <c r="H338" s="34"/>
      <c r="I338" s="306">
        <v>176000</v>
      </c>
      <c r="J338" s="307">
        <v>124.381625441696</v>
      </c>
      <c r="K338" s="6">
        <v>1415</v>
      </c>
      <c r="L338" s="5" t="s">
        <v>1902</v>
      </c>
      <c r="M338" s="62" t="s">
        <v>452</v>
      </c>
      <c r="N338" s="62" t="s">
        <v>464</v>
      </c>
      <c r="O338" s="62" t="s">
        <v>1952</v>
      </c>
      <c r="P338" s="100" t="s">
        <v>1895</v>
      </c>
      <c r="Q338" s="5" t="s">
        <v>1953</v>
      </c>
      <c r="R338" s="34" t="s">
        <v>1960</v>
      </c>
      <c r="S338" s="5" t="s">
        <v>1954</v>
      </c>
      <c r="T338" s="5" t="s">
        <v>445</v>
      </c>
    </row>
    <row r="339" spans="2:20">
      <c r="B339" s="9"/>
      <c r="C339" s="5" t="s">
        <v>1857</v>
      </c>
      <c r="D339" s="5"/>
      <c r="F339" s="5" t="s">
        <v>295</v>
      </c>
      <c r="G339" s="34" t="s">
        <v>296</v>
      </c>
      <c r="H339" s="34"/>
      <c r="I339" s="306">
        <v>-130000</v>
      </c>
      <c r="J339" s="307">
        <v>-91.228070175438603</v>
      </c>
      <c r="K339" s="6">
        <v>1425</v>
      </c>
      <c r="L339" s="5" t="s">
        <v>1955</v>
      </c>
      <c r="M339" s="62" t="s">
        <v>452</v>
      </c>
      <c r="N339" s="62" t="s">
        <v>464</v>
      </c>
      <c r="O339" s="62" t="s">
        <v>1956</v>
      </c>
      <c r="P339" s="100" t="s">
        <v>1895</v>
      </c>
      <c r="Q339" s="5" t="s">
        <v>1957</v>
      </c>
      <c r="R339" s="34" t="s">
        <v>1961</v>
      </c>
      <c r="S339" s="5" t="s">
        <v>1959</v>
      </c>
      <c r="T339" s="5" t="s">
        <v>445</v>
      </c>
    </row>
    <row r="340" spans="2:20">
      <c r="B340" s="9"/>
      <c r="C340" s="5" t="s">
        <v>1857</v>
      </c>
      <c r="D340" s="5"/>
      <c r="F340" s="5" t="s">
        <v>295</v>
      </c>
      <c r="G340" s="34" t="s">
        <v>296</v>
      </c>
      <c r="H340" s="34"/>
      <c r="I340" s="306">
        <v>-156000</v>
      </c>
      <c r="J340" s="307">
        <v>-110.247349823322</v>
      </c>
      <c r="K340" s="6">
        <v>1415</v>
      </c>
      <c r="L340" s="5" t="s">
        <v>1902</v>
      </c>
      <c r="M340" s="62" t="s">
        <v>452</v>
      </c>
      <c r="N340" s="62" t="s">
        <v>464</v>
      </c>
      <c r="O340" s="62" t="s">
        <v>1945</v>
      </c>
      <c r="P340" s="100" t="s">
        <v>1895</v>
      </c>
      <c r="Q340" s="5" t="s">
        <v>1946</v>
      </c>
      <c r="R340" s="34" t="s">
        <v>1962</v>
      </c>
      <c r="S340" s="5" t="s">
        <v>1948</v>
      </c>
      <c r="T340" s="5" t="s">
        <v>445</v>
      </c>
    </row>
    <row r="341" spans="2:20">
      <c r="B341" s="9"/>
      <c r="C341" s="5" t="s">
        <v>1857</v>
      </c>
      <c r="D341" s="5"/>
      <c r="F341" s="5" t="s">
        <v>295</v>
      </c>
      <c r="G341" s="34" t="s">
        <v>296</v>
      </c>
      <c r="H341" s="34"/>
      <c r="I341" s="306">
        <v>-156000</v>
      </c>
      <c r="J341" s="307">
        <v>-110.247349823322</v>
      </c>
      <c r="K341" s="6">
        <v>1415</v>
      </c>
      <c r="L341" s="5" t="s">
        <v>1902</v>
      </c>
      <c r="M341" s="62" t="s">
        <v>452</v>
      </c>
      <c r="N341" s="62" t="s">
        <v>464</v>
      </c>
      <c r="O341" s="62" t="s">
        <v>1949</v>
      </c>
      <c r="P341" s="100" t="s">
        <v>1895</v>
      </c>
      <c r="Q341" s="5" t="s">
        <v>1950</v>
      </c>
      <c r="R341" s="34" t="s">
        <v>1962</v>
      </c>
      <c r="S341" s="5" t="s">
        <v>1951</v>
      </c>
      <c r="T341" s="5" t="s">
        <v>445</v>
      </c>
    </row>
    <row r="342" spans="2:20">
      <c r="B342" s="9"/>
      <c r="C342" s="5" t="s">
        <v>1857</v>
      </c>
      <c r="D342" s="5"/>
      <c r="F342" s="5" t="s">
        <v>295</v>
      </c>
      <c r="G342" s="34" t="s">
        <v>296</v>
      </c>
      <c r="H342" s="34"/>
      <c r="I342" s="306">
        <v>156000</v>
      </c>
      <c r="J342" s="307">
        <v>110.247349823322</v>
      </c>
      <c r="K342" s="6">
        <v>1415</v>
      </c>
      <c r="L342" s="5" t="s">
        <v>1902</v>
      </c>
      <c r="M342" s="62" t="s">
        <v>452</v>
      </c>
      <c r="N342" s="62" t="s">
        <v>464</v>
      </c>
      <c r="O342" s="62" t="s">
        <v>1952</v>
      </c>
      <c r="P342" s="100" t="s">
        <v>1895</v>
      </c>
      <c r="Q342" s="5" t="s">
        <v>1953</v>
      </c>
      <c r="R342" s="34" t="s">
        <v>1962</v>
      </c>
      <c r="S342" s="5" t="s">
        <v>1954</v>
      </c>
      <c r="T342" s="5" t="s">
        <v>445</v>
      </c>
    </row>
    <row r="343" spans="2:20">
      <c r="B343" s="9"/>
      <c r="C343" s="5" t="s">
        <v>1857</v>
      </c>
      <c r="D343" s="5"/>
      <c r="F343" s="5" t="s">
        <v>295</v>
      </c>
      <c r="G343" s="34" t="s">
        <v>296</v>
      </c>
      <c r="H343" s="34"/>
      <c r="I343" s="306">
        <v>-28000</v>
      </c>
      <c r="J343" s="307">
        <v>-19.649122807017498</v>
      </c>
      <c r="K343" s="6">
        <v>1425</v>
      </c>
      <c r="L343" s="5" t="s">
        <v>1955</v>
      </c>
      <c r="M343" s="62" t="s">
        <v>452</v>
      </c>
      <c r="N343" s="62" t="s">
        <v>464</v>
      </c>
      <c r="O343" s="62" t="s">
        <v>1956</v>
      </c>
      <c r="P343" s="100" t="s">
        <v>1895</v>
      </c>
      <c r="Q343" s="5" t="s">
        <v>1957</v>
      </c>
      <c r="R343" s="34" t="s">
        <v>1963</v>
      </c>
      <c r="S343" s="5" t="s">
        <v>1959</v>
      </c>
      <c r="T343" s="5" t="s">
        <v>445</v>
      </c>
    </row>
    <row r="344" spans="2:20">
      <c r="B344" s="9"/>
      <c r="C344" s="5" t="s">
        <v>1857</v>
      </c>
      <c r="D344" s="5"/>
      <c r="F344" s="5" t="s">
        <v>295</v>
      </c>
      <c r="G344" s="34" t="s">
        <v>296</v>
      </c>
      <c r="H344" s="34"/>
      <c r="I344" s="306">
        <v>-76000</v>
      </c>
      <c r="J344" s="307">
        <v>-52.7777777777778</v>
      </c>
      <c r="K344" s="6">
        <v>1440</v>
      </c>
      <c r="L344" s="5" t="s">
        <v>1939</v>
      </c>
      <c r="M344" s="62" t="s">
        <v>452</v>
      </c>
      <c r="N344" s="62" t="s">
        <v>464</v>
      </c>
      <c r="O344" s="62" t="s">
        <v>1940</v>
      </c>
      <c r="P344" s="100" t="s">
        <v>1895</v>
      </c>
      <c r="Q344" s="5" t="s">
        <v>1941</v>
      </c>
      <c r="R344" s="34" t="s">
        <v>1964</v>
      </c>
      <c r="S344" s="5" t="s">
        <v>1943</v>
      </c>
      <c r="T344" s="5" t="s">
        <v>445</v>
      </c>
    </row>
    <row r="345" spans="2:20">
      <c r="B345" s="9"/>
      <c r="C345" s="5" t="s">
        <v>1857</v>
      </c>
      <c r="D345" s="5"/>
      <c r="F345" s="5" t="s">
        <v>295</v>
      </c>
      <c r="G345" s="34" t="s">
        <v>296</v>
      </c>
      <c r="H345" s="34"/>
      <c r="I345" s="306">
        <v>-39996</v>
      </c>
      <c r="J345" s="307">
        <v>-27.774999999999999</v>
      </c>
      <c r="K345" s="6">
        <v>1440</v>
      </c>
      <c r="L345" s="5" t="s">
        <v>1939</v>
      </c>
      <c r="M345" s="62" t="s">
        <v>452</v>
      </c>
      <c r="N345" s="62" t="s">
        <v>464</v>
      </c>
      <c r="O345" s="62" t="s">
        <v>1940</v>
      </c>
      <c r="P345" s="100" t="s">
        <v>1895</v>
      </c>
      <c r="Q345" s="5" t="s">
        <v>1941</v>
      </c>
      <c r="R345" s="34" t="s">
        <v>1965</v>
      </c>
      <c r="S345" s="5" t="s">
        <v>1943</v>
      </c>
      <c r="T345" s="5" t="s">
        <v>445</v>
      </c>
    </row>
    <row r="346" spans="2:20">
      <c r="B346" s="9"/>
      <c r="C346" s="5" t="s">
        <v>1857</v>
      </c>
      <c r="D346" s="5"/>
      <c r="F346" s="5" t="s">
        <v>295</v>
      </c>
      <c r="G346" s="34" t="s">
        <v>296</v>
      </c>
      <c r="H346" s="34"/>
      <c r="I346" s="306">
        <v>-14400</v>
      </c>
      <c r="J346" s="307">
        <v>-10</v>
      </c>
      <c r="K346" s="6">
        <v>1440</v>
      </c>
      <c r="L346" s="5" t="s">
        <v>1939</v>
      </c>
      <c r="M346" s="62" t="s">
        <v>452</v>
      </c>
      <c r="N346" s="62" t="s">
        <v>464</v>
      </c>
      <c r="O346" s="62" t="s">
        <v>1940</v>
      </c>
      <c r="P346" s="100" t="s">
        <v>1895</v>
      </c>
      <c r="Q346" s="5" t="s">
        <v>1941</v>
      </c>
      <c r="R346" s="34" t="s">
        <v>1965</v>
      </c>
      <c r="S346" s="5" t="s">
        <v>1943</v>
      </c>
      <c r="T346" s="5" t="s">
        <v>445</v>
      </c>
    </row>
    <row r="347" spans="2:20">
      <c r="B347" s="9"/>
      <c r="C347" s="5" t="s">
        <v>1857</v>
      </c>
      <c r="D347" s="5"/>
      <c r="F347" s="5" t="s">
        <v>295</v>
      </c>
      <c r="G347" s="34" t="s">
        <v>296</v>
      </c>
      <c r="H347" s="34"/>
      <c r="I347" s="306">
        <v>-50000</v>
      </c>
      <c r="J347" s="307">
        <v>-34.7222222222222</v>
      </c>
      <c r="K347" s="6">
        <v>1440</v>
      </c>
      <c r="L347" s="5" t="s">
        <v>1939</v>
      </c>
      <c r="M347" s="62" t="s">
        <v>452</v>
      </c>
      <c r="N347" s="62" t="s">
        <v>464</v>
      </c>
      <c r="O347" s="62" t="s">
        <v>1940</v>
      </c>
      <c r="P347" s="100" t="s">
        <v>1895</v>
      </c>
      <c r="Q347" s="5" t="s">
        <v>1941</v>
      </c>
      <c r="R347" s="34" t="s">
        <v>1966</v>
      </c>
      <c r="S347" s="5" t="s">
        <v>1943</v>
      </c>
      <c r="T347" s="5" t="s">
        <v>445</v>
      </c>
    </row>
    <row r="348" spans="2:20">
      <c r="B348" s="9"/>
      <c r="C348" s="5" t="s">
        <v>1857</v>
      </c>
      <c r="D348" s="5"/>
      <c r="F348" s="5" t="s">
        <v>295</v>
      </c>
      <c r="G348" s="34" t="s">
        <v>296</v>
      </c>
      <c r="H348" s="34"/>
      <c r="I348" s="306">
        <v>-76200</v>
      </c>
      <c r="J348" s="307">
        <v>-53.851590106007102</v>
      </c>
      <c r="K348" s="6">
        <v>1415</v>
      </c>
      <c r="L348" s="5" t="s">
        <v>1902</v>
      </c>
      <c r="M348" s="62" t="s">
        <v>452</v>
      </c>
      <c r="N348" s="62" t="s">
        <v>464</v>
      </c>
      <c r="O348" s="62" t="s">
        <v>1945</v>
      </c>
      <c r="P348" s="100" t="s">
        <v>1895</v>
      </c>
      <c r="Q348" s="5" t="s">
        <v>1946</v>
      </c>
      <c r="R348" s="34" t="s">
        <v>1967</v>
      </c>
      <c r="S348" s="5" t="s">
        <v>1948</v>
      </c>
      <c r="T348" s="5" t="s">
        <v>445</v>
      </c>
    </row>
    <row r="349" spans="2:20">
      <c r="B349" s="9"/>
      <c r="C349" s="5" t="s">
        <v>1857</v>
      </c>
      <c r="D349" s="5"/>
      <c r="F349" s="5" t="s">
        <v>295</v>
      </c>
      <c r="G349" s="34" t="s">
        <v>296</v>
      </c>
      <c r="H349" s="34"/>
      <c r="I349" s="306">
        <v>-76200</v>
      </c>
      <c r="J349" s="307">
        <v>-53.851590106007102</v>
      </c>
      <c r="K349" s="6">
        <v>1415</v>
      </c>
      <c r="L349" s="5" t="s">
        <v>1902</v>
      </c>
      <c r="M349" s="62" t="s">
        <v>452</v>
      </c>
      <c r="N349" s="62" t="s">
        <v>464</v>
      </c>
      <c r="O349" s="62" t="s">
        <v>1949</v>
      </c>
      <c r="P349" s="100" t="s">
        <v>1895</v>
      </c>
      <c r="Q349" s="5" t="s">
        <v>1950</v>
      </c>
      <c r="R349" s="34" t="s">
        <v>1967</v>
      </c>
      <c r="S349" s="5" t="s">
        <v>1951</v>
      </c>
      <c r="T349" s="5" t="s">
        <v>445</v>
      </c>
    </row>
    <row r="350" spans="2:20">
      <c r="B350" s="9"/>
      <c r="C350" s="5" t="s">
        <v>1857</v>
      </c>
      <c r="D350" s="5"/>
      <c r="F350" s="5" t="s">
        <v>295</v>
      </c>
      <c r="G350" s="34" t="s">
        <v>296</v>
      </c>
      <c r="H350" s="34"/>
      <c r="I350" s="306">
        <v>76200</v>
      </c>
      <c r="J350" s="307">
        <v>53.851590106007102</v>
      </c>
      <c r="K350" s="6">
        <v>1415</v>
      </c>
      <c r="L350" s="5" t="s">
        <v>1902</v>
      </c>
      <c r="M350" s="62" t="s">
        <v>452</v>
      </c>
      <c r="N350" s="62" t="s">
        <v>464</v>
      </c>
      <c r="O350" s="62" t="s">
        <v>1952</v>
      </c>
      <c r="P350" s="100" t="s">
        <v>1895</v>
      </c>
      <c r="Q350" s="5" t="s">
        <v>1953</v>
      </c>
      <c r="R350" s="34" t="s">
        <v>1967</v>
      </c>
      <c r="S350" s="5" t="s">
        <v>1954</v>
      </c>
      <c r="T350" s="5" t="s">
        <v>445</v>
      </c>
    </row>
    <row r="351" spans="2:20">
      <c r="B351" s="9"/>
      <c r="C351" s="5" t="s">
        <v>1857</v>
      </c>
      <c r="D351" s="5"/>
      <c r="F351" s="5" t="s">
        <v>295</v>
      </c>
      <c r="G351" s="34" t="s">
        <v>296</v>
      </c>
      <c r="H351" s="34"/>
      <c r="I351" s="306">
        <v>-15000</v>
      </c>
      <c r="J351" s="307">
        <v>-10.4166666666667</v>
      </c>
      <c r="K351" s="6">
        <v>1440</v>
      </c>
      <c r="L351" s="5" t="s">
        <v>1939</v>
      </c>
      <c r="M351" s="62" t="s">
        <v>452</v>
      </c>
      <c r="N351" s="62" t="s">
        <v>464</v>
      </c>
      <c r="O351" s="62" t="s">
        <v>1940</v>
      </c>
      <c r="P351" s="100" t="s">
        <v>1895</v>
      </c>
      <c r="Q351" s="5" t="s">
        <v>1941</v>
      </c>
      <c r="R351" s="34" t="s">
        <v>1968</v>
      </c>
      <c r="S351" s="5" t="s">
        <v>1943</v>
      </c>
      <c r="T351" s="5" t="s">
        <v>445</v>
      </c>
    </row>
    <row r="352" spans="2:20">
      <c r="B352" s="9"/>
      <c r="C352" s="5" t="s">
        <v>1857</v>
      </c>
      <c r="D352" s="5"/>
      <c r="F352" s="5" t="s">
        <v>295</v>
      </c>
      <c r="G352" s="34" t="s">
        <v>296</v>
      </c>
      <c r="H352" s="34"/>
      <c r="I352" s="306">
        <v>-33000</v>
      </c>
      <c r="J352" s="307">
        <v>-22.9166666666667</v>
      </c>
      <c r="K352" s="6">
        <v>1440</v>
      </c>
      <c r="L352" s="5" t="s">
        <v>1939</v>
      </c>
      <c r="M352" s="62" t="s">
        <v>452</v>
      </c>
      <c r="N352" s="62" t="s">
        <v>464</v>
      </c>
      <c r="O352" s="62" t="s">
        <v>1940</v>
      </c>
      <c r="P352" s="100" t="s">
        <v>1895</v>
      </c>
      <c r="Q352" s="5" t="s">
        <v>1941</v>
      </c>
      <c r="R352" s="34" t="s">
        <v>837</v>
      </c>
      <c r="S352" s="5" t="s">
        <v>1943</v>
      </c>
      <c r="T352" s="5" t="s">
        <v>445</v>
      </c>
    </row>
    <row r="353" spans="2:20">
      <c r="B353" s="9"/>
      <c r="C353" s="5" t="s">
        <v>1857</v>
      </c>
      <c r="D353" s="5"/>
      <c r="F353" s="5" t="s">
        <v>295</v>
      </c>
      <c r="G353" s="34" t="s">
        <v>296</v>
      </c>
      <c r="H353" s="34"/>
      <c r="I353" s="306">
        <v>-52500</v>
      </c>
      <c r="J353" s="307">
        <v>-36.4583333333333</v>
      </c>
      <c r="K353" s="6">
        <v>1440</v>
      </c>
      <c r="L353" s="5" t="s">
        <v>1939</v>
      </c>
      <c r="M353" s="62" t="s">
        <v>452</v>
      </c>
      <c r="N353" s="62" t="s">
        <v>464</v>
      </c>
      <c r="O353" s="62" t="s">
        <v>1940</v>
      </c>
      <c r="P353" s="100" t="s">
        <v>1895</v>
      </c>
      <c r="Q353" s="5" t="s">
        <v>1941</v>
      </c>
      <c r="R353" s="34" t="s">
        <v>837</v>
      </c>
      <c r="S353" s="5" t="s">
        <v>1943</v>
      </c>
      <c r="T353" s="5" t="s">
        <v>445</v>
      </c>
    </row>
    <row r="354" spans="2:20">
      <c r="B354" s="9"/>
      <c r="C354" s="5" t="s">
        <v>1857</v>
      </c>
      <c r="D354" s="5"/>
      <c r="F354" s="5" t="s">
        <v>295</v>
      </c>
      <c r="G354" s="34" t="s">
        <v>296</v>
      </c>
      <c r="H354" s="34"/>
      <c r="I354" s="306">
        <v>-29000</v>
      </c>
      <c r="J354" s="307">
        <v>-20.350877192982502</v>
      </c>
      <c r="K354" s="6">
        <v>1425</v>
      </c>
      <c r="L354" s="5" t="s">
        <v>1969</v>
      </c>
      <c r="M354" s="62" t="s">
        <v>452</v>
      </c>
      <c r="N354" s="62" t="s">
        <v>464</v>
      </c>
      <c r="O354" s="62" t="s">
        <v>1970</v>
      </c>
      <c r="P354" s="100" t="s">
        <v>1895</v>
      </c>
      <c r="Q354" s="5" t="s">
        <v>1971</v>
      </c>
      <c r="R354" s="34" t="s">
        <v>837</v>
      </c>
      <c r="S354" s="5" t="s">
        <v>1972</v>
      </c>
      <c r="T354" s="5" t="s">
        <v>445</v>
      </c>
    </row>
    <row r="355" spans="2:20">
      <c r="B355" s="9"/>
      <c r="C355" s="5" t="s">
        <v>1857</v>
      </c>
      <c r="D355" s="5"/>
      <c r="F355" s="5" t="s">
        <v>295</v>
      </c>
      <c r="G355" s="34" t="s">
        <v>296</v>
      </c>
      <c r="H355" s="34"/>
      <c r="I355" s="306">
        <v>-70000</v>
      </c>
      <c r="J355" s="307">
        <v>-49.469964664311</v>
      </c>
      <c r="K355" s="6">
        <v>1415</v>
      </c>
      <c r="L355" s="5" t="s">
        <v>1902</v>
      </c>
      <c r="M355" s="62" t="s">
        <v>452</v>
      </c>
      <c r="N355" s="62" t="s">
        <v>464</v>
      </c>
      <c r="O355" s="62" t="s">
        <v>1945</v>
      </c>
      <c r="P355" s="100" t="s">
        <v>1895</v>
      </c>
      <c r="Q355" s="5" t="s">
        <v>1946</v>
      </c>
      <c r="R355" s="34" t="s">
        <v>837</v>
      </c>
      <c r="S355" s="5" t="s">
        <v>1948</v>
      </c>
      <c r="T355" s="5" t="s">
        <v>445</v>
      </c>
    </row>
    <row r="356" spans="2:20">
      <c r="B356" s="9"/>
      <c r="C356" s="5" t="s">
        <v>1857</v>
      </c>
      <c r="D356" s="5"/>
      <c r="F356" s="5" t="s">
        <v>295</v>
      </c>
      <c r="G356" s="34" t="s">
        <v>296</v>
      </c>
      <c r="H356" s="34"/>
      <c r="I356" s="306">
        <v>-70000</v>
      </c>
      <c r="J356" s="307">
        <v>-49.469964664311</v>
      </c>
      <c r="K356" s="6">
        <v>1415</v>
      </c>
      <c r="L356" s="5" t="s">
        <v>1902</v>
      </c>
      <c r="M356" s="62" t="s">
        <v>452</v>
      </c>
      <c r="N356" s="62" t="s">
        <v>464</v>
      </c>
      <c r="O356" s="62" t="s">
        <v>1949</v>
      </c>
      <c r="P356" s="100" t="s">
        <v>1895</v>
      </c>
      <c r="Q356" s="5" t="s">
        <v>1950</v>
      </c>
      <c r="R356" s="34" t="s">
        <v>837</v>
      </c>
      <c r="S356" s="5" t="s">
        <v>1951</v>
      </c>
      <c r="T356" s="5" t="s">
        <v>445</v>
      </c>
    </row>
    <row r="357" spans="2:20">
      <c r="B357" s="9"/>
      <c r="C357" s="5" t="s">
        <v>1857</v>
      </c>
      <c r="D357" s="5"/>
      <c r="F357" s="5" t="s">
        <v>295</v>
      </c>
      <c r="G357" s="34" t="s">
        <v>296</v>
      </c>
      <c r="H357" s="34"/>
      <c r="I357" s="306">
        <v>70000</v>
      </c>
      <c r="J357" s="307">
        <v>49.469964664311</v>
      </c>
      <c r="K357" s="6">
        <v>1415</v>
      </c>
      <c r="L357" s="5" t="s">
        <v>1902</v>
      </c>
      <c r="M357" s="62" t="s">
        <v>452</v>
      </c>
      <c r="N357" s="62" t="s">
        <v>464</v>
      </c>
      <c r="O357" s="62" t="s">
        <v>1952</v>
      </c>
      <c r="P357" s="100" t="s">
        <v>1895</v>
      </c>
      <c r="Q357" s="5" t="s">
        <v>1953</v>
      </c>
      <c r="R357" s="34" t="s">
        <v>837</v>
      </c>
      <c r="S357" s="5" t="s">
        <v>1954</v>
      </c>
      <c r="T357" s="5" t="s">
        <v>445</v>
      </c>
    </row>
    <row r="358" spans="2:20">
      <c r="B358" s="9"/>
      <c r="C358" s="5" t="s">
        <v>1857</v>
      </c>
      <c r="D358" s="5"/>
      <c r="F358" s="5" t="s">
        <v>295</v>
      </c>
      <c r="G358" s="34" t="s">
        <v>296</v>
      </c>
      <c r="H358" s="34"/>
      <c r="I358" s="306">
        <v>-40500</v>
      </c>
      <c r="J358" s="307">
        <v>-28.621908127208499</v>
      </c>
      <c r="K358" s="6">
        <v>1415</v>
      </c>
      <c r="L358" s="5" t="s">
        <v>1902</v>
      </c>
      <c r="M358" s="62" t="s">
        <v>452</v>
      </c>
      <c r="N358" s="62" t="s">
        <v>464</v>
      </c>
      <c r="O358" s="62" t="s">
        <v>1945</v>
      </c>
      <c r="P358" s="100" t="s">
        <v>1895</v>
      </c>
      <c r="Q358" s="5" t="s">
        <v>1946</v>
      </c>
      <c r="R358" s="34" t="s">
        <v>1973</v>
      </c>
      <c r="S358" s="5" t="s">
        <v>1948</v>
      </c>
      <c r="T358" s="5" t="s">
        <v>445</v>
      </c>
    </row>
    <row r="359" spans="2:20">
      <c r="B359" s="9"/>
      <c r="C359" s="5" t="s">
        <v>1857</v>
      </c>
      <c r="D359" s="5"/>
      <c r="F359" s="5" t="s">
        <v>295</v>
      </c>
      <c r="G359" s="34" t="s">
        <v>296</v>
      </c>
      <c r="H359" s="34"/>
      <c r="I359" s="306">
        <v>-40500</v>
      </c>
      <c r="J359" s="307">
        <v>-28.621908127208499</v>
      </c>
      <c r="K359" s="6">
        <v>1415</v>
      </c>
      <c r="L359" s="5" t="s">
        <v>1902</v>
      </c>
      <c r="M359" s="62" t="s">
        <v>452</v>
      </c>
      <c r="N359" s="62" t="s">
        <v>464</v>
      </c>
      <c r="O359" s="62" t="s">
        <v>1949</v>
      </c>
      <c r="P359" s="100" t="s">
        <v>1895</v>
      </c>
      <c r="Q359" s="5" t="s">
        <v>1950</v>
      </c>
      <c r="R359" s="34" t="s">
        <v>1973</v>
      </c>
      <c r="S359" s="5" t="s">
        <v>1951</v>
      </c>
      <c r="T359" s="5" t="s">
        <v>445</v>
      </c>
    </row>
    <row r="360" spans="2:20">
      <c r="B360" s="9"/>
      <c r="C360" s="5" t="s">
        <v>1857</v>
      </c>
      <c r="D360" s="5"/>
      <c r="F360" s="5" t="s">
        <v>295</v>
      </c>
      <c r="G360" s="34" t="s">
        <v>296</v>
      </c>
      <c r="H360" s="34"/>
      <c r="I360" s="306">
        <v>40500</v>
      </c>
      <c r="J360" s="307">
        <v>28.621908127208499</v>
      </c>
      <c r="K360" s="6">
        <v>1415</v>
      </c>
      <c r="L360" s="5" t="s">
        <v>1902</v>
      </c>
      <c r="M360" s="62" t="s">
        <v>452</v>
      </c>
      <c r="N360" s="62" t="s">
        <v>464</v>
      </c>
      <c r="O360" s="62" t="s">
        <v>1952</v>
      </c>
      <c r="P360" s="100" t="s">
        <v>1895</v>
      </c>
      <c r="Q360" s="5" t="s">
        <v>1953</v>
      </c>
      <c r="R360" s="34" t="s">
        <v>1973</v>
      </c>
      <c r="S360" s="5" t="s">
        <v>1954</v>
      </c>
      <c r="T360" s="5" t="s">
        <v>445</v>
      </c>
    </row>
    <row r="361" spans="2:20">
      <c r="B361" s="9"/>
      <c r="C361" s="5" t="s">
        <v>1857</v>
      </c>
      <c r="D361" s="5"/>
      <c r="F361" s="5" t="s">
        <v>295</v>
      </c>
      <c r="G361" s="34" t="s">
        <v>296</v>
      </c>
      <c r="H361" s="34"/>
      <c r="I361" s="306">
        <v>-46320</v>
      </c>
      <c r="J361" s="307">
        <v>-32.734982332155496</v>
      </c>
      <c r="K361" s="6">
        <v>1415</v>
      </c>
      <c r="L361" s="5" t="s">
        <v>1902</v>
      </c>
      <c r="M361" s="62" t="s">
        <v>452</v>
      </c>
      <c r="N361" s="62" t="s">
        <v>464</v>
      </c>
      <c r="O361" s="62" t="s">
        <v>1945</v>
      </c>
      <c r="P361" s="100" t="s">
        <v>1895</v>
      </c>
      <c r="Q361" s="5" t="s">
        <v>1946</v>
      </c>
      <c r="R361" s="34" t="s">
        <v>1974</v>
      </c>
      <c r="S361" s="5" t="s">
        <v>1948</v>
      </c>
      <c r="T361" s="5" t="s">
        <v>445</v>
      </c>
    </row>
    <row r="362" spans="2:20">
      <c r="B362" s="9"/>
      <c r="C362" s="5" t="s">
        <v>1857</v>
      </c>
      <c r="D362" s="5"/>
      <c r="F362" s="5" t="s">
        <v>295</v>
      </c>
      <c r="G362" s="34" t="s">
        <v>296</v>
      </c>
      <c r="H362" s="34"/>
      <c r="I362" s="306">
        <v>-46320</v>
      </c>
      <c r="J362" s="307">
        <v>-32.734982332155496</v>
      </c>
      <c r="K362" s="6">
        <v>1415</v>
      </c>
      <c r="L362" s="5" t="s">
        <v>1902</v>
      </c>
      <c r="M362" s="62" t="s">
        <v>452</v>
      </c>
      <c r="N362" s="62" t="s">
        <v>464</v>
      </c>
      <c r="O362" s="62" t="s">
        <v>1949</v>
      </c>
      <c r="P362" s="100" t="s">
        <v>1895</v>
      </c>
      <c r="Q362" s="5" t="s">
        <v>1950</v>
      </c>
      <c r="R362" s="34" t="s">
        <v>1974</v>
      </c>
      <c r="S362" s="5" t="s">
        <v>1951</v>
      </c>
      <c r="T362" s="5" t="s">
        <v>445</v>
      </c>
    </row>
    <row r="363" spans="2:20">
      <c r="B363" s="9"/>
      <c r="C363" s="5" t="s">
        <v>1857</v>
      </c>
      <c r="D363" s="5"/>
      <c r="F363" s="5" t="s">
        <v>295</v>
      </c>
      <c r="G363" s="34" t="s">
        <v>296</v>
      </c>
      <c r="H363" s="34"/>
      <c r="I363" s="306">
        <v>46320</v>
      </c>
      <c r="J363" s="307">
        <v>32.734982332155496</v>
      </c>
      <c r="K363" s="6">
        <v>1415</v>
      </c>
      <c r="L363" s="5" t="s">
        <v>1902</v>
      </c>
      <c r="M363" s="62" t="s">
        <v>452</v>
      </c>
      <c r="N363" s="62" t="s">
        <v>464</v>
      </c>
      <c r="O363" s="62" t="s">
        <v>1952</v>
      </c>
      <c r="P363" s="100" t="s">
        <v>1895</v>
      </c>
      <c r="Q363" s="5" t="s">
        <v>1953</v>
      </c>
      <c r="R363" s="34" t="s">
        <v>1974</v>
      </c>
      <c r="S363" s="5" t="s">
        <v>1954</v>
      </c>
      <c r="T363" s="5" t="s">
        <v>445</v>
      </c>
    </row>
    <row r="364" spans="2:20">
      <c r="B364" s="9"/>
      <c r="C364" s="5" t="s">
        <v>1857</v>
      </c>
      <c r="D364" s="5"/>
      <c r="F364" s="5" t="s">
        <v>295</v>
      </c>
      <c r="G364" s="34" t="s">
        <v>296</v>
      </c>
      <c r="H364" s="34"/>
      <c r="I364" s="306">
        <v>-350049</v>
      </c>
      <c r="J364" s="307">
        <v>-247.38445229682</v>
      </c>
      <c r="K364" s="6">
        <v>1415</v>
      </c>
      <c r="L364" s="5" t="s">
        <v>1902</v>
      </c>
      <c r="M364" s="62" t="s">
        <v>452</v>
      </c>
      <c r="N364" s="62" t="s">
        <v>464</v>
      </c>
      <c r="O364" s="62" t="s">
        <v>1945</v>
      </c>
      <c r="P364" s="100" t="s">
        <v>1895</v>
      </c>
      <c r="Q364" s="5" t="s">
        <v>1946</v>
      </c>
      <c r="R364" s="34" t="s">
        <v>1585</v>
      </c>
      <c r="S364" s="5" t="s">
        <v>1948</v>
      </c>
      <c r="T364" s="5" t="s">
        <v>445</v>
      </c>
    </row>
    <row r="365" spans="2:20">
      <c r="B365" s="9"/>
      <c r="C365" s="5" t="s">
        <v>1857</v>
      </c>
      <c r="D365" s="5"/>
      <c r="F365" s="5" t="s">
        <v>295</v>
      </c>
      <c r="G365" s="34" t="s">
        <v>296</v>
      </c>
      <c r="H365" s="34"/>
      <c r="I365" s="306">
        <v>-98214</v>
      </c>
      <c r="J365" s="307">
        <v>-69.409187279151894</v>
      </c>
      <c r="K365" s="6">
        <v>1415</v>
      </c>
      <c r="L365" s="5" t="s">
        <v>1902</v>
      </c>
      <c r="M365" s="62" t="s">
        <v>452</v>
      </c>
      <c r="N365" s="62" t="s">
        <v>464</v>
      </c>
      <c r="O365" s="62" t="s">
        <v>1945</v>
      </c>
      <c r="P365" s="100" t="s">
        <v>1895</v>
      </c>
      <c r="Q365" s="5" t="s">
        <v>1946</v>
      </c>
      <c r="R365" s="34" t="s">
        <v>1585</v>
      </c>
      <c r="S365" s="5" t="s">
        <v>1948</v>
      </c>
      <c r="T365" s="5" t="s">
        <v>445</v>
      </c>
    </row>
    <row r="366" spans="2:20">
      <c r="B366" s="9"/>
      <c r="C366" s="5" t="s">
        <v>1857</v>
      </c>
      <c r="D366" s="5"/>
      <c r="F366" s="5" t="s">
        <v>295</v>
      </c>
      <c r="G366" s="34" t="s">
        <v>296</v>
      </c>
      <c r="H366" s="34"/>
      <c r="I366" s="306">
        <v>-98214</v>
      </c>
      <c r="J366" s="307">
        <v>-69.409187279151894</v>
      </c>
      <c r="K366" s="6">
        <v>1415</v>
      </c>
      <c r="L366" s="5" t="s">
        <v>1902</v>
      </c>
      <c r="M366" s="62" t="s">
        <v>452</v>
      </c>
      <c r="N366" s="62" t="s">
        <v>464</v>
      </c>
      <c r="O366" s="62" t="s">
        <v>1949</v>
      </c>
      <c r="P366" s="100" t="s">
        <v>1895</v>
      </c>
      <c r="Q366" s="5" t="s">
        <v>1950</v>
      </c>
      <c r="R366" s="34" t="s">
        <v>1585</v>
      </c>
      <c r="S366" s="5" t="s">
        <v>1951</v>
      </c>
      <c r="T366" s="5" t="s">
        <v>445</v>
      </c>
    </row>
    <row r="367" spans="2:20">
      <c r="B367" s="9"/>
      <c r="C367" s="5" t="s">
        <v>1857</v>
      </c>
      <c r="D367" s="5"/>
      <c r="F367" s="5" t="s">
        <v>295</v>
      </c>
      <c r="G367" s="34" t="s">
        <v>296</v>
      </c>
      <c r="H367" s="34"/>
      <c r="I367" s="306">
        <v>-350049</v>
      </c>
      <c r="J367" s="307">
        <v>-247.38445229682</v>
      </c>
      <c r="K367" s="6">
        <v>1415</v>
      </c>
      <c r="L367" s="5" t="s">
        <v>1902</v>
      </c>
      <c r="M367" s="62" t="s">
        <v>452</v>
      </c>
      <c r="N367" s="62" t="s">
        <v>464</v>
      </c>
      <c r="O367" s="62" t="s">
        <v>1949</v>
      </c>
      <c r="P367" s="100" t="s">
        <v>1895</v>
      </c>
      <c r="Q367" s="5" t="s">
        <v>1950</v>
      </c>
      <c r="R367" s="34" t="s">
        <v>1585</v>
      </c>
      <c r="S367" s="5" t="s">
        <v>1951</v>
      </c>
      <c r="T367" s="5" t="s">
        <v>445</v>
      </c>
    </row>
    <row r="368" spans="2:20">
      <c r="B368" s="9"/>
      <c r="C368" s="5" t="s">
        <v>1857</v>
      </c>
      <c r="D368" s="5"/>
      <c r="F368" s="5" t="s">
        <v>295</v>
      </c>
      <c r="G368" s="34" t="s">
        <v>296</v>
      </c>
      <c r="H368" s="34"/>
      <c r="I368" s="306">
        <v>98214</v>
      </c>
      <c r="J368" s="307">
        <v>69.409187279151894</v>
      </c>
      <c r="K368" s="6">
        <v>1415</v>
      </c>
      <c r="L368" s="5" t="s">
        <v>1902</v>
      </c>
      <c r="M368" s="62" t="s">
        <v>452</v>
      </c>
      <c r="N368" s="62" t="s">
        <v>464</v>
      </c>
      <c r="O368" s="62" t="s">
        <v>1952</v>
      </c>
      <c r="P368" s="100" t="s">
        <v>1895</v>
      </c>
      <c r="Q368" s="5" t="s">
        <v>1953</v>
      </c>
      <c r="R368" s="34" t="s">
        <v>1585</v>
      </c>
      <c r="S368" s="5" t="s">
        <v>1954</v>
      </c>
      <c r="T368" s="5" t="s">
        <v>445</v>
      </c>
    </row>
    <row r="369" spans="2:20">
      <c r="B369" s="9"/>
      <c r="C369" s="5" t="s">
        <v>1857</v>
      </c>
      <c r="D369" s="5"/>
      <c r="F369" s="5" t="s">
        <v>295</v>
      </c>
      <c r="G369" s="34" t="s">
        <v>296</v>
      </c>
      <c r="H369" s="34"/>
      <c r="I369" s="306">
        <v>350049</v>
      </c>
      <c r="J369" s="307">
        <v>247.38445229682</v>
      </c>
      <c r="K369" s="6">
        <v>1415</v>
      </c>
      <c r="L369" s="5" t="s">
        <v>1902</v>
      </c>
      <c r="M369" s="62" t="s">
        <v>452</v>
      </c>
      <c r="N369" s="62" t="s">
        <v>464</v>
      </c>
      <c r="O369" s="62" t="s">
        <v>1952</v>
      </c>
      <c r="P369" s="100" t="s">
        <v>1895</v>
      </c>
      <c r="Q369" s="5" t="s">
        <v>1953</v>
      </c>
      <c r="R369" s="34" t="s">
        <v>1585</v>
      </c>
      <c r="S369" s="5" t="s">
        <v>1954</v>
      </c>
      <c r="T369" s="5" t="s">
        <v>445</v>
      </c>
    </row>
    <row r="370" spans="2:20">
      <c r="B370" s="9"/>
      <c r="C370" s="5" t="s">
        <v>1857</v>
      </c>
      <c r="D370" s="5"/>
      <c r="F370" s="5" t="s">
        <v>295</v>
      </c>
      <c r="G370" s="34" t="s">
        <v>296</v>
      </c>
      <c r="H370" s="34"/>
      <c r="I370" s="306">
        <v>-40231</v>
      </c>
      <c r="J370" s="307">
        <v>-27.938194444444399</v>
      </c>
      <c r="K370" s="6">
        <v>1440</v>
      </c>
      <c r="L370" s="5" t="s">
        <v>1939</v>
      </c>
      <c r="M370" s="62" t="s">
        <v>452</v>
      </c>
      <c r="N370" s="62" t="s">
        <v>464</v>
      </c>
      <c r="O370" s="62" t="s">
        <v>1940</v>
      </c>
      <c r="P370" s="100" t="s">
        <v>1895</v>
      </c>
      <c r="Q370" s="5" t="s">
        <v>1941</v>
      </c>
      <c r="R370" s="34" t="s">
        <v>1975</v>
      </c>
      <c r="S370" s="5" t="s">
        <v>1943</v>
      </c>
      <c r="T370" s="5" t="s">
        <v>445</v>
      </c>
    </row>
    <row r="371" spans="2:20">
      <c r="B371" s="9"/>
      <c r="C371" s="5" t="s">
        <v>1857</v>
      </c>
      <c r="D371" s="5"/>
      <c r="F371" s="5" t="s">
        <v>295</v>
      </c>
      <c r="G371" s="34" t="s">
        <v>296</v>
      </c>
      <c r="H371" s="34"/>
      <c r="I371" s="306">
        <v>-220753</v>
      </c>
      <c r="J371" s="307">
        <v>-156.009187279152</v>
      </c>
      <c r="K371" s="6">
        <v>1415</v>
      </c>
      <c r="L371" s="5" t="s">
        <v>1902</v>
      </c>
      <c r="M371" s="62" t="s">
        <v>452</v>
      </c>
      <c r="N371" s="62" t="s">
        <v>464</v>
      </c>
      <c r="O371" s="62" t="s">
        <v>1945</v>
      </c>
      <c r="P371" s="100" t="s">
        <v>1895</v>
      </c>
      <c r="Q371" s="5" t="s">
        <v>1946</v>
      </c>
      <c r="R371" s="34" t="s">
        <v>893</v>
      </c>
      <c r="S371" s="5" t="s">
        <v>1948</v>
      </c>
      <c r="T371" s="5" t="s">
        <v>445</v>
      </c>
    </row>
    <row r="372" spans="2:20">
      <c r="B372" s="9"/>
      <c r="C372" s="5" t="s">
        <v>1857</v>
      </c>
      <c r="D372" s="5"/>
      <c r="F372" s="5" t="s">
        <v>295</v>
      </c>
      <c r="G372" s="34" t="s">
        <v>296</v>
      </c>
      <c r="H372" s="34"/>
      <c r="I372" s="306">
        <v>-220753</v>
      </c>
      <c r="J372" s="307">
        <v>-156.009187279152</v>
      </c>
      <c r="K372" s="6">
        <v>1415</v>
      </c>
      <c r="L372" s="5" t="s">
        <v>1902</v>
      </c>
      <c r="M372" s="62" t="s">
        <v>452</v>
      </c>
      <c r="N372" s="62" t="s">
        <v>464</v>
      </c>
      <c r="O372" s="62" t="s">
        <v>1949</v>
      </c>
      <c r="P372" s="100" t="s">
        <v>1895</v>
      </c>
      <c r="Q372" s="5" t="s">
        <v>1950</v>
      </c>
      <c r="R372" s="34" t="s">
        <v>893</v>
      </c>
      <c r="S372" s="5" t="s">
        <v>1951</v>
      </c>
      <c r="T372" s="5" t="s">
        <v>445</v>
      </c>
    </row>
    <row r="373" spans="2:20">
      <c r="B373" s="9"/>
      <c r="C373" s="5" t="s">
        <v>1857</v>
      </c>
      <c r="D373" s="5"/>
      <c r="F373" s="5" t="s">
        <v>295</v>
      </c>
      <c r="G373" s="34" t="s">
        <v>296</v>
      </c>
      <c r="H373" s="34"/>
      <c r="I373" s="306">
        <v>220753</v>
      </c>
      <c r="J373" s="307">
        <v>156.009187279152</v>
      </c>
      <c r="K373" s="6">
        <v>1415</v>
      </c>
      <c r="L373" s="5" t="s">
        <v>1902</v>
      </c>
      <c r="M373" s="62" t="s">
        <v>452</v>
      </c>
      <c r="N373" s="62" t="s">
        <v>464</v>
      </c>
      <c r="O373" s="62" t="s">
        <v>1952</v>
      </c>
      <c r="P373" s="100" t="s">
        <v>1895</v>
      </c>
      <c r="Q373" s="5" t="s">
        <v>1953</v>
      </c>
      <c r="R373" s="34" t="s">
        <v>893</v>
      </c>
      <c r="S373" s="5" t="s">
        <v>1954</v>
      </c>
      <c r="T373" s="5" t="s">
        <v>445</v>
      </c>
    </row>
    <row r="374" spans="2:20">
      <c r="B374" s="9"/>
      <c r="C374" s="5" t="s">
        <v>1857</v>
      </c>
      <c r="D374" s="5"/>
      <c r="F374" s="5" t="s">
        <v>295</v>
      </c>
      <c r="G374" s="34" t="s">
        <v>296</v>
      </c>
      <c r="H374" s="34"/>
      <c r="I374" s="306">
        <v>-76654</v>
      </c>
      <c r="J374" s="307">
        <v>-53.231944444444402</v>
      </c>
      <c r="K374" s="6">
        <v>1440</v>
      </c>
      <c r="L374" s="5" t="s">
        <v>1939</v>
      </c>
      <c r="M374" s="62" t="s">
        <v>452</v>
      </c>
      <c r="N374" s="62" t="s">
        <v>464</v>
      </c>
      <c r="O374" s="62" t="s">
        <v>1940</v>
      </c>
      <c r="P374" s="100" t="s">
        <v>1895</v>
      </c>
      <c r="Q374" s="5" t="s">
        <v>1941</v>
      </c>
      <c r="R374" s="34" t="s">
        <v>1976</v>
      </c>
      <c r="S374" s="5" t="s">
        <v>1943</v>
      </c>
      <c r="T374" s="5" t="s">
        <v>445</v>
      </c>
    </row>
    <row r="375" spans="2:20">
      <c r="B375" s="9"/>
      <c r="C375" s="5" t="s">
        <v>1857</v>
      </c>
      <c r="D375" s="5"/>
      <c r="F375" s="5" t="s">
        <v>295</v>
      </c>
      <c r="G375" s="34" t="s">
        <v>296</v>
      </c>
      <c r="H375" s="34"/>
      <c r="I375" s="306">
        <v>-73000</v>
      </c>
      <c r="J375" s="307">
        <v>-51.590106007067099</v>
      </c>
      <c r="K375" s="6">
        <v>1415</v>
      </c>
      <c r="L375" s="5" t="s">
        <v>1902</v>
      </c>
      <c r="M375" s="62" t="s">
        <v>452</v>
      </c>
      <c r="N375" s="62" t="s">
        <v>464</v>
      </c>
      <c r="O375" s="62" t="s">
        <v>1945</v>
      </c>
      <c r="P375" s="100" t="s">
        <v>1895</v>
      </c>
      <c r="Q375" s="5" t="s">
        <v>1946</v>
      </c>
      <c r="R375" s="34" t="s">
        <v>1977</v>
      </c>
      <c r="S375" s="5" t="s">
        <v>1948</v>
      </c>
      <c r="T375" s="5" t="s">
        <v>445</v>
      </c>
    </row>
    <row r="376" spans="2:20">
      <c r="B376" s="9"/>
      <c r="C376" s="5" t="s">
        <v>1857</v>
      </c>
      <c r="D376" s="5"/>
      <c r="F376" s="5" t="s">
        <v>295</v>
      </c>
      <c r="G376" s="34" t="s">
        <v>296</v>
      </c>
      <c r="H376" s="34"/>
      <c r="I376" s="306">
        <v>-73000</v>
      </c>
      <c r="J376" s="307">
        <v>-51.590106007067099</v>
      </c>
      <c r="K376" s="6">
        <v>1415</v>
      </c>
      <c r="L376" s="5" t="s">
        <v>1902</v>
      </c>
      <c r="M376" s="62" t="s">
        <v>452</v>
      </c>
      <c r="N376" s="62" t="s">
        <v>464</v>
      </c>
      <c r="O376" s="62" t="s">
        <v>1949</v>
      </c>
      <c r="P376" s="100" t="s">
        <v>1895</v>
      </c>
      <c r="Q376" s="5" t="s">
        <v>1950</v>
      </c>
      <c r="R376" s="34" t="s">
        <v>1977</v>
      </c>
      <c r="S376" s="5" t="s">
        <v>1951</v>
      </c>
      <c r="T376" s="5" t="s">
        <v>445</v>
      </c>
    </row>
    <row r="377" spans="2:20">
      <c r="B377" s="9"/>
      <c r="C377" s="5" t="s">
        <v>1857</v>
      </c>
      <c r="D377" s="5"/>
      <c r="F377" s="5" t="s">
        <v>295</v>
      </c>
      <c r="G377" s="34" t="s">
        <v>296</v>
      </c>
      <c r="H377" s="34"/>
      <c r="I377" s="306">
        <v>73000</v>
      </c>
      <c r="J377" s="307">
        <v>51.590106007067099</v>
      </c>
      <c r="K377" s="6">
        <v>1415</v>
      </c>
      <c r="L377" s="5" t="s">
        <v>1902</v>
      </c>
      <c r="M377" s="62" t="s">
        <v>452</v>
      </c>
      <c r="N377" s="62" t="s">
        <v>464</v>
      </c>
      <c r="O377" s="62" t="s">
        <v>1952</v>
      </c>
      <c r="P377" s="100" t="s">
        <v>1895</v>
      </c>
      <c r="Q377" s="5" t="s">
        <v>1953</v>
      </c>
      <c r="R377" s="34" t="s">
        <v>1977</v>
      </c>
      <c r="S377" s="5" t="s">
        <v>1954</v>
      </c>
      <c r="T377" s="5" t="s">
        <v>445</v>
      </c>
    </row>
    <row r="378" spans="2:20">
      <c r="B378" s="9"/>
      <c r="C378" s="5" t="s">
        <v>1857</v>
      </c>
      <c r="D378" s="5"/>
      <c r="F378" s="5" t="s">
        <v>295</v>
      </c>
      <c r="G378" s="34" t="s">
        <v>296</v>
      </c>
      <c r="H378" s="34"/>
      <c r="I378" s="306">
        <v>-287200</v>
      </c>
      <c r="J378" s="307">
        <v>-202.96819787985899</v>
      </c>
      <c r="K378" s="6">
        <v>1415</v>
      </c>
      <c r="L378" s="5" t="s">
        <v>1902</v>
      </c>
      <c r="M378" s="62" t="s">
        <v>452</v>
      </c>
      <c r="N378" s="62" t="s">
        <v>464</v>
      </c>
      <c r="O378" s="62" t="s">
        <v>1945</v>
      </c>
      <c r="P378" s="100" t="s">
        <v>1895</v>
      </c>
      <c r="Q378" s="5" t="s">
        <v>1946</v>
      </c>
      <c r="R378" s="34" t="s">
        <v>1978</v>
      </c>
      <c r="S378" s="5" t="s">
        <v>1948</v>
      </c>
      <c r="T378" s="5" t="s">
        <v>445</v>
      </c>
    </row>
    <row r="379" spans="2:20">
      <c r="B379" s="9"/>
      <c r="C379" s="5" t="s">
        <v>1857</v>
      </c>
      <c r="D379" s="5"/>
      <c r="F379" s="5" t="s">
        <v>295</v>
      </c>
      <c r="G379" s="34" t="s">
        <v>296</v>
      </c>
      <c r="H379" s="34"/>
      <c r="I379" s="306">
        <v>-287200</v>
      </c>
      <c r="J379" s="307">
        <v>-202.96819787985899</v>
      </c>
      <c r="K379" s="6">
        <v>1415</v>
      </c>
      <c r="L379" s="5" t="s">
        <v>1902</v>
      </c>
      <c r="M379" s="62" t="s">
        <v>452</v>
      </c>
      <c r="N379" s="62" t="s">
        <v>464</v>
      </c>
      <c r="O379" s="62" t="s">
        <v>1949</v>
      </c>
      <c r="P379" s="100" t="s">
        <v>1895</v>
      </c>
      <c r="Q379" s="5" t="s">
        <v>1950</v>
      </c>
      <c r="R379" s="34" t="s">
        <v>1978</v>
      </c>
      <c r="S379" s="5" t="s">
        <v>1951</v>
      </c>
      <c r="T379" s="5" t="s">
        <v>445</v>
      </c>
    </row>
    <row r="380" spans="2:20">
      <c r="B380" s="9"/>
      <c r="C380" s="5" t="s">
        <v>1857</v>
      </c>
      <c r="D380" s="5"/>
      <c r="F380" s="5" t="s">
        <v>295</v>
      </c>
      <c r="G380" s="34" t="s">
        <v>296</v>
      </c>
      <c r="H380" s="34"/>
      <c r="I380" s="306">
        <v>287200</v>
      </c>
      <c r="J380" s="307">
        <v>202.96819787985899</v>
      </c>
      <c r="K380" s="6">
        <v>1415</v>
      </c>
      <c r="L380" s="5" t="s">
        <v>1902</v>
      </c>
      <c r="M380" s="62" t="s">
        <v>452</v>
      </c>
      <c r="N380" s="62" t="s">
        <v>464</v>
      </c>
      <c r="O380" s="62" t="s">
        <v>1952</v>
      </c>
      <c r="P380" s="100" t="s">
        <v>1895</v>
      </c>
      <c r="Q380" s="5" t="s">
        <v>1953</v>
      </c>
      <c r="R380" s="34" t="s">
        <v>1978</v>
      </c>
      <c r="S380" s="5" t="s">
        <v>1954</v>
      </c>
      <c r="T380" s="5" t="s">
        <v>445</v>
      </c>
    </row>
    <row r="381" spans="2:20">
      <c r="B381" s="9"/>
      <c r="C381" s="5" t="s">
        <v>1857</v>
      </c>
      <c r="D381" s="5"/>
      <c r="F381" s="5" t="s">
        <v>295</v>
      </c>
      <c r="G381" s="34" t="s">
        <v>296</v>
      </c>
      <c r="H381" s="34"/>
      <c r="I381" s="306">
        <v>-1100075</v>
      </c>
      <c r="J381" s="307">
        <v>-777.43816254417004</v>
      </c>
      <c r="K381" s="6">
        <v>1415</v>
      </c>
      <c r="L381" s="5" t="s">
        <v>1902</v>
      </c>
      <c r="M381" s="62" t="s">
        <v>452</v>
      </c>
      <c r="N381" s="62" t="s">
        <v>464</v>
      </c>
      <c r="O381" s="62" t="s">
        <v>1945</v>
      </c>
      <c r="P381" s="100" t="s">
        <v>1895</v>
      </c>
      <c r="Q381" s="5" t="s">
        <v>1946</v>
      </c>
      <c r="R381" s="34" t="s">
        <v>1979</v>
      </c>
      <c r="S381" s="5" t="s">
        <v>1948</v>
      </c>
      <c r="T381" s="5" t="s">
        <v>445</v>
      </c>
    </row>
    <row r="382" spans="2:20">
      <c r="B382" s="9"/>
      <c r="C382" s="5" t="s">
        <v>1857</v>
      </c>
      <c r="D382" s="5"/>
      <c r="F382" s="5" t="s">
        <v>295</v>
      </c>
      <c r="G382" s="34" t="s">
        <v>296</v>
      </c>
      <c r="H382" s="34"/>
      <c r="I382" s="306">
        <v>-1100075</v>
      </c>
      <c r="J382" s="307">
        <v>-777.43816254417004</v>
      </c>
      <c r="K382" s="6">
        <v>1415</v>
      </c>
      <c r="L382" s="5" t="s">
        <v>1902</v>
      </c>
      <c r="M382" s="62" t="s">
        <v>452</v>
      </c>
      <c r="N382" s="62" t="s">
        <v>464</v>
      </c>
      <c r="O382" s="62" t="s">
        <v>1949</v>
      </c>
      <c r="P382" s="100" t="s">
        <v>1895</v>
      </c>
      <c r="Q382" s="5" t="s">
        <v>1950</v>
      </c>
      <c r="R382" s="34" t="s">
        <v>1979</v>
      </c>
      <c r="S382" s="5" t="s">
        <v>1951</v>
      </c>
      <c r="T382" s="5" t="s">
        <v>445</v>
      </c>
    </row>
    <row r="383" spans="2:20">
      <c r="B383" s="9"/>
      <c r="C383" s="5" t="s">
        <v>1857</v>
      </c>
      <c r="D383" s="5"/>
      <c r="F383" s="5" t="s">
        <v>295</v>
      </c>
      <c r="G383" s="34" t="s">
        <v>296</v>
      </c>
      <c r="H383" s="34"/>
      <c r="I383" s="306">
        <v>1100075</v>
      </c>
      <c r="J383" s="307">
        <v>777.43816254417004</v>
      </c>
      <c r="K383" s="6">
        <v>1415</v>
      </c>
      <c r="L383" s="5" t="s">
        <v>1902</v>
      </c>
      <c r="M383" s="62" t="s">
        <v>452</v>
      </c>
      <c r="N383" s="62" t="s">
        <v>464</v>
      </c>
      <c r="O383" s="62" t="s">
        <v>1952</v>
      </c>
      <c r="P383" s="100" t="s">
        <v>1895</v>
      </c>
      <c r="Q383" s="5" t="s">
        <v>1953</v>
      </c>
      <c r="R383" s="34" t="s">
        <v>1979</v>
      </c>
      <c r="S383" s="5" t="s">
        <v>1954</v>
      </c>
      <c r="T383" s="5" t="s">
        <v>445</v>
      </c>
    </row>
    <row r="384" spans="2:20">
      <c r="B384" s="9"/>
      <c r="C384" s="5" t="s">
        <v>1857</v>
      </c>
      <c r="D384" s="5"/>
      <c r="F384" s="5" t="s">
        <v>295</v>
      </c>
      <c r="G384" s="34" t="s">
        <v>296</v>
      </c>
      <c r="H384" s="34"/>
      <c r="I384" s="306">
        <v>-128650</v>
      </c>
      <c r="J384" s="307">
        <v>-90.918727915194395</v>
      </c>
      <c r="K384" s="6">
        <v>1415</v>
      </c>
      <c r="L384" s="5" t="s">
        <v>1902</v>
      </c>
      <c r="M384" s="62" t="s">
        <v>452</v>
      </c>
      <c r="N384" s="62" t="s">
        <v>464</v>
      </c>
      <c r="O384" s="62" t="s">
        <v>1945</v>
      </c>
      <c r="P384" s="100" t="s">
        <v>1895</v>
      </c>
      <c r="Q384" s="5" t="s">
        <v>1946</v>
      </c>
      <c r="R384" s="34" t="s">
        <v>1980</v>
      </c>
      <c r="S384" s="5" t="s">
        <v>1948</v>
      </c>
      <c r="T384" s="5" t="s">
        <v>445</v>
      </c>
    </row>
    <row r="385" spans="2:20">
      <c r="B385" s="9"/>
      <c r="C385" s="5" t="s">
        <v>1857</v>
      </c>
      <c r="D385" s="5"/>
      <c r="F385" s="5" t="s">
        <v>295</v>
      </c>
      <c r="G385" s="34" t="s">
        <v>296</v>
      </c>
      <c r="H385" s="34"/>
      <c r="I385" s="306">
        <v>-128650</v>
      </c>
      <c r="J385" s="307">
        <v>-90.918727915194395</v>
      </c>
      <c r="K385" s="6">
        <v>1415</v>
      </c>
      <c r="L385" s="5" t="s">
        <v>1902</v>
      </c>
      <c r="M385" s="62" t="s">
        <v>452</v>
      </c>
      <c r="N385" s="62" t="s">
        <v>464</v>
      </c>
      <c r="O385" s="62" t="s">
        <v>1949</v>
      </c>
      <c r="P385" s="100" t="s">
        <v>1895</v>
      </c>
      <c r="Q385" s="5" t="s">
        <v>1950</v>
      </c>
      <c r="R385" s="34" t="s">
        <v>1980</v>
      </c>
      <c r="S385" s="5" t="s">
        <v>1951</v>
      </c>
      <c r="T385" s="5" t="s">
        <v>445</v>
      </c>
    </row>
    <row r="386" spans="2:20">
      <c r="B386" s="9"/>
      <c r="C386" s="5" t="s">
        <v>1857</v>
      </c>
      <c r="D386" s="5"/>
      <c r="F386" s="5" t="s">
        <v>295</v>
      </c>
      <c r="G386" s="34" t="s">
        <v>296</v>
      </c>
      <c r="H386" s="34"/>
      <c r="I386" s="306">
        <v>128650</v>
      </c>
      <c r="J386" s="307">
        <v>90.918727915194395</v>
      </c>
      <c r="K386" s="6">
        <v>1415</v>
      </c>
      <c r="L386" s="5" t="s">
        <v>1902</v>
      </c>
      <c r="M386" s="62" t="s">
        <v>452</v>
      </c>
      <c r="N386" s="62" t="s">
        <v>464</v>
      </c>
      <c r="O386" s="62" t="s">
        <v>1952</v>
      </c>
      <c r="P386" s="100" t="s">
        <v>1895</v>
      </c>
      <c r="Q386" s="5" t="s">
        <v>1953</v>
      </c>
      <c r="R386" s="34" t="s">
        <v>1980</v>
      </c>
      <c r="S386" s="5" t="s">
        <v>1954</v>
      </c>
      <c r="T386" s="5" t="s">
        <v>445</v>
      </c>
    </row>
    <row r="387" spans="2:20">
      <c r="B387" s="9"/>
      <c r="C387" s="5" t="s">
        <v>1857</v>
      </c>
      <c r="D387" s="5"/>
      <c r="F387" s="5" t="s">
        <v>295</v>
      </c>
      <c r="G387" s="34" t="s">
        <v>296</v>
      </c>
      <c r="H387" s="34"/>
      <c r="I387" s="306">
        <v>-278346</v>
      </c>
      <c r="J387" s="307">
        <v>-193.29583333333301</v>
      </c>
      <c r="K387" s="6">
        <v>1440</v>
      </c>
      <c r="L387" s="5" t="s">
        <v>1939</v>
      </c>
      <c r="M387" s="62" t="s">
        <v>452</v>
      </c>
      <c r="N387" s="62" t="s">
        <v>464</v>
      </c>
      <c r="O387" s="62" t="s">
        <v>1940</v>
      </c>
      <c r="P387" s="100" t="s">
        <v>1895</v>
      </c>
      <c r="Q387" s="5" t="s">
        <v>1941</v>
      </c>
      <c r="R387" s="34" t="s">
        <v>1981</v>
      </c>
      <c r="S387" s="5" t="s">
        <v>1943</v>
      </c>
      <c r="T387" s="5" t="s">
        <v>445</v>
      </c>
    </row>
    <row r="388" spans="2:20">
      <c r="B388" s="9"/>
      <c r="C388" s="5" t="s">
        <v>1857</v>
      </c>
      <c r="D388" s="5"/>
      <c r="F388" s="5" t="s">
        <v>295</v>
      </c>
      <c r="G388" s="34" t="s">
        <v>296</v>
      </c>
      <c r="H388" s="34"/>
      <c r="I388" s="306">
        <v>-73500</v>
      </c>
      <c r="J388" s="307">
        <v>-51.943462897526501</v>
      </c>
      <c r="K388" s="6">
        <v>1415</v>
      </c>
      <c r="L388" s="5" t="s">
        <v>1902</v>
      </c>
      <c r="M388" s="62" t="s">
        <v>452</v>
      </c>
      <c r="N388" s="62" t="s">
        <v>464</v>
      </c>
      <c r="O388" s="62" t="s">
        <v>1945</v>
      </c>
      <c r="P388" s="100" t="s">
        <v>1895</v>
      </c>
      <c r="Q388" s="5" t="s">
        <v>1946</v>
      </c>
      <c r="R388" s="34" t="s">
        <v>1982</v>
      </c>
      <c r="S388" s="5" t="s">
        <v>1948</v>
      </c>
      <c r="T388" s="5" t="s">
        <v>445</v>
      </c>
    </row>
    <row r="389" spans="2:20">
      <c r="B389" s="9"/>
      <c r="C389" s="5" t="s">
        <v>1857</v>
      </c>
      <c r="D389" s="5"/>
      <c r="F389" s="5" t="s">
        <v>295</v>
      </c>
      <c r="G389" s="34" t="s">
        <v>296</v>
      </c>
      <c r="H389" s="34"/>
      <c r="I389" s="306">
        <v>-73500</v>
      </c>
      <c r="J389" s="307">
        <v>-51.943462897526501</v>
      </c>
      <c r="K389" s="6">
        <v>1415</v>
      </c>
      <c r="L389" s="5" t="s">
        <v>1902</v>
      </c>
      <c r="M389" s="62" t="s">
        <v>452</v>
      </c>
      <c r="N389" s="62" t="s">
        <v>464</v>
      </c>
      <c r="O389" s="62" t="s">
        <v>1949</v>
      </c>
      <c r="P389" s="100" t="s">
        <v>1895</v>
      </c>
      <c r="Q389" s="5" t="s">
        <v>1950</v>
      </c>
      <c r="R389" s="34" t="s">
        <v>1982</v>
      </c>
      <c r="S389" s="5" t="s">
        <v>1951</v>
      </c>
      <c r="T389" s="5" t="s">
        <v>445</v>
      </c>
    </row>
    <row r="390" spans="2:20">
      <c r="B390" s="9"/>
      <c r="C390" s="5" t="s">
        <v>1857</v>
      </c>
      <c r="D390" s="5"/>
      <c r="F390" s="5" t="s">
        <v>295</v>
      </c>
      <c r="G390" s="34" t="s">
        <v>296</v>
      </c>
      <c r="H390" s="34"/>
      <c r="I390" s="306">
        <v>73500</v>
      </c>
      <c r="J390" s="307">
        <v>51.943462897526501</v>
      </c>
      <c r="K390" s="6">
        <v>1415</v>
      </c>
      <c r="L390" s="5" t="s">
        <v>1902</v>
      </c>
      <c r="M390" s="62" t="s">
        <v>452</v>
      </c>
      <c r="N390" s="62" t="s">
        <v>464</v>
      </c>
      <c r="O390" s="62" t="s">
        <v>1952</v>
      </c>
      <c r="P390" s="100" t="s">
        <v>1895</v>
      </c>
      <c r="Q390" s="5" t="s">
        <v>1953</v>
      </c>
      <c r="R390" s="34" t="s">
        <v>1982</v>
      </c>
      <c r="S390" s="5" t="s">
        <v>1954</v>
      </c>
      <c r="T390" s="5" t="s">
        <v>445</v>
      </c>
    </row>
    <row r="391" spans="2:20">
      <c r="B391" s="9"/>
      <c r="C391" s="5" t="s">
        <v>1857</v>
      </c>
      <c r="D391" s="5"/>
      <c r="F391" s="5" t="s">
        <v>295</v>
      </c>
      <c r="G391" s="34" t="s">
        <v>296</v>
      </c>
      <c r="H391" s="34"/>
      <c r="I391" s="306">
        <v>-7000</v>
      </c>
      <c r="J391" s="307">
        <v>-4.9122807017543897</v>
      </c>
      <c r="K391" s="6">
        <v>1425</v>
      </c>
      <c r="L391" s="5" t="s">
        <v>1955</v>
      </c>
      <c r="M391" s="62" t="s">
        <v>452</v>
      </c>
      <c r="N391" s="62" t="s">
        <v>464</v>
      </c>
      <c r="O391" s="62" t="s">
        <v>1956</v>
      </c>
      <c r="P391" s="100" t="s">
        <v>1895</v>
      </c>
      <c r="Q391" s="5" t="s">
        <v>1957</v>
      </c>
      <c r="R391" s="34" t="s">
        <v>1983</v>
      </c>
      <c r="S391" s="5" t="s">
        <v>1959</v>
      </c>
      <c r="T391" s="5" t="s">
        <v>445</v>
      </c>
    </row>
    <row r="392" spans="2:20">
      <c r="B392" s="9"/>
      <c r="C392" s="5" t="s">
        <v>1857</v>
      </c>
      <c r="D392" s="5"/>
      <c r="F392" s="5" t="s">
        <v>295</v>
      </c>
      <c r="G392" s="34" t="s">
        <v>296</v>
      </c>
      <c r="H392" s="34"/>
      <c r="I392" s="306">
        <v>-259637</v>
      </c>
      <c r="J392" s="307">
        <v>-180.30347222222201</v>
      </c>
      <c r="K392" s="6">
        <v>1440</v>
      </c>
      <c r="L392" s="5" t="s">
        <v>1939</v>
      </c>
      <c r="M392" s="62" t="s">
        <v>452</v>
      </c>
      <c r="N392" s="62" t="s">
        <v>464</v>
      </c>
      <c r="O392" s="62" t="s">
        <v>1940</v>
      </c>
      <c r="P392" s="100" t="s">
        <v>1895</v>
      </c>
      <c r="Q392" s="5" t="s">
        <v>1941</v>
      </c>
      <c r="R392" s="34" t="s">
        <v>1984</v>
      </c>
      <c r="S392" s="5" t="s">
        <v>1943</v>
      </c>
      <c r="T392" s="5" t="s">
        <v>445</v>
      </c>
    </row>
    <row r="393" spans="2:20">
      <c r="B393" s="9"/>
      <c r="C393" s="5" t="s">
        <v>1857</v>
      </c>
      <c r="D393" s="5"/>
      <c r="F393" s="5" t="s">
        <v>295</v>
      </c>
      <c r="G393" s="34" t="s">
        <v>296</v>
      </c>
      <c r="H393" s="34"/>
      <c r="I393" s="306">
        <v>-23100</v>
      </c>
      <c r="J393" s="307">
        <v>-16.0416666666667</v>
      </c>
      <c r="K393" s="6">
        <v>1440</v>
      </c>
      <c r="L393" s="5" t="s">
        <v>1939</v>
      </c>
      <c r="M393" s="62" t="s">
        <v>452</v>
      </c>
      <c r="N393" s="62" t="s">
        <v>464</v>
      </c>
      <c r="O393" s="62" t="s">
        <v>1940</v>
      </c>
      <c r="P393" s="100" t="s">
        <v>1895</v>
      </c>
      <c r="Q393" s="5" t="s">
        <v>1941</v>
      </c>
      <c r="R393" s="34" t="s">
        <v>1985</v>
      </c>
      <c r="S393" s="5" t="s">
        <v>1943</v>
      </c>
      <c r="T393" s="5" t="s">
        <v>445</v>
      </c>
    </row>
    <row r="394" spans="2:20">
      <c r="B394" s="9"/>
      <c r="C394" s="5" t="s">
        <v>1857</v>
      </c>
      <c r="D394" s="5"/>
      <c r="F394" s="5" t="s">
        <v>295</v>
      </c>
      <c r="G394" s="34" t="s">
        <v>296</v>
      </c>
      <c r="H394" s="34"/>
      <c r="I394" s="306">
        <v>-23000</v>
      </c>
      <c r="J394" s="307">
        <v>-15.9722222222222</v>
      </c>
      <c r="K394" s="6">
        <v>1440</v>
      </c>
      <c r="L394" s="5" t="s">
        <v>1939</v>
      </c>
      <c r="M394" s="62" t="s">
        <v>452</v>
      </c>
      <c r="N394" s="62" t="s">
        <v>464</v>
      </c>
      <c r="O394" s="62" t="s">
        <v>1940</v>
      </c>
      <c r="P394" s="100" t="s">
        <v>1895</v>
      </c>
      <c r="Q394" s="5" t="s">
        <v>1941</v>
      </c>
      <c r="R394" s="34" t="s">
        <v>1986</v>
      </c>
      <c r="S394" s="5" t="s">
        <v>1943</v>
      </c>
      <c r="T394" s="5" t="s">
        <v>445</v>
      </c>
    </row>
    <row r="395" spans="2:20">
      <c r="B395" s="9"/>
      <c r="C395" s="5" t="s">
        <v>1857</v>
      </c>
      <c r="D395" s="5"/>
      <c r="F395" s="5" t="s">
        <v>295</v>
      </c>
      <c r="G395" s="34" t="s">
        <v>296</v>
      </c>
      <c r="H395" s="34"/>
      <c r="I395" s="306">
        <v>-54000</v>
      </c>
      <c r="J395" s="307">
        <v>-37.5</v>
      </c>
      <c r="K395" s="6">
        <v>1440</v>
      </c>
      <c r="L395" s="5" t="s">
        <v>1939</v>
      </c>
      <c r="M395" s="62" t="s">
        <v>452</v>
      </c>
      <c r="N395" s="62" t="s">
        <v>464</v>
      </c>
      <c r="O395" s="62" t="s">
        <v>1940</v>
      </c>
      <c r="P395" s="100" t="s">
        <v>1895</v>
      </c>
      <c r="Q395" s="5" t="s">
        <v>1941</v>
      </c>
      <c r="R395" s="34" t="s">
        <v>1987</v>
      </c>
      <c r="S395" s="5" t="s">
        <v>1943</v>
      </c>
      <c r="T395" s="5" t="s">
        <v>445</v>
      </c>
    </row>
    <row r="396" spans="2:20">
      <c r="B396" s="9"/>
      <c r="C396" s="5" t="s">
        <v>1857</v>
      </c>
      <c r="D396" s="5"/>
      <c r="F396" s="5" t="s">
        <v>295</v>
      </c>
      <c r="G396" s="34" t="s">
        <v>296</v>
      </c>
      <c r="H396" s="34"/>
      <c r="I396" s="306">
        <v>-7000</v>
      </c>
      <c r="J396" s="307">
        <v>-4.8611111111111098</v>
      </c>
      <c r="K396" s="6">
        <v>1440</v>
      </c>
      <c r="L396" s="5" t="s">
        <v>1939</v>
      </c>
      <c r="M396" s="62" t="s">
        <v>452</v>
      </c>
      <c r="N396" s="62" t="s">
        <v>464</v>
      </c>
      <c r="O396" s="62" t="s">
        <v>1940</v>
      </c>
      <c r="P396" s="100" t="s">
        <v>1895</v>
      </c>
      <c r="Q396" s="5" t="s">
        <v>1941</v>
      </c>
      <c r="R396" s="34" t="s">
        <v>764</v>
      </c>
      <c r="S396" s="5" t="s">
        <v>1943</v>
      </c>
      <c r="T396" s="5" t="s">
        <v>445</v>
      </c>
    </row>
    <row r="397" spans="2:20">
      <c r="B397" s="9"/>
      <c r="C397" s="5" t="s">
        <v>1857</v>
      </c>
      <c r="D397" s="5"/>
      <c r="F397" s="5" t="s">
        <v>295</v>
      </c>
      <c r="G397" s="34" t="s">
        <v>296</v>
      </c>
      <c r="H397" s="34"/>
      <c r="I397" s="306">
        <v>-12000</v>
      </c>
      <c r="J397" s="307">
        <v>-8.3333333333333304</v>
      </c>
      <c r="K397" s="6">
        <v>1440</v>
      </c>
      <c r="L397" s="5" t="s">
        <v>1939</v>
      </c>
      <c r="M397" s="62" t="s">
        <v>452</v>
      </c>
      <c r="N397" s="62" t="s">
        <v>464</v>
      </c>
      <c r="O397" s="62" t="s">
        <v>1940</v>
      </c>
      <c r="P397" s="100" t="s">
        <v>1895</v>
      </c>
      <c r="Q397" s="5" t="s">
        <v>1941</v>
      </c>
      <c r="R397" s="34" t="s">
        <v>764</v>
      </c>
      <c r="S397" s="5" t="s">
        <v>1943</v>
      </c>
      <c r="T397" s="5" t="s">
        <v>445</v>
      </c>
    </row>
    <row r="398" spans="2:20">
      <c r="B398" s="9"/>
      <c r="C398" s="5" t="s">
        <v>1857</v>
      </c>
      <c r="D398" s="5"/>
      <c r="F398" s="5" t="s">
        <v>295</v>
      </c>
      <c r="G398" s="34" t="s">
        <v>296</v>
      </c>
      <c r="H398" s="34"/>
      <c r="I398" s="306">
        <v>-32000</v>
      </c>
      <c r="J398" s="307">
        <v>-22.2222222222222</v>
      </c>
      <c r="K398" s="6">
        <v>1440</v>
      </c>
      <c r="L398" s="5" t="s">
        <v>1939</v>
      </c>
      <c r="M398" s="62" t="s">
        <v>452</v>
      </c>
      <c r="N398" s="62" t="s">
        <v>464</v>
      </c>
      <c r="O398" s="62" t="s">
        <v>1940</v>
      </c>
      <c r="P398" s="100" t="s">
        <v>1895</v>
      </c>
      <c r="Q398" s="5" t="s">
        <v>1941</v>
      </c>
      <c r="R398" s="34" t="s">
        <v>764</v>
      </c>
      <c r="S398" s="5" t="s">
        <v>1943</v>
      </c>
      <c r="T398" s="5" t="s">
        <v>445</v>
      </c>
    </row>
    <row r="399" spans="2:20">
      <c r="B399" s="9"/>
      <c r="C399" s="5" t="s">
        <v>1857</v>
      </c>
      <c r="D399" s="5"/>
      <c r="F399" s="5" t="s">
        <v>295</v>
      </c>
      <c r="G399" s="34" t="s">
        <v>296</v>
      </c>
      <c r="H399" s="34"/>
      <c r="I399" s="306">
        <v>-42000</v>
      </c>
      <c r="J399" s="307">
        <v>-29.473684210526301</v>
      </c>
      <c r="K399" s="6">
        <v>1425</v>
      </c>
      <c r="L399" s="5" t="s">
        <v>1955</v>
      </c>
      <c r="M399" s="62" t="s">
        <v>452</v>
      </c>
      <c r="N399" s="62" t="s">
        <v>464</v>
      </c>
      <c r="O399" s="62" t="s">
        <v>1956</v>
      </c>
      <c r="P399" s="100" t="s">
        <v>1895</v>
      </c>
      <c r="Q399" s="5" t="s">
        <v>1957</v>
      </c>
      <c r="R399" s="34" t="s">
        <v>764</v>
      </c>
      <c r="S399" s="5" t="s">
        <v>1959</v>
      </c>
      <c r="T399" s="5" t="s">
        <v>445</v>
      </c>
    </row>
    <row r="400" spans="2:20">
      <c r="B400" s="9"/>
      <c r="C400" s="5" t="s">
        <v>1857</v>
      </c>
      <c r="D400" s="5"/>
      <c r="F400" s="5" t="s">
        <v>295</v>
      </c>
      <c r="G400" s="34" t="s">
        <v>296</v>
      </c>
      <c r="H400" s="34"/>
      <c r="I400" s="306">
        <v>-12000</v>
      </c>
      <c r="J400" s="307">
        <v>-8.4210526315789505</v>
      </c>
      <c r="K400" s="6">
        <v>1425</v>
      </c>
      <c r="L400" s="5" t="s">
        <v>1969</v>
      </c>
      <c r="M400" s="62" t="s">
        <v>452</v>
      </c>
      <c r="N400" s="62" t="s">
        <v>464</v>
      </c>
      <c r="O400" s="62" t="s">
        <v>1970</v>
      </c>
      <c r="P400" s="100" t="s">
        <v>1895</v>
      </c>
      <c r="Q400" s="5" t="s">
        <v>1971</v>
      </c>
      <c r="R400" s="34" t="s">
        <v>764</v>
      </c>
      <c r="S400" s="5" t="s">
        <v>1972</v>
      </c>
      <c r="T400" s="5" t="s">
        <v>445</v>
      </c>
    </row>
    <row r="401" spans="2:20">
      <c r="B401" s="9"/>
      <c r="C401" s="5" t="s">
        <v>1857</v>
      </c>
      <c r="D401" s="5"/>
      <c r="F401" s="5" t="s">
        <v>295</v>
      </c>
      <c r="G401" s="34" t="s">
        <v>296</v>
      </c>
      <c r="H401" s="34"/>
      <c r="I401" s="306">
        <v>-24000</v>
      </c>
      <c r="J401" s="307">
        <v>-16.842105263157901</v>
      </c>
      <c r="K401" s="6">
        <v>1425</v>
      </c>
      <c r="L401" s="5" t="s">
        <v>1969</v>
      </c>
      <c r="M401" s="62" t="s">
        <v>452</v>
      </c>
      <c r="N401" s="62" t="s">
        <v>464</v>
      </c>
      <c r="O401" s="62" t="s">
        <v>1970</v>
      </c>
      <c r="P401" s="100" t="s">
        <v>1895</v>
      </c>
      <c r="Q401" s="5" t="s">
        <v>1971</v>
      </c>
      <c r="R401" s="34" t="s">
        <v>764</v>
      </c>
      <c r="S401" s="5" t="s">
        <v>1972</v>
      </c>
      <c r="T401" s="5" t="s">
        <v>445</v>
      </c>
    </row>
    <row r="402" spans="2:20">
      <c r="B402" s="9"/>
      <c r="C402" s="5" t="s">
        <v>1857</v>
      </c>
      <c r="D402" s="5"/>
      <c r="F402" s="5" t="s">
        <v>295</v>
      </c>
      <c r="G402" s="34" t="s">
        <v>296</v>
      </c>
      <c r="H402" s="34"/>
      <c r="I402" s="306">
        <v>-56000</v>
      </c>
      <c r="J402" s="307">
        <v>-39.298245614035103</v>
      </c>
      <c r="K402" s="6">
        <v>1425</v>
      </c>
      <c r="L402" s="5" t="s">
        <v>1969</v>
      </c>
      <c r="M402" s="62" t="s">
        <v>452</v>
      </c>
      <c r="N402" s="62" t="s">
        <v>464</v>
      </c>
      <c r="O402" s="62" t="s">
        <v>1970</v>
      </c>
      <c r="P402" s="100" t="s">
        <v>1895</v>
      </c>
      <c r="Q402" s="5" t="s">
        <v>1971</v>
      </c>
      <c r="R402" s="34" t="s">
        <v>764</v>
      </c>
      <c r="S402" s="5" t="s">
        <v>1972</v>
      </c>
      <c r="T402" s="5" t="s">
        <v>445</v>
      </c>
    </row>
    <row r="403" spans="2:20">
      <c r="B403" s="9"/>
      <c r="C403" s="5" t="s">
        <v>1857</v>
      </c>
      <c r="D403" s="5"/>
      <c r="F403" s="5" t="s">
        <v>295</v>
      </c>
      <c r="G403" s="34" t="s">
        <v>296</v>
      </c>
      <c r="H403" s="34"/>
      <c r="I403" s="306">
        <v>-7000</v>
      </c>
      <c r="J403" s="307">
        <v>-4.9469964664311004</v>
      </c>
      <c r="K403" s="6">
        <v>1415</v>
      </c>
      <c r="L403" s="5" t="s">
        <v>1902</v>
      </c>
      <c r="M403" s="62" t="s">
        <v>452</v>
      </c>
      <c r="N403" s="62" t="s">
        <v>464</v>
      </c>
      <c r="O403" s="62" t="s">
        <v>1945</v>
      </c>
      <c r="P403" s="100" t="s">
        <v>1895</v>
      </c>
      <c r="Q403" s="5" t="s">
        <v>1946</v>
      </c>
      <c r="R403" s="34" t="s">
        <v>764</v>
      </c>
      <c r="S403" s="5" t="s">
        <v>1948</v>
      </c>
      <c r="T403" s="5" t="s">
        <v>445</v>
      </c>
    </row>
    <row r="404" spans="2:20">
      <c r="B404" s="9"/>
      <c r="C404" s="5" t="s">
        <v>1857</v>
      </c>
      <c r="D404" s="5"/>
      <c r="F404" s="5" t="s">
        <v>295</v>
      </c>
      <c r="G404" s="34" t="s">
        <v>296</v>
      </c>
      <c r="H404" s="34"/>
      <c r="I404" s="306">
        <v>-7000</v>
      </c>
      <c r="J404" s="307">
        <v>-4.9469964664311004</v>
      </c>
      <c r="K404" s="6">
        <v>1415</v>
      </c>
      <c r="L404" s="5" t="s">
        <v>1902</v>
      </c>
      <c r="M404" s="62" t="s">
        <v>452</v>
      </c>
      <c r="N404" s="62" t="s">
        <v>464</v>
      </c>
      <c r="O404" s="62" t="s">
        <v>1945</v>
      </c>
      <c r="P404" s="100" t="s">
        <v>1895</v>
      </c>
      <c r="Q404" s="5" t="s">
        <v>1946</v>
      </c>
      <c r="R404" s="34" t="s">
        <v>764</v>
      </c>
      <c r="S404" s="5" t="s">
        <v>1948</v>
      </c>
      <c r="T404" s="5" t="s">
        <v>445</v>
      </c>
    </row>
    <row r="405" spans="2:20">
      <c r="B405" s="9"/>
      <c r="C405" s="5" t="s">
        <v>1857</v>
      </c>
      <c r="D405" s="5"/>
      <c r="F405" s="5" t="s">
        <v>295</v>
      </c>
      <c r="G405" s="34" t="s">
        <v>296</v>
      </c>
      <c r="H405" s="34"/>
      <c r="I405" s="306">
        <v>-10500</v>
      </c>
      <c r="J405" s="307">
        <v>-7.4204946996466399</v>
      </c>
      <c r="K405" s="6">
        <v>1415</v>
      </c>
      <c r="L405" s="5" t="s">
        <v>1902</v>
      </c>
      <c r="M405" s="62" t="s">
        <v>452</v>
      </c>
      <c r="N405" s="62" t="s">
        <v>464</v>
      </c>
      <c r="O405" s="62" t="s">
        <v>1945</v>
      </c>
      <c r="P405" s="100" t="s">
        <v>1895</v>
      </c>
      <c r="Q405" s="5" t="s">
        <v>1946</v>
      </c>
      <c r="R405" s="34" t="s">
        <v>764</v>
      </c>
      <c r="S405" s="5" t="s">
        <v>1948</v>
      </c>
      <c r="T405" s="5" t="s">
        <v>445</v>
      </c>
    </row>
    <row r="406" spans="2:20">
      <c r="B406" s="9"/>
      <c r="C406" s="5" t="s">
        <v>1857</v>
      </c>
      <c r="D406" s="5"/>
      <c r="F406" s="5" t="s">
        <v>295</v>
      </c>
      <c r="G406" s="34" t="s">
        <v>296</v>
      </c>
      <c r="H406" s="34"/>
      <c r="I406" s="306">
        <v>-7000</v>
      </c>
      <c r="J406" s="307">
        <v>-4.9469964664311004</v>
      </c>
      <c r="K406" s="6">
        <v>1415</v>
      </c>
      <c r="L406" s="5" t="s">
        <v>1902</v>
      </c>
      <c r="M406" s="62" t="s">
        <v>452</v>
      </c>
      <c r="N406" s="62" t="s">
        <v>464</v>
      </c>
      <c r="O406" s="62" t="s">
        <v>1949</v>
      </c>
      <c r="P406" s="100" t="s">
        <v>1895</v>
      </c>
      <c r="Q406" s="5" t="s">
        <v>1950</v>
      </c>
      <c r="R406" s="34" t="s">
        <v>764</v>
      </c>
      <c r="S406" s="5" t="s">
        <v>1951</v>
      </c>
      <c r="T406" s="5" t="s">
        <v>445</v>
      </c>
    </row>
    <row r="407" spans="2:20">
      <c r="B407" s="9"/>
      <c r="C407" s="5" t="s">
        <v>1857</v>
      </c>
      <c r="D407" s="5"/>
      <c r="F407" s="5" t="s">
        <v>295</v>
      </c>
      <c r="G407" s="34" t="s">
        <v>296</v>
      </c>
      <c r="H407" s="34"/>
      <c r="I407" s="306">
        <v>-10500</v>
      </c>
      <c r="J407" s="307">
        <v>-7.4204946996466399</v>
      </c>
      <c r="K407" s="6">
        <v>1415</v>
      </c>
      <c r="L407" s="5" t="s">
        <v>1902</v>
      </c>
      <c r="M407" s="62" t="s">
        <v>452</v>
      </c>
      <c r="N407" s="62" t="s">
        <v>464</v>
      </c>
      <c r="O407" s="62" t="s">
        <v>1949</v>
      </c>
      <c r="P407" s="100" t="s">
        <v>1895</v>
      </c>
      <c r="Q407" s="5" t="s">
        <v>1950</v>
      </c>
      <c r="R407" s="34" t="s">
        <v>764</v>
      </c>
      <c r="S407" s="5" t="s">
        <v>1951</v>
      </c>
      <c r="T407" s="5" t="s">
        <v>445</v>
      </c>
    </row>
    <row r="408" spans="2:20">
      <c r="B408" s="9"/>
      <c r="C408" s="5" t="s">
        <v>1857</v>
      </c>
      <c r="D408" s="5"/>
      <c r="F408" s="5" t="s">
        <v>295</v>
      </c>
      <c r="G408" s="34" t="s">
        <v>296</v>
      </c>
      <c r="H408" s="34"/>
      <c r="I408" s="306">
        <v>-7000</v>
      </c>
      <c r="J408" s="307">
        <v>-4.9469964664311004</v>
      </c>
      <c r="K408" s="6">
        <v>1415</v>
      </c>
      <c r="L408" s="5" t="s">
        <v>1902</v>
      </c>
      <c r="M408" s="62" t="s">
        <v>452</v>
      </c>
      <c r="N408" s="62" t="s">
        <v>464</v>
      </c>
      <c r="O408" s="62" t="s">
        <v>1949</v>
      </c>
      <c r="P408" s="100" t="s">
        <v>1895</v>
      </c>
      <c r="Q408" s="5" t="s">
        <v>1950</v>
      </c>
      <c r="R408" s="34" t="s">
        <v>764</v>
      </c>
      <c r="S408" s="5" t="s">
        <v>1951</v>
      </c>
      <c r="T408" s="5" t="s">
        <v>445</v>
      </c>
    </row>
    <row r="409" spans="2:20">
      <c r="B409" s="9"/>
      <c r="C409" s="5" t="s">
        <v>1857</v>
      </c>
      <c r="D409" s="5"/>
      <c r="F409" s="5" t="s">
        <v>295</v>
      </c>
      <c r="G409" s="34" t="s">
        <v>296</v>
      </c>
      <c r="H409" s="34"/>
      <c r="I409" s="306">
        <v>7000</v>
      </c>
      <c r="J409" s="307">
        <v>4.9469964664311004</v>
      </c>
      <c r="K409" s="6">
        <v>1415</v>
      </c>
      <c r="L409" s="5" t="s">
        <v>1902</v>
      </c>
      <c r="M409" s="62" t="s">
        <v>452</v>
      </c>
      <c r="N409" s="62" t="s">
        <v>464</v>
      </c>
      <c r="O409" s="62" t="s">
        <v>1952</v>
      </c>
      <c r="P409" s="100" t="s">
        <v>1895</v>
      </c>
      <c r="Q409" s="5" t="s">
        <v>1953</v>
      </c>
      <c r="R409" s="34" t="s">
        <v>764</v>
      </c>
      <c r="S409" s="5" t="s">
        <v>1954</v>
      </c>
      <c r="T409" s="5" t="s">
        <v>445</v>
      </c>
    </row>
    <row r="410" spans="2:20">
      <c r="B410" s="9"/>
      <c r="C410" s="5" t="s">
        <v>1857</v>
      </c>
      <c r="D410" s="5"/>
      <c r="F410" s="5" t="s">
        <v>295</v>
      </c>
      <c r="G410" s="34" t="s">
        <v>296</v>
      </c>
      <c r="H410" s="34"/>
      <c r="I410" s="306">
        <v>7000</v>
      </c>
      <c r="J410" s="307">
        <v>4.9469964664311004</v>
      </c>
      <c r="K410" s="6">
        <v>1415</v>
      </c>
      <c r="L410" s="5" t="s">
        <v>1902</v>
      </c>
      <c r="M410" s="62" t="s">
        <v>452</v>
      </c>
      <c r="N410" s="62" t="s">
        <v>464</v>
      </c>
      <c r="O410" s="62" t="s">
        <v>1952</v>
      </c>
      <c r="P410" s="100" t="s">
        <v>1895</v>
      </c>
      <c r="Q410" s="5" t="s">
        <v>1953</v>
      </c>
      <c r="R410" s="34" t="s">
        <v>764</v>
      </c>
      <c r="S410" s="5" t="s">
        <v>1954</v>
      </c>
      <c r="T410" s="5" t="s">
        <v>445</v>
      </c>
    </row>
    <row r="411" spans="2:20">
      <c r="B411" s="9"/>
      <c r="C411" s="5" t="s">
        <v>1857</v>
      </c>
      <c r="D411" s="5"/>
      <c r="F411" s="5" t="s">
        <v>295</v>
      </c>
      <c r="G411" s="34" t="s">
        <v>296</v>
      </c>
      <c r="H411" s="34"/>
      <c r="I411" s="306">
        <v>10500</v>
      </c>
      <c r="J411" s="307">
        <v>7.4204946996466399</v>
      </c>
      <c r="K411" s="6">
        <v>1415</v>
      </c>
      <c r="L411" s="5" t="s">
        <v>1902</v>
      </c>
      <c r="M411" s="62" t="s">
        <v>452</v>
      </c>
      <c r="N411" s="62" t="s">
        <v>464</v>
      </c>
      <c r="O411" s="62" t="s">
        <v>1952</v>
      </c>
      <c r="P411" s="100" t="s">
        <v>1895</v>
      </c>
      <c r="Q411" s="5" t="s">
        <v>1953</v>
      </c>
      <c r="R411" s="34" t="s">
        <v>764</v>
      </c>
      <c r="S411" s="5" t="s">
        <v>1954</v>
      </c>
      <c r="T411" s="5" t="s">
        <v>445</v>
      </c>
    </row>
    <row r="412" spans="2:20">
      <c r="B412" s="9"/>
      <c r="C412" s="5" t="s">
        <v>1857</v>
      </c>
      <c r="D412" s="5"/>
      <c r="F412" s="5" t="s">
        <v>295</v>
      </c>
      <c r="G412" s="34" t="s">
        <v>296</v>
      </c>
      <c r="H412" s="34"/>
      <c r="I412" s="306">
        <v>-56000</v>
      </c>
      <c r="J412" s="307">
        <v>-38.8888888888889</v>
      </c>
      <c r="K412" s="6">
        <v>1440</v>
      </c>
      <c r="L412" s="5" t="s">
        <v>1939</v>
      </c>
      <c r="M412" s="62" t="s">
        <v>452</v>
      </c>
      <c r="N412" s="62" t="s">
        <v>464</v>
      </c>
      <c r="O412" s="62" t="s">
        <v>1940</v>
      </c>
      <c r="P412" s="100" t="s">
        <v>1895</v>
      </c>
      <c r="Q412" s="5" t="s">
        <v>1941</v>
      </c>
      <c r="R412" s="34" t="s">
        <v>1988</v>
      </c>
      <c r="S412" s="5" t="s">
        <v>1943</v>
      </c>
      <c r="T412" s="5" t="s">
        <v>445</v>
      </c>
    </row>
    <row r="413" spans="2:20">
      <c r="B413" s="9"/>
      <c r="C413" s="5" t="s">
        <v>1857</v>
      </c>
      <c r="D413" s="5"/>
      <c r="F413" s="5" t="s">
        <v>295</v>
      </c>
      <c r="G413" s="34" t="s">
        <v>296</v>
      </c>
      <c r="H413" s="34"/>
      <c r="I413" s="306">
        <v>-70000</v>
      </c>
      <c r="J413" s="307">
        <v>-49.122807017543899</v>
      </c>
      <c r="K413" s="6">
        <v>1425</v>
      </c>
      <c r="L413" s="5" t="s">
        <v>1955</v>
      </c>
      <c r="M413" s="62" t="s">
        <v>452</v>
      </c>
      <c r="N413" s="62" t="s">
        <v>464</v>
      </c>
      <c r="O413" s="62" t="s">
        <v>1956</v>
      </c>
      <c r="P413" s="100" t="s">
        <v>1895</v>
      </c>
      <c r="Q413" s="5" t="s">
        <v>1957</v>
      </c>
      <c r="R413" s="34" t="s">
        <v>1989</v>
      </c>
      <c r="S413" s="5" t="s">
        <v>1959</v>
      </c>
      <c r="T413" s="5" t="s">
        <v>445</v>
      </c>
    </row>
    <row r="414" spans="2:20">
      <c r="B414" s="9"/>
      <c r="C414" s="5" t="s">
        <v>1857</v>
      </c>
      <c r="D414" s="5"/>
      <c r="F414" s="5" t="s">
        <v>295</v>
      </c>
      <c r="G414" s="34" t="s">
        <v>296</v>
      </c>
      <c r="H414" s="34"/>
      <c r="I414" s="306">
        <v>-35000</v>
      </c>
      <c r="J414" s="307">
        <v>-24.3055555555556</v>
      </c>
      <c r="K414" s="6">
        <v>1440</v>
      </c>
      <c r="L414" s="5" t="s">
        <v>1939</v>
      </c>
      <c r="M414" s="62" t="s">
        <v>452</v>
      </c>
      <c r="N414" s="62" t="s">
        <v>464</v>
      </c>
      <c r="O414" s="62" t="s">
        <v>1940</v>
      </c>
      <c r="P414" s="100" t="s">
        <v>1895</v>
      </c>
      <c r="Q414" s="5" t="s">
        <v>1941</v>
      </c>
      <c r="R414" s="34" t="s">
        <v>1990</v>
      </c>
      <c r="S414" s="5" t="s">
        <v>1943</v>
      </c>
      <c r="T414" s="5" t="s">
        <v>445</v>
      </c>
    </row>
    <row r="415" spans="2:20">
      <c r="B415" s="9"/>
      <c r="C415" s="5" t="s">
        <v>1857</v>
      </c>
      <c r="D415" s="5"/>
      <c r="F415" s="5" t="s">
        <v>295</v>
      </c>
      <c r="G415" s="34" t="s">
        <v>296</v>
      </c>
      <c r="H415" s="34"/>
      <c r="I415" s="306">
        <v>-39000</v>
      </c>
      <c r="J415" s="307">
        <v>-27.5618374558304</v>
      </c>
      <c r="K415" s="6">
        <v>1415</v>
      </c>
      <c r="L415" s="5" t="s">
        <v>1902</v>
      </c>
      <c r="M415" s="62" t="s">
        <v>452</v>
      </c>
      <c r="N415" s="62" t="s">
        <v>464</v>
      </c>
      <c r="O415" s="62" t="s">
        <v>1945</v>
      </c>
      <c r="P415" s="100" t="s">
        <v>1895</v>
      </c>
      <c r="Q415" s="5" t="s">
        <v>1946</v>
      </c>
      <c r="R415" s="34" t="s">
        <v>1991</v>
      </c>
      <c r="S415" s="5" t="s">
        <v>1948</v>
      </c>
      <c r="T415" s="5" t="s">
        <v>445</v>
      </c>
    </row>
    <row r="416" spans="2:20">
      <c r="B416" s="9"/>
      <c r="C416" s="5" t="s">
        <v>1857</v>
      </c>
      <c r="D416" s="5"/>
      <c r="F416" s="5" t="s">
        <v>295</v>
      </c>
      <c r="G416" s="34" t="s">
        <v>296</v>
      </c>
      <c r="H416" s="34"/>
      <c r="I416" s="306">
        <v>-39000</v>
      </c>
      <c r="J416" s="307">
        <v>-27.5618374558304</v>
      </c>
      <c r="K416" s="6">
        <v>1415</v>
      </c>
      <c r="L416" s="5" t="s">
        <v>1902</v>
      </c>
      <c r="M416" s="62" t="s">
        <v>452</v>
      </c>
      <c r="N416" s="62" t="s">
        <v>464</v>
      </c>
      <c r="O416" s="62" t="s">
        <v>1949</v>
      </c>
      <c r="P416" s="100" t="s">
        <v>1895</v>
      </c>
      <c r="Q416" s="5" t="s">
        <v>1950</v>
      </c>
      <c r="R416" s="34" t="s">
        <v>1991</v>
      </c>
      <c r="S416" s="5" t="s">
        <v>1951</v>
      </c>
      <c r="T416" s="5" t="s">
        <v>445</v>
      </c>
    </row>
    <row r="417" spans="2:20">
      <c r="B417" s="9"/>
      <c r="C417" s="5" t="s">
        <v>1857</v>
      </c>
      <c r="D417" s="5"/>
      <c r="F417" s="5" t="s">
        <v>295</v>
      </c>
      <c r="G417" s="34" t="s">
        <v>296</v>
      </c>
      <c r="H417" s="34"/>
      <c r="I417" s="306">
        <v>39000</v>
      </c>
      <c r="J417" s="307">
        <v>27.5618374558304</v>
      </c>
      <c r="K417" s="6">
        <v>1415</v>
      </c>
      <c r="L417" s="5" t="s">
        <v>1902</v>
      </c>
      <c r="M417" s="62" t="s">
        <v>452</v>
      </c>
      <c r="N417" s="62" t="s">
        <v>464</v>
      </c>
      <c r="O417" s="62" t="s">
        <v>1952</v>
      </c>
      <c r="P417" s="100" t="s">
        <v>1895</v>
      </c>
      <c r="Q417" s="5" t="s">
        <v>1953</v>
      </c>
      <c r="R417" s="34" t="s">
        <v>1991</v>
      </c>
      <c r="S417" s="5" t="s">
        <v>1954</v>
      </c>
      <c r="T417" s="5" t="s">
        <v>445</v>
      </c>
    </row>
    <row r="418" spans="2:20">
      <c r="B418" s="9"/>
      <c r="C418" s="5" t="s">
        <v>1857</v>
      </c>
      <c r="D418" s="5"/>
      <c r="F418" s="5" t="s">
        <v>295</v>
      </c>
      <c r="G418" s="34" t="s">
        <v>296</v>
      </c>
      <c r="H418" s="34"/>
      <c r="I418" s="306">
        <v>5760000</v>
      </c>
      <c r="J418" s="307">
        <v>4070.6713780918699</v>
      </c>
      <c r="K418" s="6">
        <v>1415</v>
      </c>
      <c r="L418" s="5" t="s">
        <v>1902</v>
      </c>
      <c r="M418" s="62" t="s">
        <v>452</v>
      </c>
      <c r="N418" s="62" t="s">
        <v>464</v>
      </c>
      <c r="O418" s="62" t="s">
        <v>1992</v>
      </c>
      <c r="P418" s="100" t="s">
        <v>1895</v>
      </c>
      <c r="Q418" s="5" t="s">
        <v>1993</v>
      </c>
      <c r="R418" s="34" t="s">
        <v>563</v>
      </c>
      <c r="S418" s="5" t="s">
        <v>1994</v>
      </c>
      <c r="T418" s="5" t="s">
        <v>445</v>
      </c>
    </row>
    <row r="419" spans="2:20">
      <c r="B419" s="9"/>
      <c r="C419" s="5" t="s">
        <v>1857</v>
      </c>
      <c r="D419" s="5"/>
      <c r="F419" s="5" t="s">
        <v>295</v>
      </c>
      <c r="G419" s="34" t="s">
        <v>296</v>
      </c>
      <c r="H419" s="34"/>
      <c r="I419" s="306">
        <v>-29275</v>
      </c>
      <c r="J419" s="307">
        <v>-20.6890459363958</v>
      </c>
      <c r="K419" s="6">
        <v>1415</v>
      </c>
      <c r="L419" s="5" t="s">
        <v>1902</v>
      </c>
      <c r="M419" s="62" t="s">
        <v>452</v>
      </c>
      <c r="N419" s="62" t="s">
        <v>464</v>
      </c>
      <c r="O419" s="62" t="s">
        <v>1945</v>
      </c>
      <c r="P419" s="100" t="s">
        <v>1895</v>
      </c>
      <c r="Q419" s="5" t="s">
        <v>1946</v>
      </c>
      <c r="R419" s="34" t="s">
        <v>1998</v>
      </c>
      <c r="S419" s="5" t="s">
        <v>1948</v>
      </c>
      <c r="T419" s="5" t="s">
        <v>445</v>
      </c>
    </row>
    <row r="420" spans="2:20">
      <c r="B420" s="9"/>
      <c r="C420" s="5" t="s">
        <v>1857</v>
      </c>
      <c r="D420" s="5"/>
      <c r="F420" s="5" t="s">
        <v>295</v>
      </c>
      <c r="G420" s="34" t="s">
        <v>296</v>
      </c>
      <c r="H420" s="34"/>
      <c r="I420" s="306">
        <v>-29275</v>
      </c>
      <c r="J420" s="307">
        <v>-20.6890459363958</v>
      </c>
      <c r="K420" s="6">
        <v>1415</v>
      </c>
      <c r="L420" s="5" t="s">
        <v>1902</v>
      </c>
      <c r="M420" s="62" t="s">
        <v>452</v>
      </c>
      <c r="N420" s="62" t="s">
        <v>464</v>
      </c>
      <c r="O420" s="62" t="s">
        <v>1949</v>
      </c>
      <c r="P420" s="100" t="s">
        <v>1895</v>
      </c>
      <c r="Q420" s="5" t="s">
        <v>1950</v>
      </c>
      <c r="R420" s="34" t="s">
        <v>1998</v>
      </c>
      <c r="S420" s="5" t="s">
        <v>1951</v>
      </c>
      <c r="T420" s="5" t="s">
        <v>445</v>
      </c>
    </row>
    <row r="421" spans="2:20">
      <c r="B421" s="9"/>
      <c r="C421" s="5" t="s">
        <v>1857</v>
      </c>
      <c r="D421" s="5"/>
      <c r="F421" s="5" t="s">
        <v>295</v>
      </c>
      <c r="G421" s="34" t="s">
        <v>296</v>
      </c>
      <c r="H421" s="34"/>
      <c r="I421" s="306">
        <v>29275</v>
      </c>
      <c r="J421" s="307">
        <v>20.6890459363958</v>
      </c>
      <c r="K421" s="6">
        <v>1415</v>
      </c>
      <c r="L421" s="5" t="s">
        <v>1902</v>
      </c>
      <c r="M421" s="62" t="s">
        <v>452</v>
      </c>
      <c r="N421" s="62" t="s">
        <v>464</v>
      </c>
      <c r="O421" s="62" t="s">
        <v>1952</v>
      </c>
      <c r="P421" s="100" t="s">
        <v>1895</v>
      </c>
      <c r="Q421" s="5" t="s">
        <v>1953</v>
      </c>
      <c r="R421" s="34" t="s">
        <v>1998</v>
      </c>
      <c r="S421" s="5" t="s">
        <v>1954</v>
      </c>
      <c r="T421" s="5" t="s">
        <v>445</v>
      </c>
    </row>
    <row r="422" spans="2:20">
      <c r="B422" s="9"/>
      <c r="C422" s="5" t="s">
        <v>1857</v>
      </c>
      <c r="D422" s="5"/>
      <c r="F422" s="5" t="s">
        <v>295</v>
      </c>
      <c r="G422" s="34" t="s">
        <v>296</v>
      </c>
      <c r="H422" s="34"/>
      <c r="I422" s="306">
        <v>-9400</v>
      </c>
      <c r="J422" s="307">
        <v>-6.6431095406360399</v>
      </c>
      <c r="K422" s="6">
        <v>1415</v>
      </c>
      <c r="L422" s="5" t="s">
        <v>1902</v>
      </c>
      <c r="M422" s="62" t="s">
        <v>452</v>
      </c>
      <c r="N422" s="62" t="s">
        <v>464</v>
      </c>
      <c r="O422" s="62" t="s">
        <v>1945</v>
      </c>
      <c r="P422" s="100" t="s">
        <v>1895</v>
      </c>
      <c r="Q422" s="5" t="s">
        <v>1946</v>
      </c>
      <c r="R422" s="34" t="s">
        <v>1999</v>
      </c>
      <c r="S422" s="5" t="s">
        <v>1948</v>
      </c>
      <c r="T422" s="5" t="s">
        <v>445</v>
      </c>
    </row>
    <row r="423" spans="2:20">
      <c r="B423" s="9"/>
      <c r="C423" s="5" t="s">
        <v>1857</v>
      </c>
      <c r="D423" s="5"/>
      <c r="F423" s="5" t="s">
        <v>295</v>
      </c>
      <c r="G423" s="34" t="s">
        <v>296</v>
      </c>
      <c r="H423" s="34"/>
      <c r="I423" s="306">
        <v>-9400</v>
      </c>
      <c r="J423" s="307">
        <v>-6.6431095406360399</v>
      </c>
      <c r="K423" s="6">
        <v>1415</v>
      </c>
      <c r="L423" s="5" t="s">
        <v>1902</v>
      </c>
      <c r="M423" s="62" t="s">
        <v>452</v>
      </c>
      <c r="N423" s="62" t="s">
        <v>464</v>
      </c>
      <c r="O423" s="62" t="s">
        <v>1949</v>
      </c>
      <c r="P423" s="100" t="s">
        <v>1895</v>
      </c>
      <c r="Q423" s="5" t="s">
        <v>1950</v>
      </c>
      <c r="R423" s="34" t="s">
        <v>1999</v>
      </c>
      <c r="S423" s="5" t="s">
        <v>1951</v>
      </c>
      <c r="T423" s="5" t="s">
        <v>445</v>
      </c>
    </row>
    <row r="424" spans="2:20">
      <c r="B424" s="9"/>
      <c r="C424" s="5" t="s">
        <v>1857</v>
      </c>
      <c r="D424" s="5"/>
      <c r="F424" s="5" t="s">
        <v>295</v>
      </c>
      <c r="G424" s="34" t="s">
        <v>296</v>
      </c>
      <c r="H424" s="34"/>
      <c r="I424" s="306">
        <v>9400</v>
      </c>
      <c r="J424" s="307">
        <v>6.6431095406360399</v>
      </c>
      <c r="K424" s="6">
        <v>1415</v>
      </c>
      <c r="L424" s="5" t="s">
        <v>1902</v>
      </c>
      <c r="M424" s="62" t="s">
        <v>452</v>
      </c>
      <c r="N424" s="62" t="s">
        <v>464</v>
      </c>
      <c r="O424" s="62" t="s">
        <v>1952</v>
      </c>
      <c r="P424" s="100" t="s">
        <v>1895</v>
      </c>
      <c r="Q424" s="5" t="s">
        <v>1953</v>
      </c>
      <c r="R424" s="34" t="s">
        <v>1999</v>
      </c>
      <c r="S424" s="5" t="s">
        <v>1954</v>
      </c>
      <c r="T424" s="5" t="s">
        <v>445</v>
      </c>
    </row>
    <row r="425" spans="2:20">
      <c r="B425" s="9"/>
      <c r="C425" s="5" t="s">
        <v>1857</v>
      </c>
      <c r="D425" s="5"/>
      <c r="F425" s="5" t="s">
        <v>295</v>
      </c>
      <c r="G425" s="34" t="s">
        <v>296</v>
      </c>
      <c r="H425" s="34"/>
      <c r="I425" s="306">
        <v>-40000</v>
      </c>
      <c r="J425" s="307">
        <v>-28.0701754385965</v>
      </c>
      <c r="K425" s="6">
        <v>1425</v>
      </c>
      <c r="L425" s="5" t="s">
        <v>1955</v>
      </c>
      <c r="M425" s="62" t="s">
        <v>452</v>
      </c>
      <c r="N425" s="62" t="s">
        <v>464</v>
      </c>
      <c r="O425" s="62" t="s">
        <v>1956</v>
      </c>
      <c r="P425" s="100" t="s">
        <v>1895</v>
      </c>
      <c r="Q425" s="5" t="s">
        <v>1957</v>
      </c>
      <c r="R425" s="34" t="s">
        <v>491</v>
      </c>
      <c r="S425" s="5" t="s">
        <v>1959</v>
      </c>
      <c r="T425" s="5" t="s">
        <v>445</v>
      </c>
    </row>
    <row r="426" spans="2:20">
      <c r="B426" s="9"/>
      <c r="C426" s="5" t="s">
        <v>1857</v>
      </c>
      <c r="D426" s="5"/>
      <c r="F426" s="5" t="s">
        <v>295</v>
      </c>
      <c r="G426" s="34" t="s">
        <v>296</v>
      </c>
      <c r="H426" s="34"/>
      <c r="I426" s="306">
        <v>-60000</v>
      </c>
      <c r="J426" s="307">
        <v>-42.402826855123699</v>
      </c>
      <c r="K426" s="6">
        <v>1415</v>
      </c>
      <c r="L426" s="5" t="s">
        <v>1902</v>
      </c>
      <c r="M426" s="62" t="s">
        <v>452</v>
      </c>
      <c r="N426" s="62" t="s">
        <v>464</v>
      </c>
      <c r="O426" s="62" t="s">
        <v>1945</v>
      </c>
      <c r="P426" s="100" t="s">
        <v>1895</v>
      </c>
      <c r="Q426" s="5" t="s">
        <v>1946</v>
      </c>
      <c r="R426" s="34" t="s">
        <v>491</v>
      </c>
      <c r="S426" s="5" t="s">
        <v>1948</v>
      </c>
      <c r="T426" s="5" t="s">
        <v>445</v>
      </c>
    </row>
    <row r="427" spans="2:20">
      <c r="B427" s="9"/>
      <c r="C427" s="5" t="s">
        <v>1857</v>
      </c>
      <c r="D427" s="5"/>
      <c r="F427" s="5" t="s">
        <v>295</v>
      </c>
      <c r="G427" s="34" t="s">
        <v>296</v>
      </c>
      <c r="H427" s="34"/>
      <c r="I427" s="306">
        <v>-60000</v>
      </c>
      <c r="J427" s="307">
        <v>-42.402826855123699</v>
      </c>
      <c r="K427" s="6">
        <v>1415</v>
      </c>
      <c r="L427" s="5" t="s">
        <v>1902</v>
      </c>
      <c r="M427" s="62" t="s">
        <v>452</v>
      </c>
      <c r="N427" s="62" t="s">
        <v>464</v>
      </c>
      <c r="O427" s="62" t="s">
        <v>1949</v>
      </c>
      <c r="P427" s="100" t="s">
        <v>1895</v>
      </c>
      <c r="Q427" s="5" t="s">
        <v>1950</v>
      </c>
      <c r="R427" s="34" t="s">
        <v>491</v>
      </c>
      <c r="S427" s="5" t="s">
        <v>1951</v>
      </c>
      <c r="T427" s="5" t="s">
        <v>445</v>
      </c>
    </row>
    <row r="428" spans="2:20">
      <c r="B428" s="9"/>
      <c r="C428" s="5" t="s">
        <v>1857</v>
      </c>
      <c r="D428" s="5"/>
      <c r="F428" s="5" t="s">
        <v>295</v>
      </c>
      <c r="G428" s="34" t="s">
        <v>296</v>
      </c>
      <c r="H428" s="34"/>
      <c r="I428" s="306">
        <v>60000</v>
      </c>
      <c r="J428" s="307">
        <v>42.402826855123699</v>
      </c>
      <c r="K428" s="6">
        <v>1415</v>
      </c>
      <c r="L428" s="5" t="s">
        <v>1902</v>
      </c>
      <c r="M428" s="62" t="s">
        <v>452</v>
      </c>
      <c r="N428" s="62" t="s">
        <v>464</v>
      </c>
      <c r="O428" s="62" t="s">
        <v>1952</v>
      </c>
      <c r="P428" s="100" t="s">
        <v>1895</v>
      </c>
      <c r="Q428" s="5" t="s">
        <v>1953</v>
      </c>
      <c r="R428" s="34" t="s">
        <v>491</v>
      </c>
      <c r="S428" s="5" t="s">
        <v>1954</v>
      </c>
      <c r="T428" s="5" t="s">
        <v>445</v>
      </c>
    </row>
    <row r="429" spans="2:20">
      <c r="B429" s="9"/>
      <c r="C429" s="5" t="s">
        <v>1857</v>
      </c>
      <c r="D429" s="5"/>
      <c r="F429" s="5" t="s">
        <v>295</v>
      </c>
      <c r="G429" s="34" t="s">
        <v>296</v>
      </c>
      <c r="H429" s="34"/>
      <c r="I429" s="306">
        <v>-20000</v>
      </c>
      <c r="J429" s="307">
        <v>-14.0350877192982</v>
      </c>
      <c r="K429" s="6">
        <v>1425</v>
      </c>
      <c r="L429" s="5" t="s">
        <v>1955</v>
      </c>
      <c r="M429" s="62" t="s">
        <v>452</v>
      </c>
      <c r="N429" s="62" t="s">
        <v>464</v>
      </c>
      <c r="O429" s="62" t="s">
        <v>1956</v>
      </c>
      <c r="P429" s="100" t="s">
        <v>1895</v>
      </c>
      <c r="Q429" s="5" t="s">
        <v>1957</v>
      </c>
      <c r="R429" s="34" t="s">
        <v>1057</v>
      </c>
      <c r="S429" s="5" t="s">
        <v>1959</v>
      </c>
      <c r="T429" s="5" t="s">
        <v>445</v>
      </c>
    </row>
    <row r="430" spans="2:20">
      <c r="B430" s="9"/>
      <c r="C430" s="5" t="s">
        <v>1857</v>
      </c>
      <c r="D430" s="5"/>
      <c r="F430" s="5" t="s">
        <v>295</v>
      </c>
      <c r="G430" s="34" t="s">
        <v>296</v>
      </c>
      <c r="H430" s="34"/>
      <c r="I430" s="306">
        <v>-94000</v>
      </c>
      <c r="J430" s="307">
        <v>-65.964912280701796</v>
      </c>
      <c r="K430" s="6">
        <v>1425</v>
      </c>
      <c r="L430" s="5" t="s">
        <v>1969</v>
      </c>
      <c r="M430" s="62" t="s">
        <v>452</v>
      </c>
      <c r="N430" s="62" t="s">
        <v>464</v>
      </c>
      <c r="O430" s="62" t="s">
        <v>1970</v>
      </c>
      <c r="P430" s="100" t="s">
        <v>1895</v>
      </c>
      <c r="Q430" s="5" t="s">
        <v>1971</v>
      </c>
      <c r="R430" s="34" t="s">
        <v>1057</v>
      </c>
      <c r="S430" s="5" t="s">
        <v>1972</v>
      </c>
      <c r="T430" s="5" t="s">
        <v>445</v>
      </c>
    </row>
    <row r="431" spans="2:20">
      <c r="B431" s="9"/>
      <c r="C431" s="5" t="s">
        <v>1857</v>
      </c>
      <c r="D431" s="5"/>
      <c r="F431" s="5" t="s">
        <v>295</v>
      </c>
      <c r="G431" s="34" t="s">
        <v>296</v>
      </c>
      <c r="H431" s="34"/>
      <c r="I431" s="306">
        <v>-175418</v>
      </c>
      <c r="J431" s="307">
        <v>-121.818055555556</v>
      </c>
      <c r="K431" s="6">
        <v>1440</v>
      </c>
      <c r="L431" s="5" t="s">
        <v>1939</v>
      </c>
      <c r="M431" s="62" t="s">
        <v>452</v>
      </c>
      <c r="N431" s="62" t="s">
        <v>464</v>
      </c>
      <c r="O431" s="62" t="s">
        <v>1940</v>
      </c>
      <c r="P431" s="100" t="s">
        <v>1895</v>
      </c>
      <c r="Q431" s="5" t="s">
        <v>1941</v>
      </c>
      <c r="R431" s="34" t="s">
        <v>1293</v>
      </c>
      <c r="S431" s="5" t="s">
        <v>1943</v>
      </c>
      <c r="T431" s="5" t="s">
        <v>445</v>
      </c>
    </row>
    <row r="432" spans="2:20">
      <c r="B432" s="9"/>
      <c r="C432" s="5" t="s">
        <v>1857</v>
      </c>
      <c r="D432" s="5"/>
      <c r="F432" s="5" t="s">
        <v>295</v>
      </c>
      <c r="G432" s="34" t="s">
        <v>296</v>
      </c>
      <c r="H432" s="34"/>
      <c r="I432" s="306">
        <v>-59365</v>
      </c>
      <c r="J432" s="307">
        <v>-41.2256944444444</v>
      </c>
      <c r="K432" s="6">
        <v>1440</v>
      </c>
      <c r="L432" s="5" t="s">
        <v>1939</v>
      </c>
      <c r="M432" s="62" t="s">
        <v>452</v>
      </c>
      <c r="N432" s="62" t="s">
        <v>464</v>
      </c>
      <c r="O432" s="62" t="s">
        <v>1940</v>
      </c>
      <c r="P432" s="100" t="s">
        <v>1895</v>
      </c>
      <c r="Q432" s="5" t="s">
        <v>1941</v>
      </c>
      <c r="R432" s="34" t="s">
        <v>1293</v>
      </c>
      <c r="S432" s="5" t="s">
        <v>1943</v>
      </c>
      <c r="T432" s="5" t="s">
        <v>445</v>
      </c>
    </row>
    <row r="433" spans="2:20">
      <c r="B433" s="9"/>
      <c r="C433" s="5" t="s">
        <v>1857</v>
      </c>
      <c r="D433" s="5"/>
      <c r="F433" s="5" t="s">
        <v>295</v>
      </c>
      <c r="G433" s="34" t="s">
        <v>296</v>
      </c>
      <c r="H433" s="34"/>
      <c r="I433" s="306">
        <v>-94000</v>
      </c>
      <c r="J433" s="307">
        <v>-65.964912280701796</v>
      </c>
      <c r="K433" s="6">
        <v>1425</v>
      </c>
      <c r="L433" s="5" t="s">
        <v>1955</v>
      </c>
      <c r="M433" s="62" t="s">
        <v>452</v>
      </c>
      <c r="N433" s="62" t="s">
        <v>464</v>
      </c>
      <c r="O433" s="62" t="s">
        <v>1956</v>
      </c>
      <c r="P433" s="100" t="s">
        <v>1895</v>
      </c>
      <c r="Q433" s="5" t="s">
        <v>1957</v>
      </c>
      <c r="R433" s="34" t="s">
        <v>1293</v>
      </c>
      <c r="S433" s="5" t="s">
        <v>1959</v>
      </c>
      <c r="T433" s="5" t="s">
        <v>445</v>
      </c>
    </row>
    <row r="434" spans="2:20">
      <c r="B434" s="9"/>
      <c r="C434" s="5" t="s">
        <v>1857</v>
      </c>
      <c r="D434" s="5"/>
      <c r="F434" s="5" t="s">
        <v>295</v>
      </c>
      <c r="G434" s="34" t="s">
        <v>296</v>
      </c>
      <c r="H434" s="34"/>
      <c r="I434" s="306">
        <v>-80000</v>
      </c>
      <c r="J434" s="307">
        <v>-56.140350877193001</v>
      </c>
      <c r="K434" s="6">
        <v>1425</v>
      </c>
      <c r="L434" s="5" t="s">
        <v>1955</v>
      </c>
      <c r="M434" s="62" t="s">
        <v>452</v>
      </c>
      <c r="N434" s="62" t="s">
        <v>464</v>
      </c>
      <c r="O434" s="62" t="s">
        <v>1956</v>
      </c>
      <c r="P434" s="100" t="s">
        <v>1895</v>
      </c>
      <c r="Q434" s="5" t="s">
        <v>1957</v>
      </c>
      <c r="R434" s="34" t="s">
        <v>1293</v>
      </c>
      <c r="S434" s="5" t="s">
        <v>1959</v>
      </c>
      <c r="T434" s="5" t="s">
        <v>445</v>
      </c>
    </row>
    <row r="435" spans="2:20">
      <c r="B435" s="9"/>
      <c r="C435" s="5" t="s">
        <v>1857</v>
      </c>
      <c r="D435" s="5"/>
      <c r="F435" s="5" t="s">
        <v>295</v>
      </c>
      <c r="G435" s="34" t="s">
        <v>296</v>
      </c>
      <c r="H435" s="34"/>
      <c r="I435" s="306">
        <v>-67850</v>
      </c>
      <c r="J435" s="307">
        <v>-47.614035087719301</v>
      </c>
      <c r="K435" s="6">
        <v>1425</v>
      </c>
      <c r="L435" s="5" t="s">
        <v>1969</v>
      </c>
      <c r="M435" s="62" t="s">
        <v>452</v>
      </c>
      <c r="N435" s="62" t="s">
        <v>464</v>
      </c>
      <c r="O435" s="62" t="s">
        <v>1970</v>
      </c>
      <c r="P435" s="100" t="s">
        <v>1895</v>
      </c>
      <c r="Q435" s="5" t="s">
        <v>1971</v>
      </c>
      <c r="R435" s="34" t="s">
        <v>1293</v>
      </c>
      <c r="S435" s="5" t="s">
        <v>1972</v>
      </c>
      <c r="T435" s="5" t="s">
        <v>445</v>
      </c>
    </row>
    <row r="436" spans="2:20">
      <c r="B436" s="9"/>
      <c r="C436" s="5" t="s">
        <v>1857</v>
      </c>
      <c r="D436" s="5"/>
      <c r="F436" s="5" t="s">
        <v>295</v>
      </c>
      <c r="G436" s="34" t="s">
        <v>296</v>
      </c>
      <c r="H436" s="34"/>
      <c r="I436" s="306">
        <v>-122379</v>
      </c>
      <c r="J436" s="307">
        <v>-85.88</v>
      </c>
      <c r="K436" s="6">
        <v>1425</v>
      </c>
      <c r="L436" s="5" t="s">
        <v>1969</v>
      </c>
      <c r="M436" s="62" t="s">
        <v>452</v>
      </c>
      <c r="N436" s="62" t="s">
        <v>464</v>
      </c>
      <c r="O436" s="62" t="s">
        <v>1970</v>
      </c>
      <c r="P436" s="100" t="s">
        <v>1895</v>
      </c>
      <c r="Q436" s="5" t="s">
        <v>1971</v>
      </c>
      <c r="R436" s="34" t="s">
        <v>651</v>
      </c>
      <c r="S436" s="5" t="s">
        <v>1972</v>
      </c>
      <c r="T436" s="5" t="s">
        <v>445</v>
      </c>
    </row>
    <row r="437" spans="2:20">
      <c r="B437" s="9"/>
      <c r="C437" s="5" t="s">
        <v>1857</v>
      </c>
      <c r="D437" s="5"/>
      <c r="F437" s="5" t="s">
        <v>295</v>
      </c>
      <c r="G437" s="34" t="s">
        <v>296</v>
      </c>
      <c r="H437" s="34"/>
      <c r="I437" s="306">
        <v>-354200</v>
      </c>
      <c r="J437" s="307">
        <v>-248.561403508772</v>
      </c>
      <c r="K437" s="6">
        <v>1425</v>
      </c>
      <c r="L437" s="5" t="s">
        <v>1969</v>
      </c>
      <c r="M437" s="62" t="s">
        <v>452</v>
      </c>
      <c r="N437" s="62" t="s">
        <v>464</v>
      </c>
      <c r="O437" s="62" t="s">
        <v>1970</v>
      </c>
      <c r="P437" s="100" t="s">
        <v>1895</v>
      </c>
      <c r="Q437" s="5" t="s">
        <v>1971</v>
      </c>
      <c r="R437" s="34" t="s">
        <v>651</v>
      </c>
      <c r="S437" s="5" t="s">
        <v>1972</v>
      </c>
      <c r="T437" s="5" t="s">
        <v>445</v>
      </c>
    </row>
    <row r="438" spans="2:20">
      <c r="B438" s="9"/>
      <c r="C438" s="5" t="s">
        <v>1857</v>
      </c>
      <c r="D438" s="5"/>
      <c r="F438" s="5" t="s">
        <v>295</v>
      </c>
      <c r="G438" s="34" t="s">
        <v>296</v>
      </c>
      <c r="H438" s="34"/>
      <c r="I438" s="306">
        <v>-278936</v>
      </c>
      <c r="J438" s="307">
        <v>-193.705555555556</v>
      </c>
      <c r="K438" s="6">
        <v>1440</v>
      </c>
      <c r="L438" s="5" t="s">
        <v>1939</v>
      </c>
      <c r="M438" s="62" t="s">
        <v>452</v>
      </c>
      <c r="N438" s="62" t="s">
        <v>464</v>
      </c>
      <c r="O438" s="62" t="s">
        <v>1940</v>
      </c>
      <c r="P438" s="100" t="s">
        <v>1895</v>
      </c>
      <c r="Q438" s="5" t="s">
        <v>1941</v>
      </c>
      <c r="R438" s="34" t="s">
        <v>2000</v>
      </c>
      <c r="S438" s="5" t="s">
        <v>1943</v>
      </c>
      <c r="T438" s="5" t="s">
        <v>445</v>
      </c>
    </row>
    <row r="439" spans="2:20">
      <c r="B439" s="9"/>
      <c r="C439" s="5" t="s">
        <v>1857</v>
      </c>
      <c r="D439" s="5"/>
      <c r="F439" s="5" t="s">
        <v>295</v>
      </c>
      <c r="G439" s="34" t="s">
        <v>296</v>
      </c>
      <c r="H439" s="34"/>
      <c r="I439" s="306">
        <v>-160000</v>
      </c>
      <c r="J439" s="307">
        <v>-112.280701754386</v>
      </c>
      <c r="K439" s="6">
        <v>1425</v>
      </c>
      <c r="L439" s="5" t="s">
        <v>1955</v>
      </c>
      <c r="M439" s="62" t="s">
        <v>452</v>
      </c>
      <c r="N439" s="62" t="s">
        <v>464</v>
      </c>
      <c r="O439" s="62" t="s">
        <v>1956</v>
      </c>
      <c r="P439" s="100" t="s">
        <v>1895</v>
      </c>
      <c r="Q439" s="5" t="s">
        <v>1957</v>
      </c>
      <c r="R439" s="34" t="s">
        <v>2000</v>
      </c>
      <c r="S439" s="5" t="s">
        <v>1959</v>
      </c>
      <c r="T439" s="5" t="s">
        <v>445</v>
      </c>
    </row>
    <row r="440" spans="2:20">
      <c r="B440" s="9"/>
      <c r="C440" s="5" t="s">
        <v>1857</v>
      </c>
      <c r="D440" s="5"/>
      <c r="F440" s="5" t="s">
        <v>295</v>
      </c>
      <c r="G440" s="34" t="s">
        <v>296</v>
      </c>
      <c r="H440" s="34"/>
      <c r="I440" s="306">
        <v>-181420</v>
      </c>
      <c r="J440" s="307">
        <v>-125.986111111111</v>
      </c>
      <c r="K440" s="6">
        <v>1440</v>
      </c>
      <c r="L440" s="5" t="s">
        <v>1939</v>
      </c>
      <c r="M440" s="62" t="s">
        <v>452</v>
      </c>
      <c r="N440" s="62" t="s">
        <v>464</v>
      </c>
      <c r="O440" s="62" t="s">
        <v>1940</v>
      </c>
      <c r="P440" s="100" t="s">
        <v>1895</v>
      </c>
      <c r="Q440" s="5" t="s">
        <v>1941</v>
      </c>
      <c r="R440" s="34" t="s">
        <v>2001</v>
      </c>
      <c r="S440" s="5" t="s">
        <v>1943</v>
      </c>
      <c r="T440" s="5" t="s">
        <v>445</v>
      </c>
    </row>
    <row r="441" spans="2:20">
      <c r="B441" s="9"/>
      <c r="C441" s="5" t="s">
        <v>1857</v>
      </c>
      <c r="D441" s="5"/>
      <c r="F441" s="5" t="s">
        <v>295</v>
      </c>
      <c r="G441" s="34" t="s">
        <v>296</v>
      </c>
      <c r="H441" s="34"/>
      <c r="I441" s="306">
        <v>-263600</v>
      </c>
      <c r="J441" s="307">
        <v>-183.055555555556</v>
      </c>
      <c r="K441" s="6">
        <v>1440</v>
      </c>
      <c r="L441" s="5" t="s">
        <v>1939</v>
      </c>
      <c r="M441" s="62" t="s">
        <v>452</v>
      </c>
      <c r="N441" s="62" t="s">
        <v>464</v>
      </c>
      <c r="O441" s="62" t="s">
        <v>1940</v>
      </c>
      <c r="P441" s="100" t="s">
        <v>1895</v>
      </c>
      <c r="Q441" s="5" t="s">
        <v>1941</v>
      </c>
      <c r="R441" s="34" t="s">
        <v>2001</v>
      </c>
      <c r="S441" s="5" t="s">
        <v>1943</v>
      </c>
      <c r="T441" s="5" t="s">
        <v>445</v>
      </c>
    </row>
    <row r="442" spans="2:20">
      <c r="B442" s="9"/>
      <c r="C442" s="5" t="s">
        <v>1857</v>
      </c>
      <c r="D442" s="5"/>
      <c r="F442" s="5" t="s">
        <v>295</v>
      </c>
      <c r="G442" s="34" t="s">
        <v>296</v>
      </c>
      <c r="H442" s="34"/>
      <c r="I442" s="306">
        <v>-137771</v>
      </c>
      <c r="J442" s="307">
        <v>-95.674305555555506</v>
      </c>
      <c r="K442" s="6">
        <v>1440</v>
      </c>
      <c r="L442" s="5" t="s">
        <v>1939</v>
      </c>
      <c r="M442" s="62" t="s">
        <v>452</v>
      </c>
      <c r="N442" s="62" t="s">
        <v>464</v>
      </c>
      <c r="O442" s="62" t="s">
        <v>1940</v>
      </c>
      <c r="P442" s="100" t="s">
        <v>1895</v>
      </c>
      <c r="Q442" s="5" t="s">
        <v>1941</v>
      </c>
      <c r="R442" s="34" t="s">
        <v>2001</v>
      </c>
      <c r="S442" s="5" t="s">
        <v>1943</v>
      </c>
      <c r="T442" s="5" t="s">
        <v>445</v>
      </c>
    </row>
    <row r="443" spans="2:20">
      <c r="B443" s="9"/>
      <c r="C443" s="5" t="s">
        <v>1857</v>
      </c>
      <c r="D443" s="5"/>
      <c r="F443" s="5" t="s">
        <v>295</v>
      </c>
      <c r="G443" s="34" t="s">
        <v>296</v>
      </c>
      <c r="H443" s="34"/>
      <c r="I443" s="306">
        <v>-107400</v>
      </c>
      <c r="J443" s="307">
        <v>-74.5833333333333</v>
      </c>
      <c r="K443" s="6">
        <v>1440</v>
      </c>
      <c r="L443" s="5" t="s">
        <v>1939</v>
      </c>
      <c r="M443" s="62" t="s">
        <v>452</v>
      </c>
      <c r="N443" s="62" t="s">
        <v>464</v>
      </c>
      <c r="O443" s="62" t="s">
        <v>1940</v>
      </c>
      <c r="P443" s="100" t="s">
        <v>1895</v>
      </c>
      <c r="Q443" s="5" t="s">
        <v>1941</v>
      </c>
      <c r="R443" s="34" t="s">
        <v>2001</v>
      </c>
      <c r="S443" s="5" t="s">
        <v>1943</v>
      </c>
      <c r="T443" s="5" t="s">
        <v>445</v>
      </c>
    </row>
    <row r="444" spans="2:20">
      <c r="B444" s="9"/>
      <c r="C444" s="5" t="s">
        <v>1857</v>
      </c>
      <c r="D444" s="5"/>
      <c r="F444" s="5" t="s">
        <v>295</v>
      </c>
      <c r="G444" s="34" t="s">
        <v>296</v>
      </c>
      <c r="H444" s="34"/>
      <c r="I444" s="306">
        <v>-297840</v>
      </c>
      <c r="J444" s="307">
        <v>-209.01052631578901</v>
      </c>
      <c r="K444" s="6">
        <v>1425</v>
      </c>
      <c r="L444" s="5" t="s">
        <v>1955</v>
      </c>
      <c r="M444" s="62" t="s">
        <v>452</v>
      </c>
      <c r="N444" s="62" t="s">
        <v>464</v>
      </c>
      <c r="O444" s="62" t="s">
        <v>1956</v>
      </c>
      <c r="P444" s="100" t="s">
        <v>1895</v>
      </c>
      <c r="Q444" s="5" t="s">
        <v>1957</v>
      </c>
      <c r="R444" s="34" t="s">
        <v>2002</v>
      </c>
      <c r="S444" s="5" t="s">
        <v>1959</v>
      </c>
      <c r="T444" s="5" t="s">
        <v>445</v>
      </c>
    </row>
    <row r="445" spans="2:20">
      <c r="B445" s="9"/>
      <c r="C445" s="5" t="s">
        <v>1857</v>
      </c>
      <c r="D445" s="5"/>
      <c r="F445" s="5" t="s">
        <v>295</v>
      </c>
      <c r="G445" s="34" t="s">
        <v>296</v>
      </c>
      <c r="H445" s="34"/>
      <c r="I445" s="306">
        <v>-167000</v>
      </c>
      <c r="J445" s="307">
        <v>-117.19298245614</v>
      </c>
      <c r="K445" s="6">
        <v>1425</v>
      </c>
      <c r="L445" s="5" t="s">
        <v>1955</v>
      </c>
      <c r="M445" s="62" t="s">
        <v>452</v>
      </c>
      <c r="N445" s="62" t="s">
        <v>464</v>
      </c>
      <c r="O445" s="62" t="s">
        <v>1956</v>
      </c>
      <c r="P445" s="100" t="s">
        <v>1895</v>
      </c>
      <c r="Q445" s="5" t="s">
        <v>1957</v>
      </c>
      <c r="R445" s="34" t="s">
        <v>1631</v>
      </c>
      <c r="S445" s="5" t="s">
        <v>1959</v>
      </c>
      <c r="T445" s="5" t="s">
        <v>445</v>
      </c>
    </row>
    <row r="446" spans="2:20">
      <c r="B446" s="9"/>
      <c r="C446" s="5" t="s">
        <v>1857</v>
      </c>
      <c r="D446" s="5"/>
      <c r="F446" s="5" t="s">
        <v>295</v>
      </c>
      <c r="G446" s="34" t="s">
        <v>296</v>
      </c>
      <c r="H446" s="34"/>
      <c r="I446" s="306">
        <v>-133300</v>
      </c>
      <c r="J446" s="307">
        <v>-93.543859649122794</v>
      </c>
      <c r="K446" s="6">
        <v>1425</v>
      </c>
      <c r="L446" s="5" t="s">
        <v>1955</v>
      </c>
      <c r="M446" s="62" t="s">
        <v>452</v>
      </c>
      <c r="N446" s="62" t="s">
        <v>464</v>
      </c>
      <c r="O446" s="62" t="s">
        <v>1956</v>
      </c>
      <c r="P446" s="100" t="s">
        <v>1895</v>
      </c>
      <c r="Q446" s="5" t="s">
        <v>1957</v>
      </c>
      <c r="R446" s="34" t="s">
        <v>1631</v>
      </c>
      <c r="S446" s="5" t="s">
        <v>1959</v>
      </c>
      <c r="T446" s="5" t="s">
        <v>445</v>
      </c>
    </row>
    <row r="447" spans="2:20">
      <c r="B447" s="9"/>
      <c r="C447" s="5" t="s">
        <v>1857</v>
      </c>
      <c r="D447" s="5"/>
      <c r="F447" s="5" t="s">
        <v>295</v>
      </c>
      <c r="G447" s="34" t="s">
        <v>296</v>
      </c>
      <c r="H447" s="34"/>
      <c r="I447" s="306">
        <v>-147900</v>
      </c>
      <c r="J447" s="307">
        <v>-103.789473684211</v>
      </c>
      <c r="K447" s="6">
        <v>1425</v>
      </c>
      <c r="L447" s="5" t="s">
        <v>1955</v>
      </c>
      <c r="M447" s="62" t="s">
        <v>452</v>
      </c>
      <c r="N447" s="62" t="s">
        <v>464</v>
      </c>
      <c r="O447" s="62" t="s">
        <v>1956</v>
      </c>
      <c r="P447" s="100" t="s">
        <v>1895</v>
      </c>
      <c r="Q447" s="5" t="s">
        <v>1957</v>
      </c>
      <c r="R447" s="34" t="s">
        <v>1631</v>
      </c>
      <c r="S447" s="5" t="s">
        <v>1959</v>
      </c>
      <c r="T447" s="5" t="s">
        <v>445</v>
      </c>
    </row>
    <row r="448" spans="2:20">
      <c r="B448" s="9"/>
      <c r="C448" s="5" t="s">
        <v>1857</v>
      </c>
      <c r="D448" s="5"/>
      <c r="F448" s="5" t="s">
        <v>295</v>
      </c>
      <c r="G448" s="34" t="s">
        <v>296</v>
      </c>
      <c r="H448" s="34"/>
      <c r="I448" s="306">
        <v>-140000</v>
      </c>
      <c r="J448" s="307">
        <v>-98.245614035087698</v>
      </c>
      <c r="K448" s="6">
        <v>1425</v>
      </c>
      <c r="L448" s="5" t="s">
        <v>1955</v>
      </c>
      <c r="M448" s="62" t="s">
        <v>452</v>
      </c>
      <c r="N448" s="62" t="s">
        <v>464</v>
      </c>
      <c r="O448" s="62" t="s">
        <v>1956</v>
      </c>
      <c r="P448" s="100" t="s">
        <v>1895</v>
      </c>
      <c r="Q448" s="5" t="s">
        <v>1957</v>
      </c>
      <c r="R448" s="34" t="s">
        <v>2012</v>
      </c>
      <c r="S448" s="5" t="s">
        <v>1959</v>
      </c>
      <c r="T448" s="5" t="s">
        <v>445</v>
      </c>
    </row>
    <row r="449" spans="2:20">
      <c r="B449" s="9"/>
      <c r="C449" s="5" t="s">
        <v>1857</v>
      </c>
      <c r="D449" s="5"/>
      <c r="F449" s="5" t="s">
        <v>295</v>
      </c>
      <c r="G449" s="34" t="s">
        <v>296</v>
      </c>
      <c r="H449" s="34"/>
      <c r="I449" s="306">
        <v>-20000</v>
      </c>
      <c r="J449" s="307">
        <v>-14.0350877192982</v>
      </c>
      <c r="K449" s="6">
        <v>1425</v>
      </c>
      <c r="L449" s="5" t="s">
        <v>1955</v>
      </c>
      <c r="M449" s="62" t="s">
        <v>452</v>
      </c>
      <c r="N449" s="62" t="s">
        <v>464</v>
      </c>
      <c r="O449" s="62" t="s">
        <v>1956</v>
      </c>
      <c r="P449" s="100" t="s">
        <v>1895</v>
      </c>
      <c r="Q449" s="5" t="s">
        <v>1957</v>
      </c>
      <c r="R449" s="34" t="s">
        <v>2014</v>
      </c>
      <c r="S449" s="5" t="s">
        <v>1959</v>
      </c>
      <c r="T449" s="5" t="s">
        <v>445</v>
      </c>
    </row>
    <row r="450" spans="2:20">
      <c r="B450" s="9"/>
      <c r="C450" s="5" t="s">
        <v>1857</v>
      </c>
      <c r="D450" s="5"/>
      <c r="F450" s="5" t="s">
        <v>295</v>
      </c>
      <c r="G450" s="34" t="s">
        <v>296</v>
      </c>
      <c r="H450" s="34"/>
      <c r="I450" s="306">
        <v>-60000</v>
      </c>
      <c r="J450" s="307">
        <v>-41.6666666666667</v>
      </c>
      <c r="K450" s="6">
        <v>1440</v>
      </c>
      <c r="L450" s="5" t="s">
        <v>1939</v>
      </c>
      <c r="M450" s="62" t="s">
        <v>452</v>
      </c>
      <c r="N450" s="62" t="s">
        <v>464</v>
      </c>
      <c r="O450" s="62" t="s">
        <v>1940</v>
      </c>
      <c r="P450" s="100" t="s">
        <v>1895</v>
      </c>
      <c r="Q450" s="5" t="s">
        <v>1941</v>
      </c>
      <c r="R450" s="34" t="s">
        <v>2015</v>
      </c>
      <c r="S450" s="5" t="s">
        <v>1943</v>
      </c>
      <c r="T450" s="5" t="s">
        <v>445</v>
      </c>
    </row>
    <row r="451" spans="2:20">
      <c r="B451" s="9"/>
      <c r="C451" s="5" t="s">
        <v>1857</v>
      </c>
      <c r="D451" s="5"/>
      <c r="F451" s="5" t="s">
        <v>295</v>
      </c>
      <c r="G451" s="34" t="s">
        <v>296</v>
      </c>
      <c r="H451" s="34"/>
      <c r="I451" s="306">
        <v>-100000</v>
      </c>
      <c r="J451" s="307">
        <v>-69.4444444444444</v>
      </c>
      <c r="K451" s="6">
        <v>1440</v>
      </c>
      <c r="L451" s="5" t="s">
        <v>1939</v>
      </c>
      <c r="M451" s="62" t="s">
        <v>452</v>
      </c>
      <c r="N451" s="62" t="s">
        <v>464</v>
      </c>
      <c r="O451" s="62" t="s">
        <v>1940</v>
      </c>
      <c r="P451" s="100" t="s">
        <v>1895</v>
      </c>
      <c r="Q451" s="5" t="s">
        <v>1941</v>
      </c>
      <c r="R451" s="34" t="s">
        <v>2016</v>
      </c>
      <c r="S451" s="5" t="s">
        <v>1943</v>
      </c>
      <c r="T451" s="5" t="s">
        <v>445</v>
      </c>
    </row>
    <row r="452" spans="2:20">
      <c r="B452" s="9"/>
      <c r="C452" s="5" t="s">
        <v>1857</v>
      </c>
      <c r="D452" s="5"/>
      <c r="F452" s="5" t="s">
        <v>295</v>
      </c>
      <c r="G452" s="34" t="s">
        <v>296</v>
      </c>
      <c r="H452" s="34"/>
      <c r="I452" s="306">
        <v>-120000</v>
      </c>
      <c r="J452" s="307">
        <v>-84.210526315789494</v>
      </c>
      <c r="K452" s="6">
        <v>1425</v>
      </c>
      <c r="L452" s="5" t="s">
        <v>1969</v>
      </c>
      <c r="M452" s="62" t="s">
        <v>452</v>
      </c>
      <c r="N452" s="62" t="s">
        <v>464</v>
      </c>
      <c r="O452" s="62" t="s">
        <v>1970</v>
      </c>
      <c r="P452" s="100" t="s">
        <v>1895</v>
      </c>
      <c r="Q452" s="5" t="s">
        <v>1971</v>
      </c>
      <c r="R452" s="34" t="s">
        <v>2017</v>
      </c>
      <c r="S452" s="5" t="s">
        <v>1972</v>
      </c>
      <c r="T452" s="5" t="s">
        <v>445</v>
      </c>
    </row>
    <row r="453" spans="2:20">
      <c r="B453" s="9"/>
      <c r="C453" s="5" t="s">
        <v>1857</v>
      </c>
      <c r="D453" s="5"/>
      <c r="F453" s="5" t="s">
        <v>295</v>
      </c>
      <c r="G453" s="34" t="s">
        <v>296</v>
      </c>
      <c r="H453" s="34"/>
      <c r="I453" s="306">
        <v>-80000</v>
      </c>
      <c r="J453" s="307">
        <v>-56.140350877193001</v>
      </c>
      <c r="K453" s="6">
        <v>1425</v>
      </c>
      <c r="L453" s="5" t="s">
        <v>1969</v>
      </c>
      <c r="M453" s="62" t="s">
        <v>452</v>
      </c>
      <c r="N453" s="62" t="s">
        <v>464</v>
      </c>
      <c r="O453" s="62" t="s">
        <v>1970</v>
      </c>
      <c r="P453" s="100" t="s">
        <v>1895</v>
      </c>
      <c r="Q453" s="5" t="s">
        <v>1971</v>
      </c>
      <c r="R453" s="34" t="s">
        <v>2018</v>
      </c>
      <c r="S453" s="5" t="s">
        <v>1972</v>
      </c>
      <c r="T453" s="5" t="s">
        <v>445</v>
      </c>
    </row>
    <row r="454" spans="2:20">
      <c r="B454" s="9"/>
      <c r="C454" s="5" t="s">
        <v>1857</v>
      </c>
      <c r="D454" s="5"/>
      <c r="F454" s="5" t="s">
        <v>295</v>
      </c>
      <c r="G454" s="34" t="s">
        <v>296</v>
      </c>
      <c r="H454" s="34"/>
      <c r="I454" s="306">
        <v>-40000</v>
      </c>
      <c r="J454" s="307">
        <v>-28.268551236749101</v>
      </c>
      <c r="K454" s="6">
        <v>1415</v>
      </c>
      <c r="L454" s="5" t="s">
        <v>1902</v>
      </c>
      <c r="M454" s="62" t="s">
        <v>452</v>
      </c>
      <c r="N454" s="62" t="s">
        <v>464</v>
      </c>
      <c r="O454" s="62" t="s">
        <v>1945</v>
      </c>
      <c r="P454" s="100" t="s">
        <v>1895</v>
      </c>
      <c r="Q454" s="5" t="s">
        <v>1946</v>
      </c>
      <c r="R454" s="34" t="s">
        <v>2019</v>
      </c>
      <c r="S454" s="5" t="s">
        <v>1948</v>
      </c>
      <c r="T454" s="5" t="s">
        <v>445</v>
      </c>
    </row>
    <row r="455" spans="2:20">
      <c r="B455" s="9"/>
      <c r="C455" s="5" t="s">
        <v>1857</v>
      </c>
      <c r="D455" s="5"/>
      <c r="F455" s="5" t="s">
        <v>295</v>
      </c>
      <c r="G455" s="34" t="s">
        <v>296</v>
      </c>
      <c r="H455" s="34"/>
      <c r="I455" s="306">
        <v>-40000</v>
      </c>
      <c r="J455" s="307">
        <v>-28.268551236749101</v>
      </c>
      <c r="K455" s="6">
        <v>1415</v>
      </c>
      <c r="L455" s="5" t="s">
        <v>1902</v>
      </c>
      <c r="M455" s="62" t="s">
        <v>452</v>
      </c>
      <c r="N455" s="62" t="s">
        <v>464</v>
      </c>
      <c r="O455" s="62" t="s">
        <v>1949</v>
      </c>
      <c r="P455" s="100" t="s">
        <v>1895</v>
      </c>
      <c r="Q455" s="5" t="s">
        <v>1950</v>
      </c>
      <c r="R455" s="34" t="s">
        <v>2019</v>
      </c>
      <c r="S455" s="5" t="s">
        <v>1951</v>
      </c>
      <c r="T455" s="5" t="s">
        <v>445</v>
      </c>
    </row>
    <row r="456" spans="2:20">
      <c r="B456" s="9"/>
      <c r="C456" s="5" t="s">
        <v>1857</v>
      </c>
      <c r="D456" s="5"/>
      <c r="F456" s="5" t="s">
        <v>295</v>
      </c>
      <c r="G456" s="34" t="s">
        <v>296</v>
      </c>
      <c r="H456" s="34"/>
      <c r="I456" s="306">
        <v>40000</v>
      </c>
      <c r="J456" s="307">
        <v>28.268551236749101</v>
      </c>
      <c r="K456" s="6">
        <v>1415</v>
      </c>
      <c r="L456" s="5" t="s">
        <v>1902</v>
      </c>
      <c r="M456" s="62" t="s">
        <v>452</v>
      </c>
      <c r="N456" s="62" t="s">
        <v>464</v>
      </c>
      <c r="O456" s="62" t="s">
        <v>1952</v>
      </c>
      <c r="P456" s="100" t="s">
        <v>1895</v>
      </c>
      <c r="Q456" s="5" t="s">
        <v>1953</v>
      </c>
      <c r="R456" s="34" t="s">
        <v>2019</v>
      </c>
      <c r="S456" s="5" t="s">
        <v>1954</v>
      </c>
      <c r="T456" s="5" t="s">
        <v>445</v>
      </c>
    </row>
    <row r="457" spans="2:20">
      <c r="B457" s="9"/>
      <c r="C457" s="5" t="s">
        <v>1857</v>
      </c>
      <c r="D457" s="5"/>
      <c r="F457" s="5" t="s">
        <v>295</v>
      </c>
      <c r="G457" s="34" t="s">
        <v>296</v>
      </c>
      <c r="H457" s="34"/>
      <c r="I457" s="306">
        <v>-120000</v>
      </c>
      <c r="J457" s="307">
        <v>-84.210526315789494</v>
      </c>
      <c r="K457" s="6">
        <v>1425</v>
      </c>
      <c r="L457" s="5" t="s">
        <v>1955</v>
      </c>
      <c r="M457" s="62" t="s">
        <v>452</v>
      </c>
      <c r="N457" s="62" t="s">
        <v>464</v>
      </c>
      <c r="O457" s="62" t="s">
        <v>1956</v>
      </c>
      <c r="P457" s="100" t="s">
        <v>1895</v>
      </c>
      <c r="Q457" s="5" t="s">
        <v>1957</v>
      </c>
      <c r="R457" s="34" t="s">
        <v>2020</v>
      </c>
      <c r="S457" s="5" t="s">
        <v>1959</v>
      </c>
      <c r="T457" s="5" t="s">
        <v>445</v>
      </c>
    </row>
    <row r="458" spans="2:20">
      <c r="B458" s="9"/>
      <c r="C458" s="5" t="s">
        <v>1857</v>
      </c>
      <c r="D458" s="5"/>
      <c r="F458" s="5" t="s">
        <v>295</v>
      </c>
      <c r="G458" s="34" t="s">
        <v>296</v>
      </c>
      <c r="H458" s="34"/>
      <c r="I458" s="306">
        <v>-2900</v>
      </c>
      <c r="J458" s="307">
        <v>-2.0138888888888902</v>
      </c>
      <c r="K458" s="6">
        <v>1440</v>
      </c>
      <c r="L458" s="5" t="s">
        <v>1939</v>
      </c>
      <c r="M458" s="62" t="s">
        <v>452</v>
      </c>
      <c r="N458" s="62" t="s">
        <v>464</v>
      </c>
      <c r="O458" s="62" t="s">
        <v>1940</v>
      </c>
      <c r="P458" s="100" t="s">
        <v>1895</v>
      </c>
      <c r="Q458" s="5" t="s">
        <v>1941</v>
      </c>
      <c r="R458" s="34" t="s">
        <v>2021</v>
      </c>
      <c r="S458" s="5" t="s">
        <v>1943</v>
      </c>
      <c r="T458" s="5" t="s">
        <v>445</v>
      </c>
    </row>
    <row r="459" spans="2:20">
      <c r="B459" s="9"/>
      <c r="C459" s="5" t="s">
        <v>1857</v>
      </c>
      <c r="D459" s="5"/>
      <c r="F459" s="5" t="s">
        <v>295</v>
      </c>
      <c r="G459" s="34" t="s">
        <v>296</v>
      </c>
      <c r="H459" s="34"/>
      <c r="I459" s="306">
        <v>-5800</v>
      </c>
      <c r="J459" s="307">
        <v>-4.0277777777777803</v>
      </c>
      <c r="K459" s="6">
        <v>1440</v>
      </c>
      <c r="L459" s="5" t="s">
        <v>1939</v>
      </c>
      <c r="M459" s="62" t="s">
        <v>452</v>
      </c>
      <c r="N459" s="62" t="s">
        <v>464</v>
      </c>
      <c r="O459" s="62" t="s">
        <v>1940</v>
      </c>
      <c r="P459" s="100" t="s">
        <v>1895</v>
      </c>
      <c r="Q459" s="5" t="s">
        <v>1941</v>
      </c>
      <c r="R459" s="34" t="s">
        <v>2022</v>
      </c>
      <c r="S459" s="5" t="s">
        <v>1943</v>
      </c>
      <c r="T459" s="5" t="s">
        <v>445</v>
      </c>
    </row>
    <row r="460" spans="2:20">
      <c r="B460" s="9"/>
      <c r="C460" s="5" t="s">
        <v>1857</v>
      </c>
      <c r="D460" s="5"/>
      <c r="F460" s="5" t="s">
        <v>295</v>
      </c>
      <c r="G460" s="34" t="s">
        <v>296</v>
      </c>
      <c r="H460" s="34"/>
      <c r="I460" s="306">
        <v>-8700</v>
      </c>
      <c r="J460" s="307">
        <v>-6.0416666666666696</v>
      </c>
      <c r="K460" s="6">
        <v>1440</v>
      </c>
      <c r="L460" s="5" t="s">
        <v>1939</v>
      </c>
      <c r="M460" s="62" t="s">
        <v>452</v>
      </c>
      <c r="N460" s="62" t="s">
        <v>464</v>
      </c>
      <c r="O460" s="62" t="s">
        <v>1940</v>
      </c>
      <c r="P460" s="100" t="s">
        <v>1895</v>
      </c>
      <c r="Q460" s="5" t="s">
        <v>1941</v>
      </c>
      <c r="R460" s="34" t="s">
        <v>2023</v>
      </c>
      <c r="S460" s="5" t="s">
        <v>1943</v>
      </c>
      <c r="T460" s="5" t="s">
        <v>445</v>
      </c>
    </row>
    <row r="461" spans="2:20">
      <c r="B461" s="9"/>
      <c r="C461" s="5" t="s">
        <v>1857</v>
      </c>
      <c r="D461" s="5"/>
      <c r="F461" s="5" t="s">
        <v>295</v>
      </c>
      <c r="G461" s="34" t="s">
        <v>296</v>
      </c>
      <c r="H461" s="34"/>
      <c r="I461" s="306">
        <v>-20000</v>
      </c>
      <c r="J461" s="307">
        <v>-14.1342756183746</v>
      </c>
      <c r="K461" s="6">
        <v>1415</v>
      </c>
      <c r="L461" s="5" t="s">
        <v>1902</v>
      </c>
      <c r="M461" s="62" t="s">
        <v>452</v>
      </c>
      <c r="N461" s="62" t="s">
        <v>464</v>
      </c>
      <c r="O461" s="62" t="s">
        <v>1945</v>
      </c>
      <c r="P461" s="100" t="s">
        <v>1895</v>
      </c>
      <c r="Q461" s="5" t="s">
        <v>1946</v>
      </c>
      <c r="R461" s="34" t="s">
        <v>2024</v>
      </c>
      <c r="S461" s="5" t="s">
        <v>1948</v>
      </c>
      <c r="T461" s="5" t="s">
        <v>445</v>
      </c>
    </row>
    <row r="462" spans="2:20">
      <c r="B462" s="9"/>
      <c r="C462" s="5" t="s">
        <v>1857</v>
      </c>
      <c r="D462" s="5"/>
      <c r="F462" s="5" t="s">
        <v>295</v>
      </c>
      <c r="G462" s="34" t="s">
        <v>296</v>
      </c>
      <c r="H462" s="34"/>
      <c r="I462" s="306">
        <v>-20000</v>
      </c>
      <c r="J462" s="307">
        <v>-14.1342756183746</v>
      </c>
      <c r="K462" s="6">
        <v>1415</v>
      </c>
      <c r="L462" s="5" t="s">
        <v>1902</v>
      </c>
      <c r="M462" s="62" t="s">
        <v>452</v>
      </c>
      <c r="N462" s="62" t="s">
        <v>464</v>
      </c>
      <c r="O462" s="62" t="s">
        <v>1949</v>
      </c>
      <c r="P462" s="100" t="s">
        <v>1895</v>
      </c>
      <c r="Q462" s="5" t="s">
        <v>1950</v>
      </c>
      <c r="R462" s="34" t="s">
        <v>2024</v>
      </c>
      <c r="S462" s="5" t="s">
        <v>1951</v>
      </c>
      <c r="T462" s="5" t="s">
        <v>445</v>
      </c>
    </row>
    <row r="463" spans="2:20">
      <c r="B463" s="9"/>
      <c r="C463" s="5" t="s">
        <v>1857</v>
      </c>
      <c r="D463" s="5"/>
      <c r="F463" s="5" t="s">
        <v>295</v>
      </c>
      <c r="G463" s="34" t="s">
        <v>296</v>
      </c>
      <c r="H463" s="34"/>
      <c r="I463" s="306">
        <v>20000</v>
      </c>
      <c r="J463" s="307">
        <v>14.1342756183746</v>
      </c>
      <c r="K463" s="6">
        <v>1415</v>
      </c>
      <c r="L463" s="5" t="s">
        <v>1902</v>
      </c>
      <c r="M463" s="62" t="s">
        <v>452</v>
      </c>
      <c r="N463" s="62" t="s">
        <v>464</v>
      </c>
      <c r="O463" s="62" t="s">
        <v>1952</v>
      </c>
      <c r="P463" s="100" t="s">
        <v>1895</v>
      </c>
      <c r="Q463" s="5" t="s">
        <v>1953</v>
      </c>
      <c r="R463" s="34" t="s">
        <v>2024</v>
      </c>
      <c r="S463" s="5" t="s">
        <v>1954</v>
      </c>
      <c r="T463" s="5" t="s">
        <v>445</v>
      </c>
    </row>
    <row r="464" spans="2:20">
      <c r="B464" s="9"/>
      <c r="C464" s="5" t="s">
        <v>1857</v>
      </c>
      <c r="D464" s="5"/>
      <c r="F464" s="5" t="s">
        <v>295</v>
      </c>
      <c r="G464" s="34" t="s">
        <v>296</v>
      </c>
      <c r="H464" s="34"/>
      <c r="I464" s="306">
        <v>-133280</v>
      </c>
      <c r="J464" s="307">
        <v>-93.529824561403501</v>
      </c>
      <c r="K464" s="6">
        <v>1425</v>
      </c>
      <c r="L464" s="5" t="s">
        <v>1969</v>
      </c>
      <c r="M464" s="62" t="s">
        <v>452</v>
      </c>
      <c r="N464" s="62" t="s">
        <v>464</v>
      </c>
      <c r="O464" s="62" t="s">
        <v>1970</v>
      </c>
      <c r="P464" s="100" t="s">
        <v>1895</v>
      </c>
      <c r="Q464" s="5" t="s">
        <v>1971</v>
      </c>
      <c r="R464" s="34" t="s">
        <v>2025</v>
      </c>
      <c r="S464" s="5" t="s">
        <v>1972</v>
      </c>
      <c r="T464" s="5" t="s">
        <v>445</v>
      </c>
    </row>
    <row r="465" spans="2:20">
      <c r="B465" s="9"/>
      <c r="C465" s="5" t="s">
        <v>1857</v>
      </c>
      <c r="D465" s="5"/>
      <c r="F465" s="5" t="s">
        <v>295</v>
      </c>
      <c r="G465" s="34" t="s">
        <v>296</v>
      </c>
      <c r="H465" s="34"/>
      <c r="I465" s="306">
        <v>-12000</v>
      </c>
      <c r="J465" s="307">
        <v>-8.4805653710247295</v>
      </c>
      <c r="K465" s="6">
        <v>1415</v>
      </c>
      <c r="L465" s="5" t="s">
        <v>1902</v>
      </c>
      <c r="M465" s="62" t="s">
        <v>452</v>
      </c>
      <c r="N465" s="62" t="s">
        <v>464</v>
      </c>
      <c r="O465" s="62" t="s">
        <v>1945</v>
      </c>
      <c r="P465" s="100" t="s">
        <v>1895</v>
      </c>
      <c r="Q465" s="5" t="s">
        <v>1946</v>
      </c>
      <c r="R465" s="34" t="s">
        <v>2026</v>
      </c>
      <c r="S465" s="5" t="s">
        <v>1948</v>
      </c>
      <c r="T465" s="5" t="s">
        <v>445</v>
      </c>
    </row>
    <row r="466" spans="2:20">
      <c r="B466" s="9"/>
      <c r="C466" s="5" t="s">
        <v>1857</v>
      </c>
      <c r="D466" s="5"/>
      <c r="F466" s="5" t="s">
        <v>295</v>
      </c>
      <c r="G466" s="34" t="s">
        <v>296</v>
      </c>
      <c r="H466" s="34"/>
      <c r="I466" s="306">
        <v>-12000</v>
      </c>
      <c r="J466" s="307">
        <v>-8.4805653710247295</v>
      </c>
      <c r="K466" s="6">
        <v>1415</v>
      </c>
      <c r="L466" s="5" t="s">
        <v>1902</v>
      </c>
      <c r="M466" s="62" t="s">
        <v>452</v>
      </c>
      <c r="N466" s="62" t="s">
        <v>464</v>
      </c>
      <c r="O466" s="62" t="s">
        <v>1949</v>
      </c>
      <c r="P466" s="100" t="s">
        <v>1895</v>
      </c>
      <c r="Q466" s="5" t="s">
        <v>1950</v>
      </c>
      <c r="R466" s="34" t="s">
        <v>2026</v>
      </c>
      <c r="S466" s="5" t="s">
        <v>1951</v>
      </c>
      <c r="T466" s="5" t="s">
        <v>445</v>
      </c>
    </row>
    <row r="467" spans="2:20">
      <c r="B467" s="9"/>
      <c r="C467" s="5" t="s">
        <v>1857</v>
      </c>
      <c r="D467" s="5"/>
      <c r="F467" s="5" t="s">
        <v>295</v>
      </c>
      <c r="G467" s="34" t="s">
        <v>296</v>
      </c>
      <c r="H467" s="34"/>
      <c r="I467" s="306">
        <v>12000</v>
      </c>
      <c r="J467" s="307">
        <v>8.4805653710247295</v>
      </c>
      <c r="K467" s="6">
        <v>1415</v>
      </c>
      <c r="L467" s="5" t="s">
        <v>1902</v>
      </c>
      <c r="M467" s="62" t="s">
        <v>452</v>
      </c>
      <c r="N467" s="62" t="s">
        <v>464</v>
      </c>
      <c r="O467" s="62" t="s">
        <v>1952</v>
      </c>
      <c r="P467" s="100" t="s">
        <v>1895</v>
      </c>
      <c r="Q467" s="5" t="s">
        <v>1953</v>
      </c>
      <c r="R467" s="34" t="s">
        <v>2026</v>
      </c>
      <c r="S467" s="5" t="s">
        <v>1954</v>
      </c>
      <c r="T467" s="5" t="s">
        <v>445</v>
      </c>
    </row>
    <row r="468" spans="2:20">
      <c r="B468" s="9"/>
      <c r="C468" s="5" t="s">
        <v>1857</v>
      </c>
      <c r="D468" s="5"/>
      <c r="F468" s="5" t="s">
        <v>295</v>
      </c>
      <c r="G468" s="34" t="s">
        <v>296</v>
      </c>
      <c r="H468" s="34"/>
      <c r="I468" s="306">
        <v>-25000</v>
      </c>
      <c r="J468" s="307">
        <v>-17.3611111111111</v>
      </c>
      <c r="K468" s="6">
        <v>1440</v>
      </c>
      <c r="L468" s="5" t="s">
        <v>1939</v>
      </c>
      <c r="M468" s="62" t="s">
        <v>452</v>
      </c>
      <c r="N468" s="62" t="s">
        <v>464</v>
      </c>
      <c r="O468" s="62" t="s">
        <v>1940</v>
      </c>
      <c r="P468" s="100" t="s">
        <v>1895</v>
      </c>
      <c r="Q468" s="5" t="s">
        <v>1941</v>
      </c>
      <c r="R468" s="34" t="s">
        <v>2027</v>
      </c>
      <c r="S468" s="5" t="s">
        <v>1943</v>
      </c>
      <c r="T468" s="5" t="s">
        <v>445</v>
      </c>
    </row>
    <row r="469" spans="2:20">
      <c r="B469" s="9"/>
      <c r="C469" s="5" t="s">
        <v>1857</v>
      </c>
      <c r="D469" s="5"/>
      <c r="F469" s="5" t="s">
        <v>295</v>
      </c>
      <c r="G469" s="34" t="s">
        <v>296</v>
      </c>
      <c r="H469" s="34"/>
      <c r="I469" s="306">
        <v>-60000</v>
      </c>
      <c r="J469" s="307">
        <v>-42.402826855123699</v>
      </c>
      <c r="K469" s="6">
        <v>1415</v>
      </c>
      <c r="L469" s="5" t="s">
        <v>1902</v>
      </c>
      <c r="M469" s="62" t="s">
        <v>452</v>
      </c>
      <c r="N469" s="62" t="s">
        <v>464</v>
      </c>
      <c r="O469" s="62" t="s">
        <v>1945</v>
      </c>
      <c r="P469" s="100" t="s">
        <v>1895</v>
      </c>
      <c r="Q469" s="5" t="s">
        <v>1946</v>
      </c>
      <c r="R469" s="34" t="s">
        <v>2028</v>
      </c>
      <c r="S469" s="5" t="s">
        <v>1948</v>
      </c>
      <c r="T469" s="5" t="s">
        <v>445</v>
      </c>
    </row>
    <row r="470" spans="2:20">
      <c r="B470" s="9"/>
      <c r="C470" s="5" t="s">
        <v>1857</v>
      </c>
      <c r="D470" s="5"/>
      <c r="F470" s="5" t="s">
        <v>295</v>
      </c>
      <c r="G470" s="34" t="s">
        <v>296</v>
      </c>
      <c r="H470" s="34"/>
      <c r="I470" s="306">
        <v>-60000</v>
      </c>
      <c r="J470" s="307">
        <v>-42.402826855123699</v>
      </c>
      <c r="K470" s="6">
        <v>1415</v>
      </c>
      <c r="L470" s="5" t="s">
        <v>1902</v>
      </c>
      <c r="M470" s="62" t="s">
        <v>452</v>
      </c>
      <c r="N470" s="62" t="s">
        <v>464</v>
      </c>
      <c r="O470" s="62" t="s">
        <v>1949</v>
      </c>
      <c r="P470" s="100" t="s">
        <v>1895</v>
      </c>
      <c r="Q470" s="5" t="s">
        <v>1950</v>
      </c>
      <c r="R470" s="34" t="s">
        <v>2028</v>
      </c>
      <c r="S470" s="5" t="s">
        <v>1951</v>
      </c>
      <c r="T470" s="5" t="s">
        <v>445</v>
      </c>
    </row>
    <row r="471" spans="2:20">
      <c r="B471" s="9"/>
      <c r="C471" s="5" t="s">
        <v>1857</v>
      </c>
      <c r="D471" s="5"/>
      <c r="F471" s="5" t="s">
        <v>295</v>
      </c>
      <c r="G471" s="34" t="s">
        <v>296</v>
      </c>
      <c r="H471" s="34"/>
      <c r="I471" s="306">
        <v>60000</v>
      </c>
      <c r="J471" s="307">
        <v>42.402826855123699</v>
      </c>
      <c r="K471" s="6">
        <v>1415</v>
      </c>
      <c r="L471" s="5" t="s">
        <v>1902</v>
      </c>
      <c r="M471" s="62" t="s">
        <v>452</v>
      </c>
      <c r="N471" s="62" t="s">
        <v>464</v>
      </c>
      <c r="O471" s="62" t="s">
        <v>1952</v>
      </c>
      <c r="P471" s="100" t="s">
        <v>1895</v>
      </c>
      <c r="Q471" s="5" t="s">
        <v>1953</v>
      </c>
      <c r="R471" s="34" t="s">
        <v>2028</v>
      </c>
      <c r="S471" s="5" t="s">
        <v>1954</v>
      </c>
      <c r="T471" s="5" t="s">
        <v>445</v>
      </c>
    </row>
    <row r="472" spans="2:20">
      <c r="B472" s="9"/>
      <c r="C472" s="5" t="s">
        <v>1857</v>
      </c>
      <c r="D472" s="5"/>
      <c r="F472" s="5" t="s">
        <v>295</v>
      </c>
      <c r="G472" s="34" t="s">
        <v>296</v>
      </c>
      <c r="H472" s="34"/>
      <c r="I472" s="306">
        <v>-76000</v>
      </c>
      <c r="J472" s="307">
        <v>-53.710247349823298</v>
      </c>
      <c r="K472" s="6">
        <v>1415</v>
      </c>
      <c r="L472" s="5" t="s">
        <v>1902</v>
      </c>
      <c r="M472" s="62" t="s">
        <v>452</v>
      </c>
      <c r="N472" s="62" t="s">
        <v>464</v>
      </c>
      <c r="O472" s="62" t="s">
        <v>1945</v>
      </c>
      <c r="P472" s="100" t="s">
        <v>1895</v>
      </c>
      <c r="Q472" s="5" t="s">
        <v>1946</v>
      </c>
      <c r="R472" s="34" t="s">
        <v>2029</v>
      </c>
      <c r="S472" s="5" t="s">
        <v>1948</v>
      </c>
      <c r="T472" s="5" t="s">
        <v>445</v>
      </c>
    </row>
    <row r="473" spans="2:20">
      <c r="B473" s="9"/>
      <c r="C473" s="5" t="s">
        <v>1857</v>
      </c>
      <c r="D473" s="5"/>
      <c r="F473" s="5" t="s">
        <v>295</v>
      </c>
      <c r="G473" s="34" t="s">
        <v>296</v>
      </c>
      <c r="H473" s="34"/>
      <c r="I473" s="306">
        <v>-76000</v>
      </c>
      <c r="J473" s="307">
        <v>-53.710247349823298</v>
      </c>
      <c r="K473" s="6">
        <v>1415</v>
      </c>
      <c r="L473" s="5" t="s">
        <v>1902</v>
      </c>
      <c r="M473" s="62" t="s">
        <v>452</v>
      </c>
      <c r="N473" s="62" t="s">
        <v>464</v>
      </c>
      <c r="O473" s="62" t="s">
        <v>1949</v>
      </c>
      <c r="P473" s="100" t="s">
        <v>1895</v>
      </c>
      <c r="Q473" s="5" t="s">
        <v>1950</v>
      </c>
      <c r="R473" s="34" t="s">
        <v>2029</v>
      </c>
      <c r="S473" s="5" t="s">
        <v>1951</v>
      </c>
      <c r="T473" s="5" t="s">
        <v>445</v>
      </c>
    </row>
    <row r="474" spans="2:20">
      <c r="B474" s="9"/>
      <c r="C474" s="5" t="s">
        <v>1857</v>
      </c>
      <c r="D474" s="5"/>
      <c r="F474" s="5" t="s">
        <v>295</v>
      </c>
      <c r="G474" s="34" t="s">
        <v>296</v>
      </c>
      <c r="H474" s="34"/>
      <c r="I474" s="306">
        <v>76000</v>
      </c>
      <c r="J474" s="307">
        <v>53.710247349823298</v>
      </c>
      <c r="K474" s="6">
        <v>1415</v>
      </c>
      <c r="L474" s="5" t="s">
        <v>1902</v>
      </c>
      <c r="M474" s="62" t="s">
        <v>452</v>
      </c>
      <c r="N474" s="62" t="s">
        <v>464</v>
      </c>
      <c r="O474" s="62" t="s">
        <v>1952</v>
      </c>
      <c r="P474" s="100" t="s">
        <v>1895</v>
      </c>
      <c r="Q474" s="5" t="s">
        <v>1953</v>
      </c>
      <c r="R474" s="34" t="s">
        <v>2029</v>
      </c>
      <c r="S474" s="5" t="s">
        <v>1954</v>
      </c>
      <c r="T474" s="5" t="s">
        <v>445</v>
      </c>
    </row>
    <row r="475" spans="2:20">
      <c r="B475" s="9"/>
      <c r="C475" s="5" t="s">
        <v>1857</v>
      </c>
      <c r="D475" s="5"/>
      <c r="F475" s="5" t="s">
        <v>295</v>
      </c>
      <c r="G475" s="34" t="s">
        <v>296</v>
      </c>
      <c r="H475" s="34"/>
      <c r="I475" s="306">
        <v>-40000</v>
      </c>
      <c r="J475" s="307">
        <v>-28.268551236749101</v>
      </c>
      <c r="K475" s="6">
        <v>1415</v>
      </c>
      <c r="L475" s="5" t="s">
        <v>1902</v>
      </c>
      <c r="M475" s="62" t="s">
        <v>452</v>
      </c>
      <c r="N475" s="62" t="s">
        <v>464</v>
      </c>
      <c r="O475" s="62" t="s">
        <v>1945</v>
      </c>
      <c r="P475" s="100" t="s">
        <v>1895</v>
      </c>
      <c r="Q475" s="5" t="s">
        <v>1946</v>
      </c>
      <c r="R475" s="34" t="s">
        <v>2030</v>
      </c>
      <c r="S475" s="5" t="s">
        <v>1948</v>
      </c>
      <c r="T475" s="5" t="s">
        <v>445</v>
      </c>
    </row>
    <row r="476" spans="2:20">
      <c r="B476" s="9"/>
      <c r="C476" s="5" t="s">
        <v>1857</v>
      </c>
      <c r="D476" s="5"/>
      <c r="F476" s="5" t="s">
        <v>295</v>
      </c>
      <c r="G476" s="34" t="s">
        <v>296</v>
      </c>
      <c r="H476" s="34"/>
      <c r="I476" s="306">
        <v>-40000</v>
      </c>
      <c r="J476" s="307">
        <v>-28.268551236749101</v>
      </c>
      <c r="K476" s="6">
        <v>1415</v>
      </c>
      <c r="L476" s="5" t="s">
        <v>1902</v>
      </c>
      <c r="M476" s="62" t="s">
        <v>452</v>
      </c>
      <c r="N476" s="62" t="s">
        <v>464</v>
      </c>
      <c r="O476" s="62" t="s">
        <v>1949</v>
      </c>
      <c r="P476" s="100" t="s">
        <v>1895</v>
      </c>
      <c r="Q476" s="5" t="s">
        <v>1950</v>
      </c>
      <c r="R476" s="34" t="s">
        <v>2030</v>
      </c>
      <c r="S476" s="5" t="s">
        <v>1951</v>
      </c>
      <c r="T476" s="5" t="s">
        <v>445</v>
      </c>
    </row>
    <row r="477" spans="2:20">
      <c r="B477" s="9"/>
      <c r="C477" s="5" t="s">
        <v>1857</v>
      </c>
      <c r="D477" s="5"/>
      <c r="F477" s="5" t="s">
        <v>295</v>
      </c>
      <c r="G477" s="34" t="s">
        <v>296</v>
      </c>
      <c r="H477" s="34"/>
      <c r="I477" s="306">
        <v>40000</v>
      </c>
      <c r="J477" s="307">
        <v>28.268551236749101</v>
      </c>
      <c r="K477" s="6">
        <v>1415</v>
      </c>
      <c r="L477" s="5" t="s">
        <v>1902</v>
      </c>
      <c r="M477" s="62" t="s">
        <v>452</v>
      </c>
      <c r="N477" s="62" t="s">
        <v>464</v>
      </c>
      <c r="O477" s="62" t="s">
        <v>1952</v>
      </c>
      <c r="P477" s="100" t="s">
        <v>1895</v>
      </c>
      <c r="Q477" s="5" t="s">
        <v>1953</v>
      </c>
      <c r="R477" s="34" t="s">
        <v>2030</v>
      </c>
      <c r="S477" s="5" t="s">
        <v>1954</v>
      </c>
      <c r="T477" s="5" t="s">
        <v>445</v>
      </c>
    </row>
    <row r="478" spans="2:20">
      <c r="B478" s="9"/>
      <c r="C478" s="5" t="s">
        <v>1857</v>
      </c>
      <c r="D478" s="5"/>
      <c r="F478" s="5" t="s">
        <v>295</v>
      </c>
      <c r="G478" s="34" t="s">
        <v>296</v>
      </c>
      <c r="H478" s="34"/>
      <c r="I478" s="306">
        <v>-11700</v>
      </c>
      <c r="J478" s="307">
        <v>-8.2105263157894708</v>
      </c>
      <c r="K478" s="6">
        <v>1425</v>
      </c>
      <c r="L478" s="5" t="s">
        <v>1955</v>
      </c>
      <c r="M478" s="62" t="s">
        <v>452</v>
      </c>
      <c r="N478" s="62" t="s">
        <v>464</v>
      </c>
      <c r="O478" s="62" t="s">
        <v>1956</v>
      </c>
      <c r="P478" s="100" t="s">
        <v>1895</v>
      </c>
      <c r="Q478" s="5" t="s">
        <v>1957</v>
      </c>
      <c r="R478" s="34" t="s">
        <v>1659</v>
      </c>
      <c r="S478" s="5" t="s">
        <v>1959</v>
      </c>
      <c r="T478" s="5" t="s">
        <v>445</v>
      </c>
    </row>
    <row r="479" spans="2:20">
      <c r="B479" s="9"/>
      <c r="C479" s="5" t="s">
        <v>1857</v>
      </c>
      <c r="D479" s="5"/>
      <c r="F479" s="5" t="s">
        <v>295</v>
      </c>
      <c r="G479" s="34" t="s">
        <v>296</v>
      </c>
      <c r="H479" s="34"/>
      <c r="I479" s="306">
        <v>-36900</v>
      </c>
      <c r="J479" s="307">
        <v>-25.625</v>
      </c>
      <c r="K479" s="6">
        <v>1440</v>
      </c>
      <c r="L479" s="5" t="s">
        <v>1939</v>
      </c>
      <c r="M479" s="62" t="s">
        <v>452</v>
      </c>
      <c r="N479" s="62" t="s">
        <v>464</v>
      </c>
      <c r="O479" s="62" t="s">
        <v>1940</v>
      </c>
      <c r="P479" s="100" t="s">
        <v>1895</v>
      </c>
      <c r="Q479" s="5" t="s">
        <v>1941</v>
      </c>
      <c r="R479" s="34" t="s">
        <v>704</v>
      </c>
      <c r="S479" s="5" t="s">
        <v>1943</v>
      </c>
      <c r="T479" s="5" t="s">
        <v>445</v>
      </c>
    </row>
    <row r="480" spans="2:20">
      <c r="B480" s="9"/>
      <c r="C480" s="5" t="s">
        <v>1857</v>
      </c>
      <c r="D480" s="5"/>
      <c r="F480" s="5" t="s">
        <v>295</v>
      </c>
      <c r="G480" s="34" t="s">
        <v>296</v>
      </c>
      <c r="H480" s="34"/>
      <c r="I480" s="306">
        <v>-37200</v>
      </c>
      <c r="J480" s="307">
        <v>-26.289752650176698</v>
      </c>
      <c r="K480" s="6">
        <v>1415</v>
      </c>
      <c r="L480" s="5" t="s">
        <v>1902</v>
      </c>
      <c r="M480" s="62" t="s">
        <v>452</v>
      </c>
      <c r="N480" s="62" t="s">
        <v>464</v>
      </c>
      <c r="O480" s="62" t="s">
        <v>1945</v>
      </c>
      <c r="P480" s="100" t="s">
        <v>1895</v>
      </c>
      <c r="Q480" s="5" t="s">
        <v>1946</v>
      </c>
      <c r="R480" s="34" t="s">
        <v>1327</v>
      </c>
      <c r="S480" s="5" t="s">
        <v>1948</v>
      </c>
      <c r="T480" s="5" t="s">
        <v>445</v>
      </c>
    </row>
    <row r="481" spans="2:20">
      <c r="B481" s="9"/>
      <c r="C481" s="5" t="s">
        <v>1857</v>
      </c>
      <c r="D481" s="5"/>
      <c r="F481" s="5" t="s">
        <v>295</v>
      </c>
      <c r="G481" s="34" t="s">
        <v>296</v>
      </c>
      <c r="H481" s="34"/>
      <c r="I481" s="306">
        <v>-37200</v>
      </c>
      <c r="J481" s="307">
        <v>-26.289752650176698</v>
      </c>
      <c r="K481" s="6">
        <v>1415</v>
      </c>
      <c r="L481" s="5" t="s">
        <v>1902</v>
      </c>
      <c r="M481" s="62" t="s">
        <v>452</v>
      </c>
      <c r="N481" s="62" t="s">
        <v>464</v>
      </c>
      <c r="O481" s="62" t="s">
        <v>1949</v>
      </c>
      <c r="P481" s="100" t="s">
        <v>1895</v>
      </c>
      <c r="Q481" s="5" t="s">
        <v>1950</v>
      </c>
      <c r="R481" s="34" t="s">
        <v>1327</v>
      </c>
      <c r="S481" s="5" t="s">
        <v>1951</v>
      </c>
      <c r="T481" s="5" t="s">
        <v>445</v>
      </c>
    </row>
    <row r="482" spans="2:20">
      <c r="B482" s="9"/>
      <c r="C482" s="5" t="s">
        <v>1857</v>
      </c>
      <c r="D482" s="5"/>
      <c r="F482" s="5" t="s">
        <v>295</v>
      </c>
      <c r="G482" s="34" t="s">
        <v>296</v>
      </c>
      <c r="H482" s="34"/>
      <c r="I482" s="306">
        <v>37200</v>
      </c>
      <c r="J482" s="307">
        <v>26.289752650176698</v>
      </c>
      <c r="K482" s="6">
        <v>1415</v>
      </c>
      <c r="L482" s="5" t="s">
        <v>1902</v>
      </c>
      <c r="M482" s="62" t="s">
        <v>452</v>
      </c>
      <c r="N482" s="62" t="s">
        <v>464</v>
      </c>
      <c r="O482" s="62" t="s">
        <v>1952</v>
      </c>
      <c r="P482" s="100" t="s">
        <v>1895</v>
      </c>
      <c r="Q482" s="5" t="s">
        <v>1953</v>
      </c>
      <c r="R482" s="34" t="s">
        <v>1327</v>
      </c>
      <c r="S482" s="5" t="s">
        <v>1954</v>
      </c>
      <c r="T482" s="5" t="s">
        <v>445</v>
      </c>
    </row>
    <row r="483" spans="2:20">
      <c r="B483" s="9"/>
      <c r="C483" s="5" t="s">
        <v>1857</v>
      </c>
      <c r="D483" s="5"/>
      <c r="F483" s="5" t="s">
        <v>295</v>
      </c>
      <c r="G483" s="34" t="s">
        <v>296</v>
      </c>
      <c r="H483" s="34"/>
      <c r="I483" s="306">
        <v>-46900</v>
      </c>
      <c r="J483" s="307">
        <v>-33.144876325088298</v>
      </c>
      <c r="K483" s="6">
        <v>1415</v>
      </c>
      <c r="L483" s="5" t="s">
        <v>1902</v>
      </c>
      <c r="M483" s="62" t="s">
        <v>452</v>
      </c>
      <c r="N483" s="62" t="s">
        <v>464</v>
      </c>
      <c r="O483" s="62" t="s">
        <v>1945</v>
      </c>
      <c r="P483" s="100" t="s">
        <v>1895</v>
      </c>
      <c r="Q483" s="5" t="s">
        <v>1946</v>
      </c>
      <c r="R483" s="34" t="s">
        <v>2031</v>
      </c>
      <c r="S483" s="5" t="s">
        <v>1948</v>
      </c>
      <c r="T483" s="5" t="s">
        <v>445</v>
      </c>
    </row>
    <row r="484" spans="2:20">
      <c r="B484" s="9"/>
      <c r="C484" s="5" t="s">
        <v>1857</v>
      </c>
      <c r="D484" s="5"/>
      <c r="F484" s="5" t="s">
        <v>295</v>
      </c>
      <c r="G484" s="34" t="s">
        <v>296</v>
      </c>
      <c r="H484" s="34"/>
      <c r="I484" s="306">
        <v>-46900</v>
      </c>
      <c r="J484" s="307">
        <v>-33.144876325088298</v>
      </c>
      <c r="K484" s="6">
        <v>1415</v>
      </c>
      <c r="L484" s="5" t="s">
        <v>1902</v>
      </c>
      <c r="M484" s="62" t="s">
        <v>452</v>
      </c>
      <c r="N484" s="62" t="s">
        <v>464</v>
      </c>
      <c r="O484" s="62" t="s">
        <v>1949</v>
      </c>
      <c r="P484" s="100" t="s">
        <v>1895</v>
      </c>
      <c r="Q484" s="5" t="s">
        <v>1950</v>
      </c>
      <c r="R484" s="34" t="s">
        <v>2031</v>
      </c>
      <c r="S484" s="5" t="s">
        <v>1951</v>
      </c>
      <c r="T484" s="5" t="s">
        <v>445</v>
      </c>
    </row>
    <row r="485" spans="2:20">
      <c r="B485" s="9"/>
      <c r="C485" s="5" t="s">
        <v>1857</v>
      </c>
      <c r="D485" s="5"/>
      <c r="F485" s="5" t="s">
        <v>295</v>
      </c>
      <c r="G485" s="34" t="s">
        <v>296</v>
      </c>
      <c r="H485" s="34"/>
      <c r="I485" s="306">
        <v>46900</v>
      </c>
      <c r="J485" s="307">
        <v>33.144876325088298</v>
      </c>
      <c r="K485" s="6">
        <v>1415</v>
      </c>
      <c r="L485" s="5" t="s">
        <v>1902</v>
      </c>
      <c r="M485" s="62" t="s">
        <v>452</v>
      </c>
      <c r="N485" s="62" t="s">
        <v>464</v>
      </c>
      <c r="O485" s="62" t="s">
        <v>1952</v>
      </c>
      <c r="P485" s="100" t="s">
        <v>1895</v>
      </c>
      <c r="Q485" s="5" t="s">
        <v>1953</v>
      </c>
      <c r="R485" s="34" t="s">
        <v>2031</v>
      </c>
      <c r="S485" s="5" t="s">
        <v>1954</v>
      </c>
      <c r="T485" s="5" t="s">
        <v>445</v>
      </c>
    </row>
    <row r="486" spans="2:20">
      <c r="B486" s="9"/>
      <c r="C486" s="5" t="s">
        <v>1857</v>
      </c>
      <c r="D486" s="5"/>
      <c r="F486" s="5" t="s">
        <v>295</v>
      </c>
      <c r="G486" s="34" t="s">
        <v>296</v>
      </c>
      <c r="H486" s="34"/>
      <c r="I486" s="306">
        <v>-30000</v>
      </c>
      <c r="J486" s="307">
        <v>-20.8333333333333</v>
      </c>
      <c r="K486" s="6">
        <v>1440</v>
      </c>
      <c r="L486" s="5" t="s">
        <v>1939</v>
      </c>
      <c r="M486" s="62" t="s">
        <v>452</v>
      </c>
      <c r="N486" s="62" t="s">
        <v>464</v>
      </c>
      <c r="O486" s="62" t="s">
        <v>1940</v>
      </c>
      <c r="P486" s="100" t="s">
        <v>1895</v>
      </c>
      <c r="Q486" s="5" t="s">
        <v>1941</v>
      </c>
      <c r="R486" s="34" t="s">
        <v>2032</v>
      </c>
      <c r="S486" s="5" t="s">
        <v>1943</v>
      </c>
      <c r="T486" s="5" t="s">
        <v>445</v>
      </c>
    </row>
    <row r="487" spans="2:20">
      <c r="B487" s="9"/>
      <c r="C487" s="5" t="s">
        <v>1857</v>
      </c>
      <c r="D487" s="5"/>
      <c r="F487" s="5" t="s">
        <v>295</v>
      </c>
      <c r="G487" s="34" t="s">
        <v>296</v>
      </c>
      <c r="H487" s="34"/>
      <c r="I487" s="306">
        <v>-700</v>
      </c>
      <c r="J487" s="307">
        <v>-0.48611111111111099</v>
      </c>
      <c r="K487" s="6">
        <v>1440</v>
      </c>
      <c r="L487" s="5" t="s">
        <v>1939</v>
      </c>
      <c r="M487" s="62" t="s">
        <v>452</v>
      </c>
      <c r="N487" s="62" t="s">
        <v>464</v>
      </c>
      <c r="O487" s="62" t="s">
        <v>1940</v>
      </c>
      <c r="P487" s="100" t="s">
        <v>1895</v>
      </c>
      <c r="Q487" s="5" t="s">
        <v>1941</v>
      </c>
      <c r="R487" s="34" t="s">
        <v>660</v>
      </c>
      <c r="S487" s="5" t="s">
        <v>1943</v>
      </c>
      <c r="T487" s="5" t="s">
        <v>445</v>
      </c>
    </row>
    <row r="488" spans="2:20">
      <c r="B488" s="9"/>
      <c r="C488" s="5" t="s">
        <v>1857</v>
      </c>
      <c r="D488" s="5"/>
      <c r="F488" s="5" t="s">
        <v>295</v>
      </c>
      <c r="G488" s="34" t="s">
        <v>296</v>
      </c>
      <c r="H488" s="34"/>
      <c r="I488" s="306">
        <v>-900</v>
      </c>
      <c r="J488" s="307">
        <v>-0.63157894736842102</v>
      </c>
      <c r="K488" s="6">
        <v>1425</v>
      </c>
      <c r="L488" s="5" t="s">
        <v>1955</v>
      </c>
      <c r="M488" s="62" t="s">
        <v>452</v>
      </c>
      <c r="N488" s="62" t="s">
        <v>464</v>
      </c>
      <c r="O488" s="62" t="s">
        <v>1956</v>
      </c>
      <c r="P488" s="100" t="s">
        <v>1895</v>
      </c>
      <c r="Q488" s="5" t="s">
        <v>1957</v>
      </c>
      <c r="R488" s="34" t="s">
        <v>637</v>
      </c>
      <c r="S488" s="5" t="s">
        <v>1959</v>
      </c>
      <c r="T488" s="5" t="s">
        <v>445</v>
      </c>
    </row>
    <row r="489" spans="2:20">
      <c r="B489" s="9"/>
      <c r="C489" s="5" t="s">
        <v>1857</v>
      </c>
      <c r="D489" s="5"/>
      <c r="F489" s="5" t="s">
        <v>295</v>
      </c>
      <c r="G489" s="34" t="s">
        <v>296</v>
      </c>
      <c r="H489" s="34"/>
      <c r="I489" s="306">
        <v>-40000</v>
      </c>
      <c r="J489" s="307">
        <v>-27.7777777777778</v>
      </c>
      <c r="K489" s="6">
        <v>1440</v>
      </c>
      <c r="L489" s="5" t="s">
        <v>1939</v>
      </c>
      <c r="M489" s="62" t="s">
        <v>452</v>
      </c>
      <c r="N489" s="62" t="s">
        <v>464</v>
      </c>
      <c r="O489" s="62" t="s">
        <v>1940</v>
      </c>
      <c r="P489" s="100" t="s">
        <v>1895</v>
      </c>
      <c r="Q489" s="5" t="s">
        <v>1941</v>
      </c>
      <c r="R489" s="34" t="s">
        <v>2033</v>
      </c>
      <c r="S489" s="5" t="s">
        <v>1943</v>
      </c>
      <c r="T489" s="5" t="s">
        <v>445</v>
      </c>
    </row>
    <row r="490" spans="2:20">
      <c r="B490" s="9"/>
      <c r="C490" s="5" t="s">
        <v>1857</v>
      </c>
      <c r="D490" s="5"/>
      <c r="F490" s="5" t="s">
        <v>295</v>
      </c>
      <c r="G490" s="34" t="s">
        <v>296</v>
      </c>
      <c r="H490" s="34"/>
      <c r="I490" s="306">
        <v>-100465</v>
      </c>
      <c r="J490" s="307">
        <v>-69.7673611111111</v>
      </c>
      <c r="K490" s="6">
        <v>1440</v>
      </c>
      <c r="L490" s="5" t="s">
        <v>1939</v>
      </c>
      <c r="M490" s="62" t="s">
        <v>452</v>
      </c>
      <c r="N490" s="62" t="s">
        <v>464</v>
      </c>
      <c r="O490" s="62" t="s">
        <v>1940</v>
      </c>
      <c r="P490" s="100" t="s">
        <v>1895</v>
      </c>
      <c r="Q490" s="5" t="s">
        <v>1941</v>
      </c>
      <c r="R490" s="34" t="s">
        <v>649</v>
      </c>
      <c r="S490" s="5" t="s">
        <v>1943</v>
      </c>
      <c r="T490" s="5" t="s">
        <v>445</v>
      </c>
    </row>
    <row r="491" spans="2:20">
      <c r="B491" s="9"/>
      <c r="C491" s="5" t="s">
        <v>1857</v>
      </c>
      <c r="D491" s="5"/>
      <c r="F491" s="5" t="s">
        <v>295</v>
      </c>
      <c r="G491" s="34" t="s">
        <v>296</v>
      </c>
      <c r="H491" s="34"/>
      <c r="I491" s="306">
        <v>-97152</v>
      </c>
      <c r="J491" s="307">
        <v>-68.658657243816293</v>
      </c>
      <c r="K491" s="6">
        <v>1415</v>
      </c>
      <c r="L491" s="5" t="s">
        <v>1902</v>
      </c>
      <c r="M491" s="62" t="s">
        <v>452</v>
      </c>
      <c r="N491" s="62" t="s">
        <v>464</v>
      </c>
      <c r="O491" s="62" t="s">
        <v>1945</v>
      </c>
      <c r="P491" s="100" t="s">
        <v>1895</v>
      </c>
      <c r="Q491" s="5" t="s">
        <v>1946</v>
      </c>
      <c r="R491" s="34" t="s">
        <v>2034</v>
      </c>
      <c r="S491" s="5" t="s">
        <v>1948</v>
      </c>
      <c r="T491" s="5" t="s">
        <v>445</v>
      </c>
    </row>
    <row r="492" spans="2:20">
      <c r="B492" s="9"/>
      <c r="C492" s="5" t="s">
        <v>1857</v>
      </c>
      <c r="D492" s="5"/>
      <c r="F492" s="5" t="s">
        <v>295</v>
      </c>
      <c r="G492" s="34" t="s">
        <v>296</v>
      </c>
      <c r="H492" s="34"/>
      <c r="I492" s="306">
        <v>-97152</v>
      </c>
      <c r="J492" s="307">
        <v>-68.658657243816293</v>
      </c>
      <c r="K492" s="6">
        <v>1415</v>
      </c>
      <c r="L492" s="5" t="s">
        <v>1902</v>
      </c>
      <c r="M492" s="62" t="s">
        <v>452</v>
      </c>
      <c r="N492" s="62" t="s">
        <v>464</v>
      </c>
      <c r="O492" s="62" t="s">
        <v>1949</v>
      </c>
      <c r="P492" s="100" t="s">
        <v>1895</v>
      </c>
      <c r="Q492" s="5" t="s">
        <v>1950</v>
      </c>
      <c r="R492" s="34" t="s">
        <v>2034</v>
      </c>
      <c r="S492" s="5" t="s">
        <v>1951</v>
      </c>
      <c r="T492" s="5" t="s">
        <v>445</v>
      </c>
    </row>
    <row r="493" spans="2:20">
      <c r="B493" s="9"/>
      <c r="C493" s="5" t="s">
        <v>1857</v>
      </c>
      <c r="D493" s="5"/>
      <c r="F493" s="5" t="s">
        <v>295</v>
      </c>
      <c r="G493" s="34" t="s">
        <v>296</v>
      </c>
      <c r="H493" s="34"/>
      <c r="I493" s="306">
        <v>97152</v>
      </c>
      <c r="J493" s="307">
        <v>68.658657243816293</v>
      </c>
      <c r="K493" s="6">
        <v>1415</v>
      </c>
      <c r="L493" s="5" t="s">
        <v>1902</v>
      </c>
      <c r="M493" s="62" t="s">
        <v>452</v>
      </c>
      <c r="N493" s="62" t="s">
        <v>464</v>
      </c>
      <c r="O493" s="62" t="s">
        <v>1952</v>
      </c>
      <c r="P493" s="100" t="s">
        <v>1895</v>
      </c>
      <c r="Q493" s="5" t="s">
        <v>1953</v>
      </c>
      <c r="R493" s="34" t="s">
        <v>2034</v>
      </c>
      <c r="S493" s="5" t="s">
        <v>1954</v>
      </c>
      <c r="T493" s="5" t="s">
        <v>445</v>
      </c>
    </row>
    <row r="494" spans="2:20">
      <c r="B494" s="9"/>
      <c r="C494" s="5" t="s">
        <v>1857</v>
      </c>
      <c r="D494" s="5"/>
      <c r="F494" s="5" t="s">
        <v>295</v>
      </c>
      <c r="G494" s="34" t="s">
        <v>296</v>
      </c>
      <c r="H494" s="34"/>
      <c r="I494" s="306">
        <v>-40000</v>
      </c>
      <c r="J494" s="307">
        <v>-27.7777777777778</v>
      </c>
      <c r="K494" s="6">
        <v>1440</v>
      </c>
      <c r="L494" s="5" t="s">
        <v>1939</v>
      </c>
      <c r="M494" s="62" t="s">
        <v>452</v>
      </c>
      <c r="N494" s="62" t="s">
        <v>464</v>
      </c>
      <c r="O494" s="62" t="s">
        <v>1940</v>
      </c>
      <c r="P494" s="100" t="s">
        <v>1895</v>
      </c>
      <c r="Q494" s="5" t="s">
        <v>1941</v>
      </c>
      <c r="R494" s="34" t="s">
        <v>2035</v>
      </c>
      <c r="S494" s="5" t="s">
        <v>1943</v>
      </c>
      <c r="T494" s="5" t="s">
        <v>445</v>
      </c>
    </row>
    <row r="495" spans="2:20">
      <c r="B495" s="9"/>
      <c r="C495" s="5" t="s">
        <v>1857</v>
      </c>
      <c r="D495" s="5"/>
      <c r="F495" s="5" t="s">
        <v>295</v>
      </c>
      <c r="G495" s="34" t="s">
        <v>296</v>
      </c>
      <c r="H495" s="34"/>
      <c r="I495" s="306">
        <v>-13000</v>
      </c>
      <c r="J495" s="307">
        <v>-9.1228070175438596</v>
      </c>
      <c r="K495" s="6">
        <v>1425</v>
      </c>
      <c r="L495" s="5" t="s">
        <v>1955</v>
      </c>
      <c r="M495" s="62" t="s">
        <v>452</v>
      </c>
      <c r="N495" s="62" t="s">
        <v>464</v>
      </c>
      <c r="O495" s="62" t="s">
        <v>1956</v>
      </c>
      <c r="P495" s="100" t="s">
        <v>1895</v>
      </c>
      <c r="Q495" s="5" t="s">
        <v>1957</v>
      </c>
      <c r="R495" s="34" t="s">
        <v>2041</v>
      </c>
      <c r="S495" s="5" t="s">
        <v>1959</v>
      </c>
      <c r="T495" s="5" t="s">
        <v>445</v>
      </c>
    </row>
    <row r="496" spans="2:20">
      <c r="B496" s="9"/>
      <c r="C496" s="5" t="s">
        <v>1857</v>
      </c>
      <c r="D496" s="5"/>
      <c r="F496" s="5" t="s">
        <v>295</v>
      </c>
      <c r="G496" s="34" t="s">
        <v>296</v>
      </c>
      <c r="H496" s="34"/>
      <c r="I496" s="306">
        <v>-49000</v>
      </c>
      <c r="J496" s="307">
        <v>-34.385964912280699</v>
      </c>
      <c r="K496" s="6">
        <v>1425</v>
      </c>
      <c r="L496" s="5" t="s">
        <v>1969</v>
      </c>
      <c r="M496" s="62" t="s">
        <v>452</v>
      </c>
      <c r="N496" s="62" t="s">
        <v>464</v>
      </c>
      <c r="O496" s="62" t="s">
        <v>1970</v>
      </c>
      <c r="P496" s="100" t="s">
        <v>1895</v>
      </c>
      <c r="Q496" s="5" t="s">
        <v>1971</v>
      </c>
      <c r="R496" s="34" t="s">
        <v>1671</v>
      </c>
      <c r="S496" s="5" t="s">
        <v>1972</v>
      </c>
      <c r="T496" s="5" t="s">
        <v>445</v>
      </c>
    </row>
    <row r="497" spans="2:20">
      <c r="B497" s="9"/>
      <c r="C497" s="5" t="s">
        <v>1857</v>
      </c>
      <c r="D497" s="5"/>
      <c r="F497" s="5" t="s">
        <v>295</v>
      </c>
      <c r="G497" s="34" t="s">
        <v>296</v>
      </c>
      <c r="H497" s="34"/>
      <c r="I497" s="306">
        <v>-20484</v>
      </c>
      <c r="J497" s="307">
        <v>-14.3747368421053</v>
      </c>
      <c r="K497" s="6">
        <v>1425</v>
      </c>
      <c r="L497" s="5" t="s">
        <v>1955</v>
      </c>
      <c r="M497" s="62" t="s">
        <v>452</v>
      </c>
      <c r="N497" s="62" t="s">
        <v>464</v>
      </c>
      <c r="O497" s="62" t="s">
        <v>1956</v>
      </c>
      <c r="P497" s="100" t="s">
        <v>1895</v>
      </c>
      <c r="Q497" s="5" t="s">
        <v>1957</v>
      </c>
      <c r="R497" s="34" t="s">
        <v>2042</v>
      </c>
      <c r="S497" s="5" t="s">
        <v>1959</v>
      </c>
      <c r="T497" s="5" t="s">
        <v>445</v>
      </c>
    </row>
    <row r="498" spans="2:20">
      <c r="B498" s="9"/>
      <c r="C498" s="5" t="s">
        <v>1857</v>
      </c>
      <c r="D498" s="5"/>
      <c r="F498" s="5" t="s">
        <v>295</v>
      </c>
      <c r="G498" s="34" t="s">
        <v>296</v>
      </c>
      <c r="H498" s="34"/>
      <c r="I498" s="306">
        <v>-19000</v>
      </c>
      <c r="J498" s="307">
        <v>-13.1944444444444</v>
      </c>
      <c r="K498" s="6">
        <v>1440</v>
      </c>
      <c r="L498" s="5" t="s">
        <v>1939</v>
      </c>
      <c r="M498" s="62" t="s">
        <v>452</v>
      </c>
      <c r="N498" s="62" t="s">
        <v>464</v>
      </c>
      <c r="O498" s="62" t="s">
        <v>1940</v>
      </c>
      <c r="P498" s="100" t="s">
        <v>1895</v>
      </c>
      <c r="Q498" s="5" t="s">
        <v>1941</v>
      </c>
      <c r="R498" s="34" t="s">
        <v>2043</v>
      </c>
      <c r="S498" s="5" t="s">
        <v>1943</v>
      </c>
      <c r="T498" s="5" t="s">
        <v>445</v>
      </c>
    </row>
    <row r="499" spans="2:20">
      <c r="B499" s="9"/>
      <c r="C499" s="5" t="s">
        <v>1857</v>
      </c>
      <c r="D499" s="5"/>
      <c r="F499" s="5" t="s">
        <v>295</v>
      </c>
      <c r="G499" s="34" t="s">
        <v>296</v>
      </c>
      <c r="H499" s="34"/>
      <c r="I499" s="306">
        <v>-81100</v>
      </c>
      <c r="J499" s="307">
        <v>-56.3194444444444</v>
      </c>
      <c r="K499" s="6">
        <v>1440</v>
      </c>
      <c r="L499" s="5" t="s">
        <v>1939</v>
      </c>
      <c r="M499" s="62" t="s">
        <v>452</v>
      </c>
      <c r="N499" s="62" t="s">
        <v>464</v>
      </c>
      <c r="O499" s="62" t="s">
        <v>1940</v>
      </c>
      <c r="P499" s="100" t="s">
        <v>1895</v>
      </c>
      <c r="Q499" s="5" t="s">
        <v>1941</v>
      </c>
      <c r="R499" s="34" t="s">
        <v>2044</v>
      </c>
      <c r="S499" s="5" t="s">
        <v>1943</v>
      </c>
      <c r="T499" s="5" t="s">
        <v>445</v>
      </c>
    </row>
    <row r="500" spans="2:20">
      <c r="B500" s="9"/>
      <c r="C500" s="5" t="s">
        <v>1857</v>
      </c>
      <c r="D500" s="5"/>
      <c r="F500" s="5" t="s">
        <v>295</v>
      </c>
      <c r="G500" s="34" t="s">
        <v>296</v>
      </c>
      <c r="H500" s="34"/>
      <c r="I500" s="306">
        <v>-124085</v>
      </c>
      <c r="J500" s="307">
        <v>-87.692579505300401</v>
      </c>
      <c r="K500" s="6">
        <v>1415</v>
      </c>
      <c r="L500" s="5" t="s">
        <v>1902</v>
      </c>
      <c r="M500" s="62" t="s">
        <v>452</v>
      </c>
      <c r="N500" s="62" t="s">
        <v>464</v>
      </c>
      <c r="O500" s="62" t="s">
        <v>1945</v>
      </c>
      <c r="P500" s="100" t="s">
        <v>1895</v>
      </c>
      <c r="Q500" s="5" t="s">
        <v>1946</v>
      </c>
      <c r="R500" s="34" t="s">
        <v>2048</v>
      </c>
      <c r="S500" s="5" t="s">
        <v>1948</v>
      </c>
      <c r="T500" s="5" t="s">
        <v>445</v>
      </c>
    </row>
    <row r="501" spans="2:20">
      <c r="B501" s="9"/>
      <c r="C501" s="5" t="s">
        <v>1857</v>
      </c>
      <c r="D501" s="5"/>
      <c r="F501" s="5" t="s">
        <v>295</v>
      </c>
      <c r="G501" s="34" t="s">
        <v>296</v>
      </c>
      <c r="H501" s="34"/>
      <c r="I501" s="306">
        <v>-124085</v>
      </c>
      <c r="J501" s="307">
        <v>-87.692579505300401</v>
      </c>
      <c r="K501" s="6">
        <v>1415</v>
      </c>
      <c r="L501" s="5" t="s">
        <v>1902</v>
      </c>
      <c r="M501" s="62" t="s">
        <v>452</v>
      </c>
      <c r="N501" s="62" t="s">
        <v>464</v>
      </c>
      <c r="O501" s="62" t="s">
        <v>1949</v>
      </c>
      <c r="P501" s="100" t="s">
        <v>1895</v>
      </c>
      <c r="Q501" s="5" t="s">
        <v>1950</v>
      </c>
      <c r="R501" s="34" t="s">
        <v>2048</v>
      </c>
      <c r="S501" s="5" t="s">
        <v>1951</v>
      </c>
      <c r="T501" s="5" t="s">
        <v>445</v>
      </c>
    </row>
    <row r="502" spans="2:20">
      <c r="B502" s="9"/>
      <c r="C502" s="5" t="s">
        <v>1857</v>
      </c>
      <c r="D502" s="5"/>
      <c r="F502" s="5" t="s">
        <v>295</v>
      </c>
      <c r="G502" s="34" t="s">
        <v>296</v>
      </c>
      <c r="H502" s="34"/>
      <c r="I502" s="306">
        <v>124085</v>
      </c>
      <c r="J502" s="307">
        <v>87.692579505300401</v>
      </c>
      <c r="K502" s="6">
        <v>1415</v>
      </c>
      <c r="L502" s="5" t="s">
        <v>1902</v>
      </c>
      <c r="M502" s="62" t="s">
        <v>452</v>
      </c>
      <c r="N502" s="62" t="s">
        <v>464</v>
      </c>
      <c r="O502" s="62" t="s">
        <v>1952</v>
      </c>
      <c r="P502" s="100" t="s">
        <v>1895</v>
      </c>
      <c r="Q502" s="5" t="s">
        <v>1953</v>
      </c>
      <c r="R502" s="34" t="s">
        <v>2048</v>
      </c>
      <c r="S502" s="5" t="s">
        <v>1954</v>
      </c>
      <c r="T502" s="5" t="s">
        <v>445</v>
      </c>
    </row>
    <row r="503" spans="2:20">
      <c r="B503" s="9"/>
      <c r="C503" s="5" t="s">
        <v>1857</v>
      </c>
      <c r="D503" s="5"/>
      <c r="F503" s="5" t="s">
        <v>295</v>
      </c>
      <c r="G503" s="34" t="s">
        <v>296</v>
      </c>
      <c r="H503" s="34"/>
      <c r="I503" s="306">
        <v>-9750</v>
      </c>
      <c r="J503" s="307">
        <v>-6.8421052631578902</v>
      </c>
      <c r="K503" s="6">
        <v>1425</v>
      </c>
      <c r="L503" s="5" t="s">
        <v>1955</v>
      </c>
      <c r="M503" s="62" t="s">
        <v>452</v>
      </c>
      <c r="N503" s="62" t="s">
        <v>464</v>
      </c>
      <c r="O503" s="62" t="s">
        <v>1956</v>
      </c>
      <c r="P503" s="100" t="s">
        <v>1895</v>
      </c>
      <c r="Q503" s="5" t="s">
        <v>1957</v>
      </c>
      <c r="R503" s="34" t="s">
        <v>2049</v>
      </c>
      <c r="S503" s="5" t="s">
        <v>1959</v>
      </c>
      <c r="T503" s="5" t="s">
        <v>445</v>
      </c>
    </row>
    <row r="504" spans="2:20">
      <c r="B504" s="9"/>
      <c r="C504" s="5" t="s">
        <v>1857</v>
      </c>
      <c r="D504" s="5"/>
      <c r="F504" s="5" t="s">
        <v>295</v>
      </c>
      <c r="G504" s="34" t="s">
        <v>296</v>
      </c>
      <c r="H504" s="34"/>
      <c r="I504" s="306">
        <v>-23900</v>
      </c>
      <c r="J504" s="307">
        <v>-16.5972222222222</v>
      </c>
      <c r="K504" s="6">
        <v>1440</v>
      </c>
      <c r="L504" s="5" t="s">
        <v>1939</v>
      </c>
      <c r="M504" s="62" t="s">
        <v>452</v>
      </c>
      <c r="N504" s="62" t="s">
        <v>464</v>
      </c>
      <c r="O504" s="62" t="s">
        <v>1940</v>
      </c>
      <c r="P504" s="100" t="s">
        <v>1895</v>
      </c>
      <c r="Q504" s="5" t="s">
        <v>1941</v>
      </c>
      <c r="R504" s="34" t="s">
        <v>634</v>
      </c>
      <c r="S504" s="5" t="s">
        <v>1943</v>
      </c>
      <c r="T504" s="5" t="s">
        <v>445</v>
      </c>
    </row>
    <row r="505" spans="2:20">
      <c r="B505" s="9"/>
      <c r="C505" s="5" t="s">
        <v>1857</v>
      </c>
      <c r="D505" s="5"/>
      <c r="F505" s="5" t="s">
        <v>295</v>
      </c>
      <c r="G505" s="34" t="s">
        <v>296</v>
      </c>
      <c r="H505" s="34"/>
      <c r="I505" s="306">
        <v>-32500</v>
      </c>
      <c r="J505" s="307">
        <v>-22.8070175438597</v>
      </c>
      <c r="K505" s="6">
        <v>1425</v>
      </c>
      <c r="L505" s="5" t="s">
        <v>1955</v>
      </c>
      <c r="M505" s="62" t="s">
        <v>452</v>
      </c>
      <c r="N505" s="62" t="s">
        <v>464</v>
      </c>
      <c r="O505" s="62" t="s">
        <v>1956</v>
      </c>
      <c r="P505" s="100" t="s">
        <v>1895</v>
      </c>
      <c r="Q505" s="5" t="s">
        <v>1957</v>
      </c>
      <c r="R505" s="34" t="s">
        <v>634</v>
      </c>
      <c r="S505" s="5" t="s">
        <v>1959</v>
      </c>
      <c r="T505" s="5" t="s">
        <v>445</v>
      </c>
    </row>
    <row r="506" spans="2:20">
      <c r="B506" s="9"/>
      <c r="C506" s="5" t="s">
        <v>1857</v>
      </c>
      <c r="D506" s="5"/>
      <c r="F506" s="5" t="s">
        <v>295</v>
      </c>
      <c r="G506" s="34" t="s">
        <v>296</v>
      </c>
      <c r="H506" s="34"/>
      <c r="I506" s="306">
        <v>-178860</v>
      </c>
      <c r="J506" s="307">
        <v>-126.402826855124</v>
      </c>
      <c r="K506" s="6">
        <v>1415</v>
      </c>
      <c r="L506" s="5" t="s">
        <v>1902</v>
      </c>
      <c r="M506" s="62" t="s">
        <v>452</v>
      </c>
      <c r="N506" s="62" t="s">
        <v>464</v>
      </c>
      <c r="O506" s="62" t="s">
        <v>1945</v>
      </c>
      <c r="P506" s="100" t="s">
        <v>1895</v>
      </c>
      <c r="Q506" s="5" t="s">
        <v>1946</v>
      </c>
      <c r="R506" s="34" t="s">
        <v>634</v>
      </c>
      <c r="S506" s="5" t="s">
        <v>1948</v>
      </c>
      <c r="T506" s="5" t="s">
        <v>445</v>
      </c>
    </row>
    <row r="507" spans="2:20">
      <c r="B507" s="9"/>
      <c r="C507" s="5" t="s">
        <v>1857</v>
      </c>
      <c r="D507" s="5"/>
      <c r="F507" s="5" t="s">
        <v>295</v>
      </c>
      <c r="G507" s="34" t="s">
        <v>296</v>
      </c>
      <c r="H507" s="34"/>
      <c r="I507" s="306">
        <v>-45230</v>
      </c>
      <c r="J507" s="307">
        <v>-31.964664310954099</v>
      </c>
      <c r="K507" s="6">
        <v>1415</v>
      </c>
      <c r="L507" s="5" t="s">
        <v>1902</v>
      </c>
      <c r="M507" s="62" t="s">
        <v>452</v>
      </c>
      <c r="N507" s="62" t="s">
        <v>464</v>
      </c>
      <c r="O507" s="62" t="s">
        <v>1945</v>
      </c>
      <c r="P507" s="100" t="s">
        <v>1895</v>
      </c>
      <c r="Q507" s="5" t="s">
        <v>1946</v>
      </c>
      <c r="R507" s="34" t="s">
        <v>634</v>
      </c>
      <c r="S507" s="5" t="s">
        <v>1948</v>
      </c>
      <c r="T507" s="5" t="s">
        <v>445</v>
      </c>
    </row>
    <row r="508" spans="2:20">
      <c r="B508" s="9"/>
      <c r="C508" s="5" t="s">
        <v>1857</v>
      </c>
      <c r="D508" s="5"/>
      <c r="F508" s="5" t="s">
        <v>295</v>
      </c>
      <c r="G508" s="34" t="s">
        <v>296</v>
      </c>
      <c r="H508" s="34"/>
      <c r="I508" s="306">
        <v>-3000</v>
      </c>
      <c r="J508" s="307">
        <v>-2.1201413427561802</v>
      </c>
      <c r="K508" s="6">
        <v>1415</v>
      </c>
      <c r="L508" s="5" t="s">
        <v>1902</v>
      </c>
      <c r="M508" s="62" t="s">
        <v>452</v>
      </c>
      <c r="N508" s="62" t="s">
        <v>464</v>
      </c>
      <c r="O508" s="62" t="s">
        <v>1945</v>
      </c>
      <c r="P508" s="100" t="s">
        <v>1895</v>
      </c>
      <c r="Q508" s="5" t="s">
        <v>1946</v>
      </c>
      <c r="R508" s="34" t="s">
        <v>634</v>
      </c>
      <c r="S508" s="5" t="s">
        <v>1948</v>
      </c>
      <c r="T508" s="5" t="s">
        <v>445</v>
      </c>
    </row>
    <row r="509" spans="2:20">
      <c r="B509" s="9"/>
      <c r="C509" s="5" t="s">
        <v>1857</v>
      </c>
      <c r="D509" s="5"/>
      <c r="F509" s="5" t="s">
        <v>295</v>
      </c>
      <c r="G509" s="34" t="s">
        <v>296</v>
      </c>
      <c r="H509" s="34"/>
      <c r="I509" s="306">
        <v>-178860</v>
      </c>
      <c r="J509" s="307">
        <v>-126.402826855124</v>
      </c>
      <c r="K509" s="6">
        <v>1415</v>
      </c>
      <c r="L509" s="5" t="s">
        <v>1902</v>
      </c>
      <c r="M509" s="62" t="s">
        <v>452</v>
      </c>
      <c r="N509" s="62" t="s">
        <v>464</v>
      </c>
      <c r="O509" s="62" t="s">
        <v>1949</v>
      </c>
      <c r="P509" s="100" t="s">
        <v>1895</v>
      </c>
      <c r="Q509" s="5" t="s">
        <v>1950</v>
      </c>
      <c r="R509" s="34" t="s">
        <v>634</v>
      </c>
      <c r="S509" s="5" t="s">
        <v>1951</v>
      </c>
      <c r="T509" s="5" t="s">
        <v>445</v>
      </c>
    </row>
    <row r="510" spans="2:20">
      <c r="B510" s="9"/>
      <c r="C510" s="5" t="s">
        <v>1857</v>
      </c>
      <c r="D510" s="5"/>
      <c r="F510" s="5" t="s">
        <v>295</v>
      </c>
      <c r="G510" s="34" t="s">
        <v>296</v>
      </c>
      <c r="H510" s="34"/>
      <c r="I510" s="306">
        <v>-3000</v>
      </c>
      <c r="J510" s="307">
        <v>-2.1201413427561802</v>
      </c>
      <c r="K510" s="6">
        <v>1415</v>
      </c>
      <c r="L510" s="5" t="s">
        <v>1902</v>
      </c>
      <c r="M510" s="62" t="s">
        <v>452</v>
      </c>
      <c r="N510" s="62" t="s">
        <v>464</v>
      </c>
      <c r="O510" s="62" t="s">
        <v>1949</v>
      </c>
      <c r="P510" s="100" t="s">
        <v>1895</v>
      </c>
      <c r="Q510" s="5" t="s">
        <v>1950</v>
      </c>
      <c r="R510" s="34" t="s">
        <v>634</v>
      </c>
      <c r="S510" s="5" t="s">
        <v>1951</v>
      </c>
      <c r="T510" s="5" t="s">
        <v>445</v>
      </c>
    </row>
    <row r="511" spans="2:20">
      <c r="B511" s="9"/>
      <c r="C511" s="5" t="s">
        <v>1857</v>
      </c>
      <c r="D511" s="5"/>
      <c r="F511" s="5" t="s">
        <v>295</v>
      </c>
      <c r="G511" s="34" t="s">
        <v>296</v>
      </c>
      <c r="H511" s="34"/>
      <c r="I511" s="306">
        <v>-45230</v>
      </c>
      <c r="J511" s="307">
        <v>-31.964664310954099</v>
      </c>
      <c r="K511" s="6">
        <v>1415</v>
      </c>
      <c r="L511" s="5" t="s">
        <v>1902</v>
      </c>
      <c r="M511" s="62" t="s">
        <v>452</v>
      </c>
      <c r="N511" s="62" t="s">
        <v>464</v>
      </c>
      <c r="O511" s="62" t="s">
        <v>1949</v>
      </c>
      <c r="P511" s="100" t="s">
        <v>1895</v>
      </c>
      <c r="Q511" s="5" t="s">
        <v>1950</v>
      </c>
      <c r="R511" s="34" t="s">
        <v>634</v>
      </c>
      <c r="S511" s="5" t="s">
        <v>1951</v>
      </c>
      <c r="T511" s="5" t="s">
        <v>445</v>
      </c>
    </row>
    <row r="512" spans="2:20">
      <c r="B512" s="9"/>
      <c r="C512" s="5" t="s">
        <v>1857</v>
      </c>
      <c r="D512" s="5"/>
      <c r="F512" s="5" t="s">
        <v>295</v>
      </c>
      <c r="G512" s="34" t="s">
        <v>296</v>
      </c>
      <c r="H512" s="34"/>
      <c r="I512" s="306">
        <v>3000</v>
      </c>
      <c r="J512" s="307">
        <v>2.1201413427561802</v>
      </c>
      <c r="K512" s="6">
        <v>1415</v>
      </c>
      <c r="L512" s="5" t="s">
        <v>1902</v>
      </c>
      <c r="M512" s="62" t="s">
        <v>452</v>
      </c>
      <c r="N512" s="62" t="s">
        <v>464</v>
      </c>
      <c r="O512" s="62" t="s">
        <v>1952</v>
      </c>
      <c r="P512" s="100" t="s">
        <v>1895</v>
      </c>
      <c r="Q512" s="5" t="s">
        <v>1953</v>
      </c>
      <c r="R512" s="34" t="s">
        <v>634</v>
      </c>
      <c r="S512" s="5" t="s">
        <v>1954</v>
      </c>
      <c r="T512" s="5" t="s">
        <v>445</v>
      </c>
    </row>
    <row r="513" spans="2:20">
      <c r="B513" s="9"/>
      <c r="C513" s="5" t="s">
        <v>1857</v>
      </c>
      <c r="D513" s="5"/>
      <c r="F513" s="5" t="s">
        <v>295</v>
      </c>
      <c r="G513" s="34" t="s">
        <v>296</v>
      </c>
      <c r="H513" s="34"/>
      <c r="I513" s="306">
        <v>45230</v>
      </c>
      <c r="J513" s="307">
        <v>31.964664310954099</v>
      </c>
      <c r="K513" s="6">
        <v>1415</v>
      </c>
      <c r="L513" s="5" t="s">
        <v>1902</v>
      </c>
      <c r="M513" s="62" t="s">
        <v>452</v>
      </c>
      <c r="N513" s="62" t="s">
        <v>464</v>
      </c>
      <c r="O513" s="62" t="s">
        <v>1952</v>
      </c>
      <c r="P513" s="100" t="s">
        <v>1895</v>
      </c>
      <c r="Q513" s="5" t="s">
        <v>1953</v>
      </c>
      <c r="R513" s="34" t="s">
        <v>634</v>
      </c>
      <c r="S513" s="5" t="s">
        <v>1954</v>
      </c>
      <c r="T513" s="5" t="s">
        <v>445</v>
      </c>
    </row>
    <row r="514" spans="2:20">
      <c r="B514" s="9"/>
      <c r="C514" s="5" t="s">
        <v>1857</v>
      </c>
      <c r="D514" s="5"/>
      <c r="F514" s="5" t="s">
        <v>295</v>
      </c>
      <c r="G514" s="34" t="s">
        <v>296</v>
      </c>
      <c r="H514" s="34"/>
      <c r="I514" s="306">
        <v>178860</v>
      </c>
      <c r="J514" s="307">
        <v>126.402826855124</v>
      </c>
      <c r="K514" s="6">
        <v>1415</v>
      </c>
      <c r="L514" s="5" t="s">
        <v>1902</v>
      </c>
      <c r="M514" s="62" t="s">
        <v>452</v>
      </c>
      <c r="N514" s="62" t="s">
        <v>464</v>
      </c>
      <c r="O514" s="62" t="s">
        <v>1952</v>
      </c>
      <c r="P514" s="100" t="s">
        <v>1895</v>
      </c>
      <c r="Q514" s="5" t="s">
        <v>1953</v>
      </c>
      <c r="R514" s="34" t="s">
        <v>634</v>
      </c>
      <c r="S514" s="5" t="s">
        <v>1954</v>
      </c>
      <c r="T514" s="5" t="s">
        <v>445</v>
      </c>
    </row>
    <row r="515" spans="2:20">
      <c r="B515" s="9"/>
      <c r="C515" s="5" t="s">
        <v>1857</v>
      </c>
      <c r="D515" s="5"/>
      <c r="F515" s="5" t="s">
        <v>295</v>
      </c>
      <c r="G515" s="34" t="s">
        <v>296</v>
      </c>
      <c r="H515" s="34"/>
      <c r="I515" s="306">
        <v>-39500</v>
      </c>
      <c r="J515" s="307">
        <v>-27.4305555555556</v>
      </c>
      <c r="K515" s="6">
        <v>1440</v>
      </c>
      <c r="L515" s="5" t="s">
        <v>1939</v>
      </c>
      <c r="M515" s="62" t="s">
        <v>452</v>
      </c>
      <c r="N515" s="62" t="s">
        <v>464</v>
      </c>
      <c r="O515" s="62" t="s">
        <v>1940</v>
      </c>
      <c r="P515" s="100" t="s">
        <v>1895</v>
      </c>
      <c r="Q515" s="5" t="s">
        <v>1941</v>
      </c>
      <c r="R515" s="34" t="s">
        <v>2050</v>
      </c>
      <c r="S515" s="5" t="s">
        <v>1943</v>
      </c>
      <c r="T515" s="5" t="s">
        <v>445</v>
      </c>
    </row>
    <row r="516" spans="2:20">
      <c r="B516" s="9"/>
      <c r="C516" s="5" t="s">
        <v>1857</v>
      </c>
      <c r="D516" s="5"/>
      <c r="F516" s="5" t="s">
        <v>295</v>
      </c>
      <c r="G516" s="34" t="s">
        <v>296</v>
      </c>
      <c r="H516" s="34"/>
      <c r="I516" s="306">
        <v>-215392</v>
      </c>
      <c r="J516" s="307">
        <v>-151.15228070175399</v>
      </c>
      <c r="K516" s="6">
        <v>1425</v>
      </c>
      <c r="L516" s="5" t="s">
        <v>1955</v>
      </c>
      <c r="M516" s="62" t="s">
        <v>452</v>
      </c>
      <c r="N516" s="62" t="s">
        <v>464</v>
      </c>
      <c r="O516" s="62" t="s">
        <v>1956</v>
      </c>
      <c r="P516" s="100" t="s">
        <v>1895</v>
      </c>
      <c r="Q516" s="5" t="s">
        <v>1957</v>
      </c>
      <c r="R516" s="34" t="s">
        <v>760</v>
      </c>
      <c r="S516" s="5" t="s">
        <v>1959</v>
      </c>
      <c r="T516" s="5" t="s">
        <v>445</v>
      </c>
    </row>
    <row r="517" spans="2:20">
      <c r="B517" s="9"/>
      <c r="C517" s="5" t="s">
        <v>1857</v>
      </c>
      <c r="D517" s="5"/>
      <c r="F517" s="5" t="s">
        <v>295</v>
      </c>
      <c r="G517" s="34" t="s">
        <v>296</v>
      </c>
      <c r="H517" s="34"/>
      <c r="I517" s="306">
        <v>-56550</v>
      </c>
      <c r="J517" s="307">
        <v>-39.2708333333333</v>
      </c>
      <c r="K517" s="6">
        <v>1440</v>
      </c>
      <c r="L517" s="5" t="s">
        <v>1939</v>
      </c>
      <c r="M517" s="62" t="s">
        <v>452</v>
      </c>
      <c r="N517" s="62" t="s">
        <v>464</v>
      </c>
      <c r="O517" s="62" t="s">
        <v>1940</v>
      </c>
      <c r="P517" s="100" t="s">
        <v>1895</v>
      </c>
      <c r="Q517" s="5" t="s">
        <v>1941</v>
      </c>
      <c r="R517" s="34" t="s">
        <v>1341</v>
      </c>
      <c r="S517" s="5" t="s">
        <v>1943</v>
      </c>
      <c r="T517" s="5" t="s">
        <v>445</v>
      </c>
    </row>
    <row r="518" spans="2:20">
      <c r="B518" s="9"/>
      <c r="C518" s="5" t="s">
        <v>1857</v>
      </c>
      <c r="D518" s="5"/>
      <c r="F518" s="5" t="s">
        <v>295</v>
      </c>
      <c r="G518" s="34" t="s">
        <v>296</v>
      </c>
      <c r="H518" s="34"/>
      <c r="I518" s="306">
        <v>-45000</v>
      </c>
      <c r="J518" s="307">
        <v>-31.25</v>
      </c>
      <c r="K518" s="6">
        <v>1440</v>
      </c>
      <c r="L518" s="5" t="s">
        <v>1939</v>
      </c>
      <c r="M518" s="62" t="s">
        <v>452</v>
      </c>
      <c r="N518" s="62" t="s">
        <v>464</v>
      </c>
      <c r="O518" s="62" t="s">
        <v>1940</v>
      </c>
      <c r="P518" s="100" t="s">
        <v>1895</v>
      </c>
      <c r="Q518" s="5" t="s">
        <v>1941</v>
      </c>
      <c r="R518" s="34" t="s">
        <v>2051</v>
      </c>
      <c r="S518" s="5" t="s">
        <v>1943</v>
      </c>
      <c r="T518" s="5" t="s">
        <v>445</v>
      </c>
    </row>
    <row r="519" spans="2:20">
      <c r="B519" s="9"/>
      <c r="C519" s="5" t="s">
        <v>1857</v>
      </c>
      <c r="D519" s="5"/>
      <c r="F519" s="5" t="s">
        <v>295</v>
      </c>
      <c r="G519" s="34" t="s">
        <v>296</v>
      </c>
      <c r="H519" s="34"/>
      <c r="I519" s="306">
        <v>-9300</v>
      </c>
      <c r="J519" s="307">
        <v>-6.5724381625441701</v>
      </c>
      <c r="K519" s="6">
        <v>1415</v>
      </c>
      <c r="L519" s="5" t="s">
        <v>1902</v>
      </c>
      <c r="M519" s="62" t="s">
        <v>452</v>
      </c>
      <c r="N519" s="62" t="s">
        <v>464</v>
      </c>
      <c r="O519" s="62" t="s">
        <v>1945</v>
      </c>
      <c r="P519" s="100" t="s">
        <v>1895</v>
      </c>
      <c r="Q519" s="5" t="s">
        <v>1946</v>
      </c>
      <c r="R519" s="34" t="s">
        <v>2053</v>
      </c>
      <c r="S519" s="5" t="s">
        <v>1948</v>
      </c>
      <c r="T519" s="5" t="s">
        <v>445</v>
      </c>
    </row>
    <row r="520" spans="2:20">
      <c r="B520" s="9"/>
      <c r="C520" s="5" t="s">
        <v>1857</v>
      </c>
      <c r="D520" s="5"/>
      <c r="F520" s="5" t="s">
        <v>295</v>
      </c>
      <c r="G520" s="34" t="s">
        <v>296</v>
      </c>
      <c r="H520" s="34"/>
      <c r="I520" s="306">
        <v>-9300</v>
      </c>
      <c r="J520" s="307">
        <v>-6.5724381625441701</v>
      </c>
      <c r="K520" s="6">
        <v>1415</v>
      </c>
      <c r="L520" s="5" t="s">
        <v>1902</v>
      </c>
      <c r="M520" s="62" t="s">
        <v>452</v>
      </c>
      <c r="N520" s="62" t="s">
        <v>464</v>
      </c>
      <c r="O520" s="62" t="s">
        <v>1949</v>
      </c>
      <c r="P520" s="100" t="s">
        <v>1895</v>
      </c>
      <c r="Q520" s="5" t="s">
        <v>1950</v>
      </c>
      <c r="R520" s="34" t="s">
        <v>2053</v>
      </c>
      <c r="S520" s="5" t="s">
        <v>1951</v>
      </c>
      <c r="T520" s="5" t="s">
        <v>445</v>
      </c>
    </row>
    <row r="521" spans="2:20">
      <c r="B521" s="9"/>
      <c r="C521" s="5" t="s">
        <v>1857</v>
      </c>
      <c r="D521" s="5"/>
      <c r="F521" s="5" t="s">
        <v>295</v>
      </c>
      <c r="G521" s="34" t="s">
        <v>296</v>
      </c>
      <c r="H521" s="34"/>
      <c r="I521" s="306">
        <v>9300</v>
      </c>
      <c r="J521" s="307">
        <v>6.5724381625441701</v>
      </c>
      <c r="K521" s="6">
        <v>1415</v>
      </c>
      <c r="L521" s="5" t="s">
        <v>1902</v>
      </c>
      <c r="M521" s="62" t="s">
        <v>452</v>
      </c>
      <c r="N521" s="62" t="s">
        <v>464</v>
      </c>
      <c r="O521" s="62" t="s">
        <v>1952</v>
      </c>
      <c r="P521" s="100" t="s">
        <v>1895</v>
      </c>
      <c r="Q521" s="5" t="s">
        <v>1953</v>
      </c>
      <c r="R521" s="34" t="s">
        <v>2053</v>
      </c>
      <c r="S521" s="5" t="s">
        <v>1954</v>
      </c>
      <c r="T521" s="5" t="s">
        <v>445</v>
      </c>
    </row>
    <row r="522" spans="2:20">
      <c r="B522" s="9"/>
      <c r="C522" s="5" t="s">
        <v>1857</v>
      </c>
      <c r="D522" s="5"/>
      <c r="F522" s="5" t="s">
        <v>295</v>
      </c>
      <c r="G522" s="34" t="s">
        <v>296</v>
      </c>
      <c r="H522" s="34"/>
      <c r="I522" s="306">
        <v>-4400</v>
      </c>
      <c r="J522" s="307">
        <v>-3.1095406360424001</v>
      </c>
      <c r="K522" s="6">
        <v>1415</v>
      </c>
      <c r="L522" s="5" t="s">
        <v>1902</v>
      </c>
      <c r="M522" s="62" t="s">
        <v>452</v>
      </c>
      <c r="N522" s="62" t="s">
        <v>464</v>
      </c>
      <c r="O522" s="62" t="s">
        <v>1945</v>
      </c>
      <c r="P522" s="100" t="s">
        <v>1895</v>
      </c>
      <c r="Q522" s="5" t="s">
        <v>1946</v>
      </c>
      <c r="R522" s="34" t="s">
        <v>2054</v>
      </c>
      <c r="S522" s="5" t="s">
        <v>1948</v>
      </c>
      <c r="T522" s="5" t="s">
        <v>445</v>
      </c>
    </row>
    <row r="523" spans="2:20">
      <c r="B523" s="9"/>
      <c r="C523" s="5" t="s">
        <v>1857</v>
      </c>
      <c r="D523" s="5"/>
      <c r="F523" s="5" t="s">
        <v>295</v>
      </c>
      <c r="G523" s="34" t="s">
        <v>296</v>
      </c>
      <c r="H523" s="34"/>
      <c r="I523" s="306">
        <v>-4400</v>
      </c>
      <c r="J523" s="307">
        <v>-3.1095406360424001</v>
      </c>
      <c r="K523" s="6">
        <v>1415</v>
      </c>
      <c r="L523" s="5" t="s">
        <v>1902</v>
      </c>
      <c r="M523" s="62" t="s">
        <v>452</v>
      </c>
      <c r="N523" s="62" t="s">
        <v>464</v>
      </c>
      <c r="O523" s="62" t="s">
        <v>1949</v>
      </c>
      <c r="P523" s="100" t="s">
        <v>1895</v>
      </c>
      <c r="Q523" s="5" t="s">
        <v>1950</v>
      </c>
      <c r="R523" s="34" t="s">
        <v>2054</v>
      </c>
      <c r="S523" s="5" t="s">
        <v>1951</v>
      </c>
      <c r="T523" s="5" t="s">
        <v>445</v>
      </c>
    </row>
    <row r="524" spans="2:20">
      <c r="B524" s="9"/>
      <c r="C524" s="5" t="s">
        <v>1857</v>
      </c>
      <c r="D524" s="5"/>
      <c r="F524" s="5" t="s">
        <v>295</v>
      </c>
      <c r="G524" s="34" t="s">
        <v>296</v>
      </c>
      <c r="H524" s="34"/>
      <c r="I524" s="306">
        <v>4400</v>
      </c>
      <c r="J524" s="307">
        <v>3.1095406360424001</v>
      </c>
      <c r="K524" s="6">
        <v>1415</v>
      </c>
      <c r="L524" s="5" t="s">
        <v>1902</v>
      </c>
      <c r="M524" s="62" t="s">
        <v>452</v>
      </c>
      <c r="N524" s="62" t="s">
        <v>464</v>
      </c>
      <c r="O524" s="62" t="s">
        <v>1952</v>
      </c>
      <c r="P524" s="100" t="s">
        <v>1895</v>
      </c>
      <c r="Q524" s="5" t="s">
        <v>1953</v>
      </c>
      <c r="R524" s="34" t="s">
        <v>2054</v>
      </c>
      <c r="S524" s="5" t="s">
        <v>1954</v>
      </c>
      <c r="T524" s="5" t="s">
        <v>445</v>
      </c>
    </row>
    <row r="525" spans="2:20">
      <c r="B525" s="9"/>
      <c r="C525" s="5" t="s">
        <v>1857</v>
      </c>
      <c r="D525" s="5"/>
      <c r="F525" s="5" t="s">
        <v>295</v>
      </c>
      <c r="G525" s="34" t="s">
        <v>296</v>
      </c>
      <c r="H525" s="34"/>
      <c r="I525" s="306">
        <v>-62500</v>
      </c>
      <c r="J525" s="307">
        <v>-43.4027777777778</v>
      </c>
      <c r="K525" s="6">
        <v>1440</v>
      </c>
      <c r="L525" s="5" t="s">
        <v>1939</v>
      </c>
      <c r="M525" s="62" t="s">
        <v>452</v>
      </c>
      <c r="N525" s="62" t="s">
        <v>464</v>
      </c>
      <c r="O525" s="62" t="s">
        <v>1940</v>
      </c>
      <c r="P525" s="100" t="s">
        <v>1895</v>
      </c>
      <c r="Q525" s="5" t="s">
        <v>1941</v>
      </c>
      <c r="R525" s="34" t="s">
        <v>2055</v>
      </c>
      <c r="S525" s="5" t="s">
        <v>1943</v>
      </c>
      <c r="T525" s="5" t="s">
        <v>445</v>
      </c>
    </row>
    <row r="526" spans="2:20">
      <c r="B526" s="9"/>
      <c r="C526" s="5" t="s">
        <v>1857</v>
      </c>
      <c r="D526" s="5"/>
      <c r="F526" s="5" t="s">
        <v>295</v>
      </c>
      <c r="G526" s="34" t="s">
        <v>296</v>
      </c>
      <c r="H526" s="34"/>
      <c r="I526" s="306">
        <v>-62500</v>
      </c>
      <c r="J526" s="307">
        <v>-44.169611307420503</v>
      </c>
      <c r="K526" s="6">
        <v>1415</v>
      </c>
      <c r="L526" s="5" t="s">
        <v>1902</v>
      </c>
      <c r="M526" s="62" t="s">
        <v>452</v>
      </c>
      <c r="N526" s="62" t="s">
        <v>464</v>
      </c>
      <c r="O526" s="62" t="s">
        <v>1945</v>
      </c>
      <c r="P526" s="100" t="s">
        <v>1895</v>
      </c>
      <c r="Q526" s="5" t="s">
        <v>1946</v>
      </c>
      <c r="R526" s="34" t="s">
        <v>2055</v>
      </c>
      <c r="S526" s="5" t="s">
        <v>1948</v>
      </c>
      <c r="T526" s="5" t="s">
        <v>445</v>
      </c>
    </row>
    <row r="527" spans="2:20">
      <c r="B527" s="9"/>
      <c r="C527" s="5" t="s">
        <v>1857</v>
      </c>
      <c r="D527" s="5"/>
      <c r="F527" s="5" t="s">
        <v>295</v>
      </c>
      <c r="G527" s="34" t="s">
        <v>296</v>
      </c>
      <c r="H527" s="34"/>
      <c r="I527" s="306">
        <v>-62500</v>
      </c>
      <c r="J527" s="307">
        <v>-44.169611307420503</v>
      </c>
      <c r="K527" s="6">
        <v>1415</v>
      </c>
      <c r="L527" s="5" t="s">
        <v>1902</v>
      </c>
      <c r="M527" s="62" t="s">
        <v>452</v>
      </c>
      <c r="N527" s="62" t="s">
        <v>464</v>
      </c>
      <c r="O527" s="62" t="s">
        <v>1949</v>
      </c>
      <c r="P527" s="100" t="s">
        <v>1895</v>
      </c>
      <c r="Q527" s="5" t="s">
        <v>1950</v>
      </c>
      <c r="R527" s="34" t="s">
        <v>2055</v>
      </c>
      <c r="S527" s="5" t="s">
        <v>1951</v>
      </c>
      <c r="T527" s="5" t="s">
        <v>445</v>
      </c>
    </row>
    <row r="528" spans="2:20">
      <c r="B528" s="9"/>
      <c r="C528" s="5" t="s">
        <v>1857</v>
      </c>
      <c r="D528" s="5"/>
      <c r="F528" s="5" t="s">
        <v>295</v>
      </c>
      <c r="G528" s="34" t="s">
        <v>296</v>
      </c>
      <c r="H528" s="34"/>
      <c r="I528" s="306">
        <v>62500</v>
      </c>
      <c r="J528" s="307">
        <v>44.169611307420503</v>
      </c>
      <c r="K528" s="6">
        <v>1415</v>
      </c>
      <c r="L528" s="5" t="s">
        <v>1902</v>
      </c>
      <c r="M528" s="62" t="s">
        <v>452</v>
      </c>
      <c r="N528" s="62" t="s">
        <v>464</v>
      </c>
      <c r="O528" s="62" t="s">
        <v>1952</v>
      </c>
      <c r="P528" s="100" t="s">
        <v>1895</v>
      </c>
      <c r="Q528" s="5" t="s">
        <v>1953</v>
      </c>
      <c r="R528" s="34" t="s">
        <v>2055</v>
      </c>
      <c r="S528" s="5" t="s">
        <v>1954</v>
      </c>
      <c r="T528" s="5" t="s">
        <v>445</v>
      </c>
    </row>
    <row r="529" spans="2:20">
      <c r="B529" s="9"/>
      <c r="C529" s="5" t="s">
        <v>1857</v>
      </c>
      <c r="D529" s="5"/>
      <c r="F529" s="5" t="s">
        <v>295</v>
      </c>
      <c r="G529" s="34" t="s">
        <v>296</v>
      </c>
      <c r="H529" s="34"/>
      <c r="I529" s="306">
        <v>-53000</v>
      </c>
      <c r="J529" s="307">
        <v>-36.8055555555556</v>
      </c>
      <c r="K529" s="6">
        <v>1440</v>
      </c>
      <c r="L529" s="5" t="s">
        <v>1939</v>
      </c>
      <c r="M529" s="62" t="s">
        <v>452</v>
      </c>
      <c r="N529" s="62" t="s">
        <v>464</v>
      </c>
      <c r="O529" s="62" t="s">
        <v>1940</v>
      </c>
      <c r="P529" s="100" t="s">
        <v>1895</v>
      </c>
      <c r="Q529" s="5" t="s">
        <v>1941</v>
      </c>
      <c r="R529" s="34" t="s">
        <v>2056</v>
      </c>
      <c r="S529" s="5" t="s">
        <v>1943</v>
      </c>
      <c r="T529" s="5" t="s">
        <v>445</v>
      </c>
    </row>
    <row r="530" spans="2:20">
      <c r="B530" s="9"/>
      <c r="C530" s="5" t="s">
        <v>1857</v>
      </c>
      <c r="D530" s="5"/>
      <c r="F530" s="5" t="s">
        <v>295</v>
      </c>
      <c r="G530" s="34" t="s">
        <v>296</v>
      </c>
      <c r="H530" s="34"/>
      <c r="I530" s="306">
        <v>-40746</v>
      </c>
      <c r="J530" s="307">
        <v>-28.593684210526298</v>
      </c>
      <c r="K530" s="6">
        <v>1425</v>
      </c>
      <c r="L530" s="5" t="s">
        <v>1969</v>
      </c>
      <c r="M530" s="62" t="s">
        <v>452</v>
      </c>
      <c r="N530" s="62" t="s">
        <v>464</v>
      </c>
      <c r="O530" s="62" t="s">
        <v>1970</v>
      </c>
      <c r="P530" s="100" t="s">
        <v>1895</v>
      </c>
      <c r="Q530" s="5" t="s">
        <v>1971</v>
      </c>
      <c r="R530" s="34" t="s">
        <v>763</v>
      </c>
      <c r="S530" s="5" t="s">
        <v>1972</v>
      </c>
      <c r="T530" s="5" t="s">
        <v>445</v>
      </c>
    </row>
    <row r="531" spans="2:20">
      <c r="B531" s="9"/>
      <c r="C531" s="5" t="s">
        <v>1857</v>
      </c>
      <c r="D531" s="5"/>
      <c r="F531" s="5" t="s">
        <v>295</v>
      </c>
      <c r="G531" s="34" t="s">
        <v>296</v>
      </c>
      <c r="H531" s="34"/>
      <c r="I531" s="306">
        <v>-42400</v>
      </c>
      <c r="J531" s="307">
        <v>-29.754385964912299</v>
      </c>
      <c r="K531" s="6">
        <v>1425</v>
      </c>
      <c r="L531" s="5" t="s">
        <v>1955</v>
      </c>
      <c r="M531" s="62" t="s">
        <v>452</v>
      </c>
      <c r="N531" s="62" t="s">
        <v>464</v>
      </c>
      <c r="O531" s="62" t="s">
        <v>1956</v>
      </c>
      <c r="P531" s="100" t="s">
        <v>1895</v>
      </c>
      <c r="Q531" s="5" t="s">
        <v>1957</v>
      </c>
      <c r="R531" s="34" t="s">
        <v>2057</v>
      </c>
      <c r="S531" s="5" t="s">
        <v>1959</v>
      </c>
      <c r="T531" s="5" t="s">
        <v>445</v>
      </c>
    </row>
    <row r="532" spans="2:20">
      <c r="B532" s="9"/>
      <c r="C532" s="5" t="s">
        <v>1857</v>
      </c>
      <c r="D532" s="5"/>
      <c r="F532" s="5" t="s">
        <v>297</v>
      </c>
      <c r="G532" s="34" t="s">
        <v>298</v>
      </c>
      <c r="H532" s="34"/>
      <c r="I532" s="306">
        <v>4315750</v>
      </c>
      <c r="J532" s="307">
        <v>3050</v>
      </c>
      <c r="K532" s="6">
        <v>1415</v>
      </c>
      <c r="L532" s="5" t="s">
        <v>1902</v>
      </c>
      <c r="M532" s="62" t="s">
        <v>452</v>
      </c>
      <c r="N532" s="62" t="s">
        <v>464</v>
      </c>
      <c r="O532" s="62" t="s">
        <v>1995</v>
      </c>
      <c r="P532" s="100" t="s">
        <v>1895</v>
      </c>
      <c r="Q532" s="5" t="s">
        <v>1996</v>
      </c>
      <c r="R532" s="34" t="s">
        <v>563</v>
      </c>
      <c r="S532" s="5" t="s">
        <v>1997</v>
      </c>
      <c r="T532" s="5" t="s">
        <v>445</v>
      </c>
    </row>
    <row r="533" spans="2:20">
      <c r="B533" s="9"/>
      <c r="C533" s="5" t="s">
        <v>1857</v>
      </c>
      <c r="D533" s="5"/>
      <c r="F533" s="5" t="s">
        <v>297</v>
      </c>
      <c r="G533" s="34" t="s">
        <v>298</v>
      </c>
      <c r="H533" s="34"/>
      <c r="I533" s="306">
        <v>-855000</v>
      </c>
      <c r="J533" s="307">
        <v>-600</v>
      </c>
      <c r="K533" s="6">
        <v>1425</v>
      </c>
      <c r="L533" s="5" t="s">
        <v>1969</v>
      </c>
      <c r="M533" s="62" t="s">
        <v>452</v>
      </c>
      <c r="N533" s="62" t="s">
        <v>464</v>
      </c>
      <c r="O533" s="62" t="s">
        <v>2003</v>
      </c>
      <c r="P533" s="100" t="s">
        <v>1895</v>
      </c>
      <c r="Q533" s="5" t="s">
        <v>2004</v>
      </c>
      <c r="R533" s="34" t="s">
        <v>2005</v>
      </c>
      <c r="S533" s="5" t="s">
        <v>2006</v>
      </c>
      <c r="T533" s="5" t="s">
        <v>445</v>
      </c>
    </row>
    <row r="534" spans="2:20">
      <c r="B534" s="9"/>
      <c r="C534" s="5" t="s">
        <v>1857</v>
      </c>
      <c r="D534" s="5"/>
      <c r="F534" s="5" t="s">
        <v>297</v>
      </c>
      <c r="G534" s="34" t="s">
        <v>298</v>
      </c>
      <c r="H534" s="34"/>
      <c r="I534" s="306">
        <v>-1800000</v>
      </c>
      <c r="J534" s="307">
        <v>-1250</v>
      </c>
      <c r="K534" s="6">
        <v>1440</v>
      </c>
      <c r="L534" s="5" t="s">
        <v>1939</v>
      </c>
      <c r="M534" s="62" t="s">
        <v>452</v>
      </c>
      <c r="N534" s="62" t="s">
        <v>464</v>
      </c>
      <c r="O534" s="62" t="s">
        <v>2007</v>
      </c>
      <c r="P534" s="100" t="s">
        <v>1895</v>
      </c>
      <c r="Q534" s="5" t="s">
        <v>2008</v>
      </c>
      <c r="R534" s="34" t="s">
        <v>2009</v>
      </c>
      <c r="S534" s="5" t="s">
        <v>2010</v>
      </c>
      <c r="T534" s="5" t="s">
        <v>445</v>
      </c>
    </row>
    <row r="535" spans="2:20">
      <c r="B535" s="9"/>
      <c r="C535" s="5" t="s">
        <v>1857</v>
      </c>
      <c r="D535" s="5"/>
      <c r="F535" s="5" t="s">
        <v>297</v>
      </c>
      <c r="G535" s="34" t="s">
        <v>298</v>
      </c>
      <c r="H535" s="34"/>
      <c r="I535" s="306">
        <v>-2280000</v>
      </c>
      <c r="J535" s="307">
        <v>-1600</v>
      </c>
      <c r="K535" s="6">
        <v>1425</v>
      </c>
      <c r="L535" s="5" t="s">
        <v>1969</v>
      </c>
      <c r="M535" s="62" t="s">
        <v>452</v>
      </c>
      <c r="N535" s="62" t="s">
        <v>464</v>
      </c>
      <c r="O535" s="62" t="s">
        <v>2003</v>
      </c>
      <c r="P535" s="100" t="s">
        <v>1895</v>
      </c>
      <c r="Q535" s="5" t="s">
        <v>2004</v>
      </c>
      <c r="R535" s="34" t="s">
        <v>2011</v>
      </c>
      <c r="S535" s="5" t="s">
        <v>2006</v>
      </c>
      <c r="T535" s="5" t="s">
        <v>445</v>
      </c>
    </row>
    <row r="536" spans="2:20">
      <c r="B536" s="9"/>
      <c r="C536" s="5" t="s">
        <v>1857</v>
      </c>
      <c r="D536" s="5"/>
      <c r="F536" s="5" t="s">
        <v>297</v>
      </c>
      <c r="G536" s="34" t="s">
        <v>298</v>
      </c>
      <c r="H536" s="34"/>
      <c r="I536" s="306">
        <v>-1995000</v>
      </c>
      <c r="J536" s="307">
        <v>-1400</v>
      </c>
      <c r="K536" s="6">
        <v>1425</v>
      </c>
      <c r="L536" s="5" t="s">
        <v>1969</v>
      </c>
      <c r="M536" s="62" t="s">
        <v>452</v>
      </c>
      <c r="N536" s="62" t="s">
        <v>464</v>
      </c>
      <c r="O536" s="62" t="s">
        <v>2003</v>
      </c>
      <c r="P536" s="100" t="s">
        <v>1895</v>
      </c>
      <c r="Q536" s="5" t="s">
        <v>2004</v>
      </c>
      <c r="R536" s="34" t="s">
        <v>2013</v>
      </c>
      <c r="S536" s="5" t="s">
        <v>2006</v>
      </c>
      <c r="T536" s="5" t="s">
        <v>445</v>
      </c>
    </row>
    <row r="537" spans="2:20">
      <c r="B537" s="9"/>
      <c r="C537" s="5" t="s">
        <v>1857</v>
      </c>
      <c r="D537" s="5"/>
      <c r="F537" s="5" t="s">
        <v>297</v>
      </c>
      <c r="G537" s="34" t="s">
        <v>298</v>
      </c>
      <c r="H537" s="34"/>
      <c r="I537" s="306">
        <v>-1132000</v>
      </c>
      <c r="J537" s="307">
        <v>-800</v>
      </c>
      <c r="K537" s="6">
        <v>1415</v>
      </c>
      <c r="L537" s="5" t="s">
        <v>1902</v>
      </c>
      <c r="M537" s="62" t="s">
        <v>452</v>
      </c>
      <c r="N537" s="62" t="s">
        <v>464</v>
      </c>
      <c r="O537" s="62" t="s">
        <v>2036</v>
      </c>
      <c r="P537" s="100" t="s">
        <v>1895</v>
      </c>
      <c r="Q537" s="5" t="s">
        <v>2037</v>
      </c>
      <c r="R537" s="34" t="s">
        <v>2038</v>
      </c>
      <c r="S537" s="5" t="s">
        <v>2039</v>
      </c>
      <c r="T537" s="5" t="s">
        <v>445</v>
      </c>
    </row>
    <row r="538" spans="2:20">
      <c r="B538" s="9"/>
      <c r="C538" s="5" t="s">
        <v>1857</v>
      </c>
      <c r="D538" s="5"/>
      <c r="F538" s="5" t="s">
        <v>297</v>
      </c>
      <c r="G538" s="34" t="s">
        <v>298</v>
      </c>
      <c r="H538" s="34"/>
      <c r="I538" s="306">
        <v>-1368000</v>
      </c>
      <c r="J538" s="307">
        <v>-950</v>
      </c>
      <c r="K538" s="6">
        <v>1440</v>
      </c>
      <c r="L538" s="5" t="s">
        <v>1939</v>
      </c>
      <c r="M538" s="62" t="s">
        <v>452</v>
      </c>
      <c r="N538" s="62" t="s">
        <v>464</v>
      </c>
      <c r="O538" s="62" t="s">
        <v>2007</v>
      </c>
      <c r="P538" s="100" t="s">
        <v>1895</v>
      </c>
      <c r="Q538" s="5" t="s">
        <v>2008</v>
      </c>
      <c r="R538" s="34" t="s">
        <v>2040</v>
      </c>
      <c r="S538" s="5" t="s">
        <v>2010</v>
      </c>
      <c r="T538" s="5" t="s">
        <v>445</v>
      </c>
    </row>
    <row r="539" spans="2:20">
      <c r="B539" s="9"/>
      <c r="C539" s="5" t="s">
        <v>1857</v>
      </c>
      <c r="D539" s="5"/>
      <c r="F539" s="5" t="s">
        <v>297</v>
      </c>
      <c r="G539" s="34" t="s">
        <v>298</v>
      </c>
      <c r="H539" s="34"/>
      <c r="I539" s="306">
        <v>-1584000</v>
      </c>
      <c r="J539" s="307">
        <v>-1100</v>
      </c>
      <c r="K539" s="6">
        <v>1440</v>
      </c>
      <c r="L539" s="5" t="s">
        <v>1939</v>
      </c>
      <c r="M539" s="62" t="s">
        <v>452</v>
      </c>
      <c r="N539" s="62" t="s">
        <v>464</v>
      </c>
      <c r="O539" s="62" t="s">
        <v>2007</v>
      </c>
      <c r="P539" s="100" t="s">
        <v>1895</v>
      </c>
      <c r="Q539" s="5" t="s">
        <v>2008</v>
      </c>
      <c r="R539" s="34" t="s">
        <v>2045</v>
      </c>
      <c r="S539" s="5" t="s">
        <v>2010</v>
      </c>
      <c r="T539" s="5" t="s">
        <v>445</v>
      </c>
    </row>
    <row r="540" spans="2:20">
      <c r="B540" s="9"/>
      <c r="C540" s="5" t="s">
        <v>1857</v>
      </c>
      <c r="D540" s="5"/>
      <c r="F540" s="5" t="s">
        <v>297</v>
      </c>
      <c r="G540" s="34" t="s">
        <v>298</v>
      </c>
      <c r="H540" s="34"/>
      <c r="I540" s="306">
        <v>-1382400</v>
      </c>
      <c r="J540" s="307">
        <v>-960</v>
      </c>
      <c r="K540" s="6">
        <v>1440</v>
      </c>
      <c r="L540" s="5" t="s">
        <v>1939</v>
      </c>
      <c r="M540" s="62" t="s">
        <v>452</v>
      </c>
      <c r="N540" s="62" t="s">
        <v>464</v>
      </c>
      <c r="O540" s="62" t="s">
        <v>2007</v>
      </c>
      <c r="P540" s="100" t="s">
        <v>1895</v>
      </c>
      <c r="Q540" s="5" t="s">
        <v>2008</v>
      </c>
      <c r="R540" s="34" t="s">
        <v>2046</v>
      </c>
      <c r="S540" s="5" t="s">
        <v>2010</v>
      </c>
      <c r="T540" s="5" t="s">
        <v>445</v>
      </c>
    </row>
    <row r="541" spans="2:20">
      <c r="B541" s="9"/>
      <c r="C541" s="5" t="s">
        <v>1857</v>
      </c>
      <c r="D541" s="5"/>
      <c r="F541" s="5" t="s">
        <v>297</v>
      </c>
      <c r="G541" s="34" t="s">
        <v>298</v>
      </c>
      <c r="H541" s="34"/>
      <c r="I541" s="306">
        <v>-2376000</v>
      </c>
      <c r="J541" s="307">
        <v>-1650</v>
      </c>
      <c r="K541" s="6">
        <v>1440</v>
      </c>
      <c r="L541" s="5" t="s">
        <v>1939</v>
      </c>
      <c r="M541" s="62" t="s">
        <v>452</v>
      </c>
      <c r="N541" s="62" t="s">
        <v>464</v>
      </c>
      <c r="O541" s="62" t="s">
        <v>2007</v>
      </c>
      <c r="P541" s="100" t="s">
        <v>1895</v>
      </c>
      <c r="Q541" s="5" t="s">
        <v>2008</v>
      </c>
      <c r="R541" s="34" t="s">
        <v>2047</v>
      </c>
      <c r="S541" s="5" t="s">
        <v>2010</v>
      </c>
      <c r="T541" s="5" t="s">
        <v>445</v>
      </c>
    </row>
    <row r="542" spans="2:20">
      <c r="B542" s="9"/>
      <c r="C542" s="5" t="s">
        <v>1857</v>
      </c>
      <c r="D542" s="5"/>
      <c r="F542" s="5" t="s">
        <v>297</v>
      </c>
      <c r="G542" s="34" t="s">
        <v>298</v>
      </c>
      <c r="H542" s="34"/>
      <c r="I542" s="306">
        <v>-285000</v>
      </c>
      <c r="J542" s="307">
        <v>-200</v>
      </c>
      <c r="K542" s="6">
        <v>1425</v>
      </c>
      <c r="L542" s="5" t="s">
        <v>1969</v>
      </c>
      <c r="M542" s="62" t="s">
        <v>452</v>
      </c>
      <c r="N542" s="62" t="s">
        <v>464</v>
      </c>
      <c r="O542" s="62" t="s">
        <v>2003</v>
      </c>
      <c r="P542" s="100" t="s">
        <v>1895</v>
      </c>
      <c r="Q542" s="5" t="s">
        <v>2004</v>
      </c>
      <c r="R542" s="34" t="s">
        <v>2052</v>
      </c>
      <c r="S542" s="5" t="s">
        <v>2006</v>
      </c>
      <c r="T542" s="5" t="s">
        <v>445</v>
      </c>
    </row>
    <row r="543" spans="2:20">
      <c r="B543" s="9"/>
      <c r="C543" s="5" t="s">
        <v>1857</v>
      </c>
      <c r="D543" s="5"/>
      <c r="F543" s="5" t="s">
        <v>297</v>
      </c>
      <c r="G543" s="34" t="s">
        <v>298</v>
      </c>
      <c r="H543" s="34"/>
      <c r="I543" s="306">
        <v>14400</v>
      </c>
      <c r="J543" s="307">
        <v>10</v>
      </c>
      <c r="K543" s="6">
        <v>1440</v>
      </c>
      <c r="L543" s="5" t="s">
        <v>1939</v>
      </c>
      <c r="M543" s="62" t="s">
        <v>1416</v>
      </c>
      <c r="N543" s="62" t="s">
        <v>464</v>
      </c>
      <c r="O543" s="62" t="s">
        <v>2143</v>
      </c>
      <c r="P543" s="100" t="s">
        <v>2144</v>
      </c>
      <c r="Q543" s="5" t="s">
        <v>2145</v>
      </c>
      <c r="R543" s="34" t="s">
        <v>2145</v>
      </c>
      <c r="S543" s="5" t="s">
        <v>2146</v>
      </c>
      <c r="T543" s="5" t="s">
        <v>445</v>
      </c>
    </row>
    <row r="544" spans="2:20">
      <c r="B544" s="9"/>
      <c r="C544" s="5" t="s">
        <v>1857</v>
      </c>
      <c r="D544" s="5"/>
      <c r="F544" s="5" t="s">
        <v>297</v>
      </c>
      <c r="G544" s="34" t="s">
        <v>298</v>
      </c>
      <c r="H544" s="34"/>
      <c r="I544" s="306">
        <v>792000</v>
      </c>
      <c r="J544" s="307">
        <v>550</v>
      </c>
      <c r="K544" s="6">
        <v>1440</v>
      </c>
      <c r="L544" s="5" t="s">
        <v>1939</v>
      </c>
      <c r="M544" s="62" t="s">
        <v>1416</v>
      </c>
      <c r="N544" s="62" t="s">
        <v>464</v>
      </c>
      <c r="O544" s="62" t="s">
        <v>2147</v>
      </c>
      <c r="P544" s="100" t="s">
        <v>2144</v>
      </c>
      <c r="Q544" s="5" t="s">
        <v>2148</v>
      </c>
      <c r="R544" s="34" t="s">
        <v>2148</v>
      </c>
      <c r="S544" s="5" t="s">
        <v>2149</v>
      </c>
      <c r="T544" s="5" t="s">
        <v>445</v>
      </c>
    </row>
    <row r="545" spans="2:20">
      <c r="B545" s="9"/>
      <c r="C545" s="5" t="s">
        <v>1857</v>
      </c>
      <c r="D545" s="5"/>
      <c r="F545" s="5" t="s">
        <v>297</v>
      </c>
      <c r="G545" s="34" t="s">
        <v>298</v>
      </c>
      <c r="H545" s="34"/>
      <c r="I545" s="306">
        <v>171000</v>
      </c>
      <c r="J545" s="307">
        <v>120</v>
      </c>
      <c r="K545" s="6">
        <v>1425</v>
      </c>
      <c r="L545" s="5" t="s">
        <v>1969</v>
      </c>
      <c r="M545" s="62" t="s">
        <v>1416</v>
      </c>
      <c r="N545" s="62" t="s">
        <v>464</v>
      </c>
      <c r="O545" s="62" t="s">
        <v>2150</v>
      </c>
      <c r="P545" s="100" t="s">
        <v>2144</v>
      </c>
      <c r="Q545" s="5" t="s">
        <v>2151</v>
      </c>
      <c r="R545" s="34" t="s">
        <v>2151</v>
      </c>
      <c r="S545" s="5" t="s">
        <v>2152</v>
      </c>
      <c r="T545" s="5" t="s">
        <v>445</v>
      </c>
    </row>
    <row r="546" spans="2:20">
      <c r="B546" s="9"/>
      <c r="C546" s="5" t="s">
        <v>1857</v>
      </c>
      <c r="D546" s="5"/>
      <c r="F546" s="5" t="s">
        <v>1380</v>
      </c>
      <c r="G546" s="34" t="s">
        <v>1381</v>
      </c>
      <c r="H546" s="34"/>
      <c r="I546" s="306">
        <v>1396500</v>
      </c>
      <c r="J546" s="307">
        <v>980</v>
      </c>
      <c r="K546" s="6">
        <v>1425</v>
      </c>
      <c r="L546" s="5" t="s">
        <v>1955</v>
      </c>
      <c r="M546" s="62" t="s">
        <v>1382</v>
      </c>
      <c r="N546" s="62" t="s">
        <v>464</v>
      </c>
      <c r="O546" s="62" t="s">
        <v>2105</v>
      </c>
      <c r="P546" s="100" t="s">
        <v>2106</v>
      </c>
      <c r="Q546" s="5" t="s">
        <v>2107</v>
      </c>
      <c r="R546" s="34" t="s">
        <v>2108</v>
      </c>
      <c r="S546" s="5" t="s">
        <v>2109</v>
      </c>
      <c r="T546" s="5" t="s">
        <v>445</v>
      </c>
    </row>
    <row r="547" spans="2:20">
      <c r="B547" s="9"/>
      <c r="C547" s="5" t="s">
        <v>1857</v>
      </c>
      <c r="D547" s="5"/>
      <c r="F547" s="5" t="s">
        <v>1380</v>
      </c>
      <c r="G547" s="34" t="s">
        <v>1381</v>
      </c>
      <c r="H547" s="34"/>
      <c r="I547" s="306">
        <v>205200</v>
      </c>
      <c r="J547" s="307">
        <v>144</v>
      </c>
      <c r="K547" s="6">
        <v>1425</v>
      </c>
      <c r="L547" s="5" t="s">
        <v>1969</v>
      </c>
      <c r="M547" s="62" t="s">
        <v>1382</v>
      </c>
      <c r="N547" s="62" t="s">
        <v>464</v>
      </c>
      <c r="O547" s="62" t="s">
        <v>2110</v>
      </c>
      <c r="P547" s="100" t="s">
        <v>2106</v>
      </c>
      <c r="Q547" s="5" t="s">
        <v>2111</v>
      </c>
      <c r="R547" s="34" t="s">
        <v>2112</v>
      </c>
      <c r="S547" s="5" t="s">
        <v>2113</v>
      </c>
      <c r="T547" s="5" t="s">
        <v>445</v>
      </c>
    </row>
    <row r="548" spans="2:20">
      <c r="B548" s="9"/>
      <c r="C548" s="5" t="s">
        <v>1857</v>
      </c>
      <c r="D548" s="5"/>
      <c r="F548" s="5" t="s">
        <v>1380</v>
      </c>
      <c r="G548" s="34" t="s">
        <v>1381</v>
      </c>
      <c r="H548" s="34"/>
      <c r="I548" s="306">
        <v>86400</v>
      </c>
      <c r="J548" s="307">
        <v>60</v>
      </c>
      <c r="K548" s="6">
        <v>1440</v>
      </c>
      <c r="L548" s="5" t="s">
        <v>1939</v>
      </c>
      <c r="M548" s="62" t="s">
        <v>1382</v>
      </c>
      <c r="N548" s="62" t="s">
        <v>464</v>
      </c>
      <c r="O548" s="62" t="s">
        <v>2114</v>
      </c>
      <c r="P548" s="100" t="s">
        <v>2106</v>
      </c>
      <c r="Q548" s="5" t="s">
        <v>2115</v>
      </c>
      <c r="R548" s="34" t="s">
        <v>2116</v>
      </c>
      <c r="S548" s="5" t="s">
        <v>2117</v>
      </c>
      <c r="T548" s="5" t="s">
        <v>445</v>
      </c>
    </row>
    <row r="549" spans="2:20">
      <c r="B549" s="9"/>
      <c r="C549" s="5" t="s">
        <v>1857</v>
      </c>
      <c r="D549" s="5"/>
      <c r="F549" s="5" t="s">
        <v>1380</v>
      </c>
      <c r="G549" s="34" t="s">
        <v>1381</v>
      </c>
      <c r="H549" s="34"/>
      <c r="I549" s="306">
        <v>2821500</v>
      </c>
      <c r="J549" s="307">
        <v>1980</v>
      </c>
      <c r="K549" s="6">
        <v>1425</v>
      </c>
      <c r="L549" s="5" t="s">
        <v>1969</v>
      </c>
      <c r="M549" s="62" t="s">
        <v>1382</v>
      </c>
      <c r="N549" s="62" t="s">
        <v>464</v>
      </c>
      <c r="O549" s="62" t="s">
        <v>2118</v>
      </c>
      <c r="P549" s="100" t="s">
        <v>2106</v>
      </c>
      <c r="Q549" s="5" t="s">
        <v>2119</v>
      </c>
      <c r="R549" s="34" t="s">
        <v>2120</v>
      </c>
      <c r="S549" s="5" t="s">
        <v>2121</v>
      </c>
      <c r="T549" s="5" t="s">
        <v>445</v>
      </c>
    </row>
    <row r="550" spans="2:20">
      <c r="B550" s="9"/>
      <c r="C550" s="5" t="s">
        <v>1857</v>
      </c>
      <c r="D550" s="5"/>
      <c r="F550" s="5" t="s">
        <v>1380</v>
      </c>
      <c r="G550" s="34" t="s">
        <v>1381</v>
      </c>
      <c r="H550" s="34"/>
      <c r="I550" s="306">
        <v>792000</v>
      </c>
      <c r="J550" s="307">
        <v>550</v>
      </c>
      <c r="K550" s="6">
        <v>1440</v>
      </c>
      <c r="L550" s="5" t="s">
        <v>1939</v>
      </c>
      <c r="M550" s="62" t="s">
        <v>1382</v>
      </c>
      <c r="N550" s="62" t="s">
        <v>464</v>
      </c>
      <c r="O550" s="62" t="s">
        <v>2122</v>
      </c>
      <c r="P550" s="100" t="s">
        <v>2106</v>
      </c>
      <c r="Q550" s="5" t="s">
        <v>2123</v>
      </c>
      <c r="R550" s="34" t="s">
        <v>2124</v>
      </c>
      <c r="S550" s="5" t="s">
        <v>2125</v>
      </c>
      <c r="T550" s="5" t="s">
        <v>445</v>
      </c>
    </row>
    <row r="551" spans="2:20">
      <c r="B551" s="9"/>
      <c r="C551" s="5" t="s">
        <v>1857</v>
      </c>
      <c r="D551" s="5"/>
      <c r="F551" s="5" t="s">
        <v>1380</v>
      </c>
      <c r="G551" s="34" t="s">
        <v>1381</v>
      </c>
      <c r="H551" s="34"/>
      <c r="I551" s="306">
        <v>171000</v>
      </c>
      <c r="J551" s="307">
        <v>120</v>
      </c>
      <c r="K551" s="6">
        <v>1425</v>
      </c>
      <c r="L551" s="5" t="s">
        <v>1969</v>
      </c>
      <c r="M551" s="62" t="s">
        <v>1382</v>
      </c>
      <c r="N551" s="62" t="s">
        <v>464</v>
      </c>
      <c r="O551" s="62" t="s">
        <v>2126</v>
      </c>
      <c r="P551" s="100" t="s">
        <v>2106</v>
      </c>
      <c r="Q551" s="5" t="s">
        <v>2127</v>
      </c>
      <c r="R551" s="34" t="s">
        <v>2128</v>
      </c>
      <c r="S551" s="5" t="s">
        <v>2129</v>
      </c>
      <c r="T551" s="5" t="s">
        <v>445</v>
      </c>
    </row>
    <row r="552" spans="2:20">
      <c r="B552" s="9"/>
      <c r="C552" s="5" t="s">
        <v>1857</v>
      </c>
      <c r="D552" s="5"/>
      <c r="F552" s="5" t="s">
        <v>1380</v>
      </c>
      <c r="G552" s="34" t="s">
        <v>1381</v>
      </c>
      <c r="H552" s="34"/>
      <c r="I552" s="306">
        <v>-14400</v>
      </c>
      <c r="J552" s="307">
        <v>-10</v>
      </c>
      <c r="K552" s="6">
        <v>1440</v>
      </c>
      <c r="L552" s="5" t="s">
        <v>1939</v>
      </c>
      <c r="M552" s="62" t="s">
        <v>1416</v>
      </c>
      <c r="N552" s="62" t="s">
        <v>464</v>
      </c>
      <c r="O552" s="62" t="s">
        <v>2143</v>
      </c>
      <c r="P552" s="100" t="s">
        <v>2144</v>
      </c>
      <c r="Q552" s="5" t="s">
        <v>2145</v>
      </c>
      <c r="R552" s="34" t="s">
        <v>2145</v>
      </c>
      <c r="S552" s="5" t="s">
        <v>2146</v>
      </c>
      <c r="T552" s="5" t="s">
        <v>445</v>
      </c>
    </row>
    <row r="553" spans="2:20">
      <c r="B553" s="9"/>
      <c r="C553" s="5" t="s">
        <v>1857</v>
      </c>
      <c r="D553" s="5"/>
      <c r="F553" s="5" t="s">
        <v>1380</v>
      </c>
      <c r="G553" s="34" t="s">
        <v>1381</v>
      </c>
      <c r="H553" s="34"/>
      <c r="I553" s="306">
        <v>-792000</v>
      </c>
      <c r="J553" s="307">
        <v>-550</v>
      </c>
      <c r="K553" s="6">
        <v>1440</v>
      </c>
      <c r="L553" s="5" t="s">
        <v>1939</v>
      </c>
      <c r="M553" s="62" t="s">
        <v>1416</v>
      </c>
      <c r="N553" s="62" t="s">
        <v>464</v>
      </c>
      <c r="O553" s="62" t="s">
        <v>2147</v>
      </c>
      <c r="P553" s="100" t="s">
        <v>2144</v>
      </c>
      <c r="Q553" s="5" t="s">
        <v>2148</v>
      </c>
      <c r="R553" s="34" t="s">
        <v>2148</v>
      </c>
      <c r="S553" s="5" t="s">
        <v>2149</v>
      </c>
      <c r="T553" s="5" t="s">
        <v>445</v>
      </c>
    </row>
    <row r="554" spans="2:20">
      <c r="B554" s="9"/>
      <c r="C554" s="5" t="s">
        <v>1857</v>
      </c>
      <c r="D554" s="5"/>
      <c r="F554" s="5" t="s">
        <v>1380</v>
      </c>
      <c r="G554" s="34" t="s">
        <v>1381</v>
      </c>
      <c r="H554" s="34"/>
      <c r="I554" s="306">
        <v>-171000</v>
      </c>
      <c r="J554" s="307">
        <v>-120</v>
      </c>
      <c r="K554" s="6">
        <v>1425</v>
      </c>
      <c r="L554" s="5" t="s">
        <v>1969</v>
      </c>
      <c r="M554" s="62" t="s">
        <v>1416</v>
      </c>
      <c r="N554" s="62" t="s">
        <v>464</v>
      </c>
      <c r="O554" s="62" t="s">
        <v>2150</v>
      </c>
      <c r="P554" s="100" t="s">
        <v>2144</v>
      </c>
      <c r="Q554" s="5" t="s">
        <v>2151</v>
      </c>
      <c r="R554" s="34" t="s">
        <v>2151</v>
      </c>
      <c r="S554" s="5" t="s">
        <v>2152</v>
      </c>
      <c r="T554" s="5" t="s">
        <v>445</v>
      </c>
    </row>
    <row r="555" spans="2:20">
      <c r="B555" s="9"/>
      <c r="C555" s="5" t="s">
        <v>1857</v>
      </c>
      <c r="D555" s="5"/>
      <c r="F555" s="5" t="s">
        <v>1380</v>
      </c>
      <c r="G555" s="34" t="s">
        <v>1381</v>
      </c>
      <c r="H555" s="34"/>
      <c r="I555" s="306">
        <v>-256500.00030000001</v>
      </c>
      <c r="J555" s="307">
        <v>-181.27208501766799</v>
      </c>
      <c r="K555" s="6">
        <v>1415</v>
      </c>
      <c r="L555" s="5" t="s">
        <v>1902</v>
      </c>
      <c r="M555" s="62" t="s">
        <v>1416</v>
      </c>
      <c r="N555" s="62" t="s">
        <v>464</v>
      </c>
      <c r="O555" s="62" t="s">
        <v>2153</v>
      </c>
      <c r="P555" s="100" t="s">
        <v>2144</v>
      </c>
      <c r="Q555" s="5" t="s">
        <v>2154</v>
      </c>
      <c r="R555" s="34" t="s">
        <v>2154</v>
      </c>
      <c r="S555" s="5" t="s">
        <v>2155</v>
      </c>
      <c r="T555" s="5" t="s">
        <v>445</v>
      </c>
    </row>
    <row r="556" spans="2:20">
      <c r="B556" s="9"/>
      <c r="C556" s="5" t="s">
        <v>1857</v>
      </c>
      <c r="D556" s="5"/>
      <c r="F556" s="5" t="s">
        <v>1380</v>
      </c>
      <c r="G556" s="34" t="s">
        <v>1381</v>
      </c>
      <c r="H556" s="34"/>
      <c r="I556" s="306">
        <v>-1139999.9997</v>
      </c>
      <c r="J556" s="307">
        <v>-805.65371003533596</v>
      </c>
      <c r="K556" s="6">
        <v>1415</v>
      </c>
      <c r="L556" s="5" t="s">
        <v>1902</v>
      </c>
      <c r="M556" s="62" t="s">
        <v>1416</v>
      </c>
      <c r="N556" s="62" t="s">
        <v>464</v>
      </c>
      <c r="O556" s="62" t="s">
        <v>2156</v>
      </c>
      <c r="P556" s="100" t="s">
        <v>2144</v>
      </c>
      <c r="Q556" s="5" t="s">
        <v>2157</v>
      </c>
      <c r="R556" s="34" t="s">
        <v>2157</v>
      </c>
      <c r="S556" s="5" t="s">
        <v>2158</v>
      </c>
      <c r="T556" s="5" t="s">
        <v>445</v>
      </c>
    </row>
    <row r="557" spans="2:20">
      <c r="B557" s="9"/>
      <c r="C557" s="5" t="s">
        <v>1857</v>
      </c>
      <c r="D557" s="5"/>
      <c r="F557" s="5" t="s">
        <v>1380</v>
      </c>
      <c r="G557" s="34" t="s">
        <v>1381</v>
      </c>
      <c r="H557" s="34"/>
      <c r="I557" s="306">
        <v>-2736000.0005999999</v>
      </c>
      <c r="J557" s="307">
        <v>-1933.56890501767</v>
      </c>
      <c r="K557" s="6">
        <v>1415</v>
      </c>
      <c r="L557" s="5" t="s">
        <v>1902</v>
      </c>
      <c r="M557" s="62" t="s">
        <v>1416</v>
      </c>
      <c r="N557" s="62" t="s">
        <v>464</v>
      </c>
      <c r="O557" s="62" t="s">
        <v>2159</v>
      </c>
      <c r="P557" s="100" t="s">
        <v>2144</v>
      </c>
      <c r="Q557" s="5" t="s">
        <v>2160</v>
      </c>
      <c r="R557" s="34" t="s">
        <v>2160</v>
      </c>
      <c r="S557" s="5" t="s">
        <v>2161</v>
      </c>
      <c r="T557" s="5" t="s">
        <v>445</v>
      </c>
    </row>
    <row r="558" spans="2:20">
      <c r="B558" s="9"/>
      <c r="C558" s="5" t="s">
        <v>1857</v>
      </c>
      <c r="D558" s="5"/>
      <c r="F558" s="5" t="s">
        <v>1380</v>
      </c>
      <c r="G558" s="34" t="s">
        <v>1381</v>
      </c>
      <c r="H558" s="34"/>
      <c r="I558" s="306">
        <v>-85499.999599999996</v>
      </c>
      <c r="J558" s="307">
        <v>-60.424027985865699</v>
      </c>
      <c r="K558" s="6">
        <v>1415</v>
      </c>
      <c r="L558" s="5" t="s">
        <v>1902</v>
      </c>
      <c r="M558" s="62" t="s">
        <v>1416</v>
      </c>
      <c r="N558" s="62" t="s">
        <v>464</v>
      </c>
      <c r="O558" s="62" t="s">
        <v>2162</v>
      </c>
      <c r="P558" s="100" t="s">
        <v>2144</v>
      </c>
      <c r="Q558" s="5" t="s">
        <v>2163</v>
      </c>
      <c r="R558" s="34" t="s">
        <v>2163</v>
      </c>
      <c r="S558" s="5" t="s">
        <v>2164</v>
      </c>
      <c r="T558" s="5" t="s">
        <v>445</v>
      </c>
    </row>
    <row r="559" spans="2:20">
      <c r="B559" s="9"/>
      <c r="C559" s="5" t="s">
        <v>1857</v>
      </c>
      <c r="D559" s="5"/>
      <c r="F559" s="5" t="s">
        <v>303</v>
      </c>
      <c r="G559" s="34" t="s">
        <v>304</v>
      </c>
      <c r="H559" s="34"/>
      <c r="I559" s="306">
        <v>-634125</v>
      </c>
      <c r="J559" s="307">
        <v>-445</v>
      </c>
      <c r="K559" s="6">
        <v>1425</v>
      </c>
      <c r="L559" s="5" t="s">
        <v>1911</v>
      </c>
      <c r="M559" s="62" t="s">
        <v>452</v>
      </c>
      <c r="N559" s="62" t="s">
        <v>464</v>
      </c>
      <c r="O559" s="62" t="s">
        <v>1912</v>
      </c>
      <c r="P559" s="100" t="s">
        <v>1895</v>
      </c>
      <c r="Q559" s="5" t="s">
        <v>1913</v>
      </c>
      <c r="R559" s="34" t="s">
        <v>1914</v>
      </c>
      <c r="S559" s="5" t="s">
        <v>1915</v>
      </c>
      <c r="T559" s="5" t="s">
        <v>445</v>
      </c>
    </row>
    <row r="560" spans="2:20">
      <c r="B560" s="9"/>
      <c r="C560" s="5" t="s">
        <v>1857</v>
      </c>
      <c r="D560" s="5"/>
      <c r="F560" s="5" t="s">
        <v>303</v>
      </c>
      <c r="G560" s="34" t="s">
        <v>304</v>
      </c>
      <c r="H560" s="34"/>
      <c r="I560" s="306">
        <v>-634125</v>
      </c>
      <c r="J560" s="307">
        <v>-445</v>
      </c>
      <c r="K560" s="6">
        <v>1425</v>
      </c>
      <c r="L560" s="5" t="s">
        <v>1893</v>
      </c>
      <c r="M560" s="62" t="s">
        <v>452</v>
      </c>
      <c r="N560" s="62" t="s">
        <v>464</v>
      </c>
      <c r="O560" s="62" t="s">
        <v>1916</v>
      </c>
      <c r="P560" s="100" t="s">
        <v>1895</v>
      </c>
      <c r="Q560" s="5" t="s">
        <v>1917</v>
      </c>
      <c r="R560" s="34" t="s">
        <v>1918</v>
      </c>
      <c r="S560" s="5" t="s">
        <v>1919</v>
      </c>
      <c r="T560" s="5" t="s">
        <v>445</v>
      </c>
    </row>
    <row r="561" spans="2:20">
      <c r="B561" s="9"/>
      <c r="C561" s="5" t="s">
        <v>1857</v>
      </c>
      <c r="D561" s="5"/>
      <c r="F561" s="5" t="s">
        <v>303</v>
      </c>
      <c r="G561" s="34" t="s">
        <v>304</v>
      </c>
      <c r="H561" s="34"/>
      <c r="I561" s="306">
        <v>-5362850</v>
      </c>
      <c r="J561" s="307">
        <v>-3790</v>
      </c>
      <c r="K561" s="6">
        <v>1415</v>
      </c>
      <c r="L561" s="5" t="s">
        <v>1902</v>
      </c>
      <c r="M561" s="62" t="s">
        <v>452</v>
      </c>
      <c r="N561" s="62" t="s">
        <v>464</v>
      </c>
      <c r="O561" s="62" t="s">
        <v>1920</v>
      </c>
      <c r="P561" s="100" t="s">
        <v>1895</v>
      </c>
      <c r="Q561" s="5" t="s">
        <v>1921</v>
      </c>
      <c r="R561" s="34" t="s">
        <v>1926</v>
      </c>
      <c r="S561" s="5" t="s">
        <v>1923</v>
      </c>
      <c r="T561" s="5" t="s">
        <v>445</v>
      </c>
    </row>
    <row r="562" spans="2:20">
      <c r="B562" s="9"/>
      <c r="C562" s="5" t="s">
        <v>1857</v>
      </c>
      <c r="D562" s="5"/>
      <c r="F562" s="5" t="s">
        <v>1679</v>
      </c>
      <c r="G562" s="34" t="s">
        <v>1680</v>
      </c>
      <c r="H562" s="34"/>
      <c r="I562" s="306">
        <v>1132000</v>
      </c>
      <c r="J562" s="307">
        <v>800</v>
      </c>
      <c r="K562" s="6">
        <v>1415</v>
      </c>
      <c r="L562" s="5" t="s">
        <v>1902</v>
      </c>
      <c r="M562" s="62" t="s">
        <v>452</v>
      </c>
      <c r="N562" s="62" t="s">
        <v>464</v>
      </c>
      <c r="O562" s="62" t="s">
        <v>2036</v>
      </c>
      <c r="P562" s="100" t="s">
        <v>1895</v>
      </c>
      <c r="Q562" s="5" t="s">
        <v>2037</v>
      </c>
      <c r="R562" s="34" t="s">
        <v>2038</v>
      </c>
      <c r="S562" s="5" t="s">
        <v>2039</v>
      </c>
      <c r="T562" s="5" t="s">
        <v>445</v>
      </c>
    </row>
    <row r="563" spans="2:20">
      <c r="B563" s="9"/>
      <c r="C563" s="5" t="s">
        <v>1857</v>
      </c>
      <c r="D563" s="5"/>
      <c r="F563" s="5" t="s">
        <v>1679</v>
      </c>
      <c r="G563" s="34" t="s">
        <v>1680</v>
      </c>
      <c r="H563" s="34"/>
      <c r="I563" s="306">
        <v>1368000</v>
      </c>
      <c r="J563" s="307">
        <v>950</v>
      </c>
      <c r="K563" s="6">
        <v>1440</v>
      </c>
      <c r="L563" s="5" t="s">
        <v>1939</v>
      </c>
      <c r="M563" s="62" t="s">
        <v>452</v>
      </c>
      <c r="N563" s="62" t="s">
        <v>464</v>
      </c>
      <c r="O563" s="62" t="s">
        <v>2007</v>
      </c>
      <c r="P563" s="100" t="s">
        <v>1895</v>
      </c>
      <c r="Q563" s="5" t="s">
        <v>2008</v>
      </c>
      <c r="R563" s="34" t="s">
        <v>2040</v>
      </c>
      <c r="S563" s="5" t="s">
        <v>2010</v>
      </c>
      <c r="T563" s="5" t="s">
        <v>445</v>
      </c>
    </row>
    <row r="564" spans="2:20">
      <c r="B564" s="9"/>
      <c r="C564" s="5" t="s">
        <v>1857</v>
      </c>
      <c r="D564" s="5"/>
      <c r="F564" s="5" t="s">
        <v>1679</v>
      </c>
      <c r="G564" s="34" t="s">
        <v>1680</v>
      </c>
      <c r="H564" s="34"/>
      <c r="I564" s="306">
        <v>2716800</v>
      </c>
      <c r="J564" s="307">
        <v>1920</v>
      </c>
      <c r="K564" s="6">
        <v>1415</v>
      </c>
      <c r="L564" s="5" t="s">
        <v>1893</v>
      </c>
      <c r="M564" s="62" t="s">
        <v>452</v>
      </c>
      <c r="N564" s="62" t="s">
        <v>464</v>
      </c>
      <c r="O564" s="62" t="s">
        <v>1894</v>
      </c>
      <c r="P564" s="100" t="s">
        <v>1895</v>
      </c>
      <c r="Q564" s="5" t="s">
        <v>1896</v>
      </c>
      <c r="R564" s="34" t="s">
        <v>2095</v>
      </c>
      <c r="S564" s="5" t="s">
        <v>1898</v>
      </c>
      <c r="T564" s="5" t="s">
        <v>445</v>
      </c>
    </row>
    <row r="565" spans="2:20">
      <c r="B565" s="9"/>
      <c r="C565" s="5" t="s">
        <v>1857</v>
      </c>
      <c r="D565" s="5"/>
      <c r="F565" s="5" t="s">
        <v>1679</v>
      </c>
      <c r="G565" s="34" t="s">
        <v>1680</v>
      </c>
      <c r="H565" s="34"/>
      <c r="I565" s="306">
        <v>-1140000</v>
      </c>
      <c r="J565" s="307">
        <v>-800</v>
      </c>
      <c r="K565" s="6">
        <v>1425</v>
      </c>
      <c r="L565" s="5" t="s">
        <v>1955</v>
      </c>
      <c r="M565" s="62" t="s">
        <v>1382</v>
      </c>
      <c r="N565" s="62" t="s">
        <v>464</v>
      </c>
      <c r="O565" s="62" t="s">
        <v>2105</v>
      </c>
      <c r="P565" s="100" t="s">
        <v>2106</v>
      </c>
      <c r="Q565" s="5" t="s">
        <v>2107</v>
      </c>
      <c r="R565" s="34" t="s">
        <v>2108</v>
      </c>
      <c r="S565" s="5" t="s">
        <v>2109</v>
      </c>
      <c r="T565" s="5" t="s">
        <v>445</v>
      </c>
    </row>
    <row r="566" spans="2:20">
      <c r="B566" s="9"/>
      <c r="C566" s="5" t="s">
        <v>1857</v>
      </c>
      <c r="D566" s="5"/>
      <c r="F566" s="5" t="s">
        <v>1679</v>
      </c>
      <c r="G566" s="34" t="s">
        <v>1680</v>
      </c>
      <c r="H566" s="34"/>
      <c r="I566" s="306">
        <v>-2736000</v>
      </c>
      <c r="J566" s="307">
        <v>-1920</v>
      </c>
      <c r="K566" s="6">
        <v>1425</v>
      </c>
      <c r="L566" s="5" t="s">
        <v>1969</v>
      </c>
      <c r="M566" s="62" t="s">
        <v>1382</v>
      </c>
      <c r="N566" s="62" t="s">
        <v>464</v>
      </c>
      <c r="O566" s="62" t="s">
        <v>2118</v>
      </c>
      <c r="P566" s="100" t="s">
        <v>2106</v>
      </c>
      <c r="Q566" s="5" t="s">
        <v>2119</v>
      </c>
      <c r="R566" s="34" t="s">
        <v>2120</v>
      </c>
      <c r="S566" s="5" t="s">
        <v>2121</v>
      </c>
      <c r="T566" s="5" t="s">
        <v>445</v>
      </c>
    </row>
    <row r="567" spans="2:20">
      <c r="B567" s="9"/>
      <c r="C567" s="5" t="s">
        <v>1857</v>
      </c>
      <c r="D567" s="5"/>
      <c r="F567" s="5" t="s">
        <v>309</v>
      </c>
      <c r="G567" s="34" t="s">
        <v>310</v>
      </c>
      <c r="H567" s="34"/>
      <c r="I567" s="306">
        <v>-645919.19999999995</v>
      </c>
      <c r="J567" s="307">
        <v>-456.48</v>
      </c>
      <c r="K567" s="6">
        <v>1415</v>
      </c>
      <c r="L567" s="5" t="s">
        <v>1902</v>
      </c>
      <c r="M567" s="62" t="s">
        <v>452</v>
      </c>
      <c r="N567" s="62" t="s">
        <v>464</v>
      </c>
      <c r="O567" s="62" t="s">
        <v>1920</v>
      </c>
      <c r="P567" s="100" t="s">
        <v>1895</v>
      </c>
      <c r="Q567" s="5" t="s">
        <v>1921</v>
      </c>
      <c r="R567" s="34" t="s">
        <v>1922</v>
      </c>
      <c r="S567" s="5" t="s">
        <v>1923</v>
      </c>
      <c r="T567" s="5" t="s">
        <v>445</v>
      </c>
    </row>
    <row r="568" spans="2:20">
      <c r="B568" s="9"/>
      <c r="C568" s="5" t="s">
        <v>1857</v>
      </c>
      <c r="D568" s="5"/>
      <c r="F568" s="5" t="s">
        <v>309</v>
      </c>
      <c r="G568" s="34" t="s">
        <v>310</v>
      </c>
      <c r="H568" s="34"/>
      <c r="I568" s="306">
        <v>-809040.4</v>
      </c>
      <c r="J568" s="307">
        <v>-571.76</v>
      </c>
      <c r="K568" s="6">
        <v>1415</v>
      </c>
      <c r="L568" s="5" t="s">
        <v>1902</v>
      </c>
      <c r="M568" s="62" t="s">
        <v>452</v>
      </c>
      <c r="N568" s="62" t="s">
        <v>464</v>
      </c>
      <c r="O568" s="62" t="s">
        <v>1920</v>
      </c>
      <c r="P568" s="100" t="s">
        <v>1895</v>
      </c>
      <c r="Q568" s="5" t="s">
        <v>1921</v>
      </c>
      <c r="R568" s="34" t="s">
        <v>1924</v>
      </c>
      <c r="S568" s="5" t="s">
        <v>1923</v>
      </c>
      <c r="T568" s="5" t="s">
        <v>445</v>
      </c>
    </row>
    <row r="569" spans="2:20">
      <c r="B569" s="9"/>
      <c r="C569" s="5" t="s">
        <v>1857</v>
      </c>
      <c r="D569" s="5"/>
      <c r="F569" s="5" t="s">
        <v>309</v>
      </c>
      <c r="G569" s="34" t="s">
        <v>310</v>
      </c>
      <c r="H569" s="34"/>
      <c r="I569" s="306">
        <v>-1068750</v>
      </c>
      <c r="J569" s="307">
        <v>-750</v>
      </c>
      <c r="K569" s="6">
        <v>1425</v>
      </c>
      <c r="L569" s="5" t="s">
        <v>1893</v>
      </c>
      <c r="M569" s="62" t="s">
        <v>452</v>
      </c>
      <c r="N569" s="62" t="s">
        <v>464</v>
      </c>
      <c r="O569" s="62" t="s">
        <v>1916</v>
      </c>
      <c r="P569" s="100" t="s">
        <v>1895</v>
      </c>
      <c r="Q569" s="5" t="s">
        <v>1917</v>
      </c>
      <c r="R569" s="34" t="s">
        <v>1928</v>
      </c>
      <c r="S569" s="5" t="s">
        <v>1919</v>
      </c>
      <c r="T569" s="5" t="s">
        <v>445</v>
      </c>
    </row>
    <row r="570" spans="2:20">
      <c r="B570" s="9"/>
      <c r="C570" s="5" t="s">
        <v>1857</v>
      </c>
      <c r="D570" s="5"/>
      <c r="F570" s="5" t="s">
        <v>309</v>
      </c>
      <c r="G570" s="34" t="s">
        <v>310</v>
      </c>
      <c r="H570" s="34"/>
      <c r="I570" s="306">
        <v>-2268000</v>
      </c>
      <c r="J570" s="307">
        <v>-1575</v>
      </c>
      <c r="K570" s="6">
        <v>1440</v>
      </c>
      <c r="L570" s="5" t="s">
        <v>1911</v>
      </c>
      <c r="M570" s="62" t="s">
        <v>452</v>
      </c>
      <c r="N570" s="62" t="s">
        <v>464</v>
      </c>
      <c r="O570" s="62" t="s">
        <v>1912</v>
      </c>
      <c r="P570" s="100" t="s">
        <v>1895</v>
      </c>
      <c r="Q570" s="5" t="s">
        <v>1913</v>
      </c>
      <c r="R570" s="34" t="s">
        <v>1929</v>
      </c>
      <c r="S570" s="5" t="s">
        <v>1915</v>
      </c>
      <c r="T570" s="5" t="s">
        <v>445</v>
      </c>
    </row>
    <row r="571" spans="2:20">
      <c r="B571" s="9"/>
      <c r="C571" s="5" t="s">
        <v>1857</v>
      </c>
      <c r="D571" s="5"/>
      <c r="F571" s="5" t="s">
        <v>309</v>
      </c>
      <c r="G571" s="34" t="s">
        <v>310</v>
      </c>
      <c r="H571" s="34"/>
      <c r="I571" s="306">
        <v>-1800000</v>
      </c>
      <c r="J571" s="307">
        <v>-1250</v>
      </c>
      <c r="K571" s="6">
        <v>1440</v>
      </c>
      <c r="L571" s="5" t="s">
        <v>1893</v>
      </c>
      <c r="M571" s="62" t="s">
        <v>452</v>
      </c>
      <c r="N571" s="62" t="s">
        <v>464</v>
      </c>
      <c r="O571" s="62" t="s">
        <v>1916</v>
      </c>
      <c r="P571" s="100" t="s">
        <v>1895</v>
      </c>
      <c r="Q571" s="5" t="s">
        <v>1917</v>
      </c>
      <c r="R571" s="34" t="s">
        <v>1932</v>
      </c>
      <c r="S571" s="5" t="s">
        <v>1919</v>
      </c>
      <c r="T571" s="5" t="s">
        <v>445</v>
      </c>
    </row>
    <row r="572" spans="2:20">
      <c r="B572" s="9"/>
      <c r="C572" s="5" t="s">
        <v>1857</v>
      </c>
      <c r="D572" s="5"/>
      <c r="F572" s="5" t="s">
        <v>309</v>
      </c>
      <c r="G572" s="34" t="s">
        <v>310</v>
      </c>
      <c r="H572" s="34"/>
      <c r="I572" s="306">
        <v>-1353750</v>
      </c>
      <c r="J572" s="307">
        <v>-950</v>
      </c>
      <c r="K572" s="6">
        <v>1425</v>
      </c>
      <c r="L572" s="5" t="s">
        <v>1893</v>
      </c>
      <c r="M572" s="62" t="s">
        <v>452</v>
      </c>
      <c r="N572" s="62" t="s">
        <v>464</v>
      </c>
      <c r="O572" s="62" t="s">
        <v>1916</v>
      </c>
      <c r="P572" s="100" t="s">
        <v>1895</v>
      </c>
      <c r="Q572" s="5" t="s">
        <v>1917</v>
      </c>
      <c r="R572" s="34" t="s">
        <v>1933</v>
      </c>
      <c r="S572" s="5" t="s">
        <v>1919</v>
      </c>
      <c r="T572" s="5" t="s">
        <v>445</v>
      </c>
    </row>
    <row r="573" spans="2:20">
      <c r="B573" s="9"/>
      <c r="C573" s="5" t="s">
        <v>1857</v>
      </c>
      <c r="D573" s="5"/>
      <c r="F573" s="5" t="s">
        <v>309</v>
      </c>
      <c r="G573" s="34" t="s">
        <v>310</v>
      </c>
      <c r="H573" s="34"/>
      <c r="I573" s="306">
        <v>-2547000</v>
      </c>
      <c r="J573" s="307">
        <v>-1800</v>
      </c>
      <c r="K573" s="6">
        <v>1415</v>
      </c>
      <c r="L573" s="5" t="s">
        <v>1902</v>
      </c>
      <c r="M573" s="62" t="s">
        <v>452</v>
      </c>
      <c r="N573" s="62" t="s">
        <v>464</v>
      </c>
      <c r="O573" s="62" t="s">
        <v>1920</v>
      </c>
      <c r="P573" s="100" t="s">
        <v>1895</v>
      </c>
      <c r="Q573" s="5" t="s">
        <v>1921</v>
      </c>
      <c r="R573" s="34" t="s">
        <v>1934</v>
      </c>
      <c r="S573" s="5" t="s">
        <v>1923</v>
      </c>
      <c r="T573" s="5" t="s">
        <v>445</v>
      </c>
    </row>
    <row r="574" spans="2:20">
      <c r="B574" s="9"/>
      <c r="C574" s="5" t="s">
        <v>1857</v>
      </c>
      <c r="D574" s="5"/>
      <c r="F574" s="5" t="s">
        <v>309</v>
      </c>
      <c r="G574" s="34" t="s">
        <v>310</v>
      </c>
      <c r="H574" s="34"/>
      <c r="I574" s="306">
        <v>-2547000</v>
      </c>
      <c r="J574" s="307">
        <v>-1800</v>
      </c>
      <c r="K574" s="6">
        <v>1415</v>
      </c>
      <c r="L574" s="5" t="s">
        <v>1902</v>
      </c>
      <c r="M574" s="62" t="s">
        <v>452</v>
      </c>
      <c r="N574" s="62" t="s">
        <v>464</v>
      </c>
      <c r="O574" s="62" t="s">
        <v>1920</v>
      </c>
      <c r="P574" s="100" t="s">
        <v>1895</v>
      </c>
      <c r="Q574" s="5" t="s">
        <v>1921</v>
      </c>
      <c r="R574" s="34" t="s">
        <v>1935</v>
      </c>
      <c r="S574" s="5" t="s">
        <v>1923</v>
      </c>
      <c r="T574" s="5" t="s">
        <v>445</v>
      </c>
    </row>
    <row r="575" spans="2:20">
      <c r="B575" s="9"/>
      <c r="C575" s="5" t="s">
        <v>1857</v>
      </c>
      <c r="D575" s="5"/>
      <c r="F575" s="5" t="s">
        <v>309</v>
      </c>
      <c r="G575" s="34" t="s">
        <v>310</v>
      </c>
      <c r="H575" s="34"/>
      <c r="I575" s="306">
        <v>-6049125</v>
      </c>
      <c r="J575" s="307">
        <v>-4275</v>
      </c>
      <c r="K575" s="6">
        <v>1415</v>
      </c>
      <c r="L575" s="5" t="s">
        <v>1902</v>
      </c>
      <c r="M575" s="62" t="s">
        <v>452</v>
      </c>
      <c r="N575" s="62" t="s">
        <v>464</v>
      </c>
      <c r="O575" s="62" t="s">
        <v>1920</v>
      </c>
      <c r="P575" s="100" t="s">
        <v>1895</v>
      </c>
      <c r="Q575" s="5" t="s">
        <v>1921</v>
      </c>
      <c r="R575" s="34" t="s">
        <v>1936</v>
      </c>
      <c r="S575" s="5" t="s">
        <v>1923</v>
      </c>
      <c r="T575" s="5" t="s">
        <v>445</v>
      </c>
    </row>
    <row r="576" spans="2:20">
      <c r="B576" s="9"/>
      <c r="C576" s="5" t="s">
        <v>1857</v>
      </c>
      <c r="D576" s="5"/>
      <c r="F576" s="5" t="s">
        <v>309</v>
      </c>
      <c r="G576" s="34" t="s">
        <v>310</v>
      </c>
      <c r="H576" s="34"/>
      <c r="I576" s="306">
        <v>-8122500</v>
      </c>
      <c r="J576" s="307">
        <v>-5700</v>
      </c>
      <c r="K576" s="6">
        <v>1425</v>
      </c>
      <c r="L576" s="5" t="s">
        <v>1893</v>
      </c>
      <c r="M576" s="62" t="s">
        <v>452</v>
      </c>
      <c r="N576" s="62" t="s">
        <v>464</v>
      </c>
      <c r="O576" s="62" t="s">
        <v>1916</v>
      </c>
      <c r="P576" s="100" t="s">
        <v>1895</v>
      </c>
      <c r="Q576" s="5" t="s">
        <v>1917</v>
      </c>
      <c r="R576" s="34" t="s">
        <v>1938</v>
      </c>
      <c r="S576" s="5" t="s">
        <v>1919</v>
      </c>
      <c r="T576" s="5" t="s">
        <v>445</v>
      </c>
    </row>
    <row r="577" spans="2:20">
      <c r="B577" s="9"/>
      <c r="C577" s="5" t="s">
        <v>1857</v>
      </c>
      <c r="D577" s="5"/>
      <c r="F577" s="5" t="s">
        <v>309</v>
      </c>
      <c r="G577" s="34" t="s">
        <v>310</v>
      </c>
      <c r="H577" s="34"/>
      <c r="I577" s="306">
        <v>-792000</v>
      </c>
      <c r="J577" s="307">
        <v>-550</v>
      </c>
      <c r="K577" s="6">
        <v>1440</v>
      </c>
      <c r="L577" s="5" t="s">
        <v>1939</v>
      </c>
      <c r="M577" s="62" t="s">
        <v>1382</v>
      </c>
      <c r="N577" s="62" t="s">
        <v>464</v>
      </c>
      <c r="O577" s="62" t="s">
        <v>2122</v>
      </c>
      <c r="P577" s="100" t="s">
        <v>2106</v>
      </c>
      <c r="Q577" s="5" t="s">
        <v>2123</v>
      </c>
      <c r="R577" s="34" t="s">
        <v>2124</v>
      </c>
      <c r="S577" s="5" t="s">
        <v>2125</v>
      </c>
      <c r="T577" s="5" t="s">
        <v>445</v>
      </c>
    </row>
    <row r="578" spans="2:20">
      <c r="B578" s="9"/>
      <c r="C578" s="5" t="s">
        <v>1857</v>
      </c>
      <c r="D578" s="5"/>
      <c r="F578" s="5" t="s">
        <v>45</v>
      </c>
      <c r="G578" s="34" t="s">
        <v>44</v>
      </c>
      <c r="H578" s="34"/>
      <c r="I578" s="306">
        <v>2280000</v>
      </c>
      <c r="J578" s="307">
        <v>1600</v>
      </c>
      <c r="K578" s="6">
        <v>1425</v>
      </c>
      <c r="L578" s="5" t="s">
        <v>1969</v>
      </c>
      <c r="M578" s="62" t="s">
        <v>452</v>
      </c>
      <c r="N578" s="62" t="s">
        <v>464</v>
      </c>
      <c r="O578" s="62" t="s">
        <v>2003</v>
      </c>
      <c r="P578" s="100" t="s">
        <v>1895</v>
      </c>
      <c r="Q578" s="5" t="s">
        <v>2004</v>
      </c>
      <c r="R578" s="34" t="s">
        <v>2011</v>
      </c>
      <c r="S578" s="5" t="s">
        <v>2006</v>
      </c>
      <c r="T578" s="5" t="s">
        <v>445</v>
      </c>
    </row>
    <row r="579" spans="2:20">
      <c r="B579" s="9"/>
      <c r="C579" s="5" t="s">
        <v>1857</v>
      </c>
      <c r="D579" s="5"/>
      <c r="F579" s="5" t="s">
        <v>45</v>
      </c>
      <c r="G579" s="34" t="s">
        <v>44</v>
      </c>
      <c r="H579" s="34"/>
      <c r="I579" s="306">
        <v>285000</v>
      </c>
      <c r="J579" s="307">
        <v>200</v>
      </c>
      <c r="K579" s="6">
        <v>1425</v>
      </c>
      <c r="L579" s="5" t="s">
        <v>1969</v>
      </c>
      <c r="M579" s="62" t="s">
        <v>452</v>
      </c>
      <c r="N579" s="62" t="s">
        <v>464</v>
      </c>
      <c r="O579" s="62" t="s">
        <v>2003</v>
      </c>
      <c r="P579" s="100" t="s">
        <v>1895</v>
      </c>
      <c r="Q579" s="5" t="s">
        <v>2004</v>
      </c>
      <c r="R579" s="34" t="s">
        <v>2052</v>
      </c>
      <c r="S579" s="5" t="s">
        <v>2006</v>
      </c>
      <c r="T579" s="5" t="s">
        <v>445</v>
      </c>
    </row>
    <row r="580" spans="2:20">
      <c r="B580" s="9"/>
      <c r="C580" s="5" t="s">
        <v>1857</v>
      </c>
      <c r="D580" s="5"/>
      <c r="F580" s="5" t="s">
        <v>45</v>
      </c>
      <c r="G580" s="34" t="s">
        <v>44</v>
      </c>
      <c r="H580" s="34"/>
      <c r="I580" s="306">
        <v>6048000</v>
      </c>
      <c r="J580" s="307">
        <v>4200</v>
      </c>
      <c r="K580" s="6">
        <v>1440</v>
      </c>
      <c r="L580" s="5" t="s">
        <v>2074</v>
      </c>
      <c r="M580" s="62" t="s">
        <v>452</v>
      </c>
      <c r="N580" s="62" t="s">
        <v>464</v>
      </c>
      <c r="O580" s="62" t="s">
        <v>2075</v>
      </c>
      <c r="P580" s="100" t="s">
        <v>1895</v>
      </c>
      <c r="Q580" s="5" t="s">
        <v>2076</v>
      </c>
      <c r="R580" s="34" t="s">
        <v>2101</v>
      </c>
      <c r="S580" s="5" t="s">
        <v>2078</v>
      </c>
      <c r="T580" s="5" t="s">
        <v>445</v>
      </c>
    </row>
    <row r="581" spans="2:20">
      <c r="B581" s="9"/>
      <c r="C581" s="5" t="s">
        <v>1857</v>
      </c>
      <c r="D581" s="5"/>
      <c r="F581" s="5" t="s">
        <v>45</v>
      </c>
      <c r="G581" s="34" t="s">
        <v>44</v>
      </c>
      <c r="H581" s="34"/>
      <c r="I581" s="306">
        <v>3758240</v>
      </c>
      <c r="J581" s="307">
        <v>2656</v>
      </c>
      <c r="K581" s="6">
        <v>1415</v>
      </c>
      <c r="L581" s="5" t="s">
        <v>1902</v>
      </c>
      <c r="M581" s="62" t="s">
        <v>452</v>
      </c>
      <c r="N581" s="62" t="s">
        <v>464</v>
      </c>
      <c r="O581" s="62" t="s">
        <v>1907</v>
      </c>
      <c r="P581" s="100" t="s">
        <v>1895</v>
      </c>
      <c r="Q581" s="5" t="s">
        <v>1908</v>
      </c>
      <c r="R581" s="34" t="s">
        <v>2102</v>
      </c>
      <c r="S581" s="5" t="s">
        <v>1910</v>
      </c>
      <c r="T581" s="5" t="s">
        <v>445</v>
      </c>
    </row>
    <row r="582" spans="2:20">
      <c r="B582" s="9"/>
      <c r="C582" s="5" t="s">
        <v>1857</v>
      </c>
      <c r="D582" s="5"/>
      <c r="F582" s="5" t="s">
        <v>457</v>
      </c>
      <c r="G582" s="34" t="s">
        <v>458</v>
      </c>
      <c r="H582" s="34"/>
      <c r="I582" s="306">
        <v>0</v>
      </c>
      <c r="J582" s="307">
        <v>-1.1000000000000001E-3</v>
      </c>
      <c r="K582" s="6">
        <v>1</v>
      </c>
      <c r="L582" s="5" t="s">
        <v>2130</v>
      </c>
      <c r="M582" s="62" t="s">
        <v>452</v>
      </c>
      <c r="N582" s="62" t="s">
        <v>442</v>
      </c>
      <c r="O582" s="62" t="s">
        <v>2131</v>
      </c>
      <c r="P582" s="100" t="s">
        <v>1895</v>
      </c>
      <c r="Q582" s="5" t="s">
        <v>2132</v>
      </c>
      <c r="R582" s="34" t="s">
        <v>2132</v>
      </c>
      <c r="S582" s="5" t="s">
        <v>2133</v>
      </c>
      <c r="T582" s="5" t="s">
        <v>445</v>
      </c>
    </row>
    <row r="583" spans="2:20">
      <c r="B583" s="9"/>
      <c r="C583" s="5" t="s">
        <v>1857</v>
      </c>
      <c r="D583" s="5"/>
      <c r="F583" s="5" t="s">
        <v>457</v>
      </c>
      <c r="G583" s="34" t="s">
        <v>458</v>
      </c>
      <c r="H583" s="34"/>
      <c r="I583" s="306">
        <v>-1.6</v>
      </c>
      <c r="J583" s="307">
        <v>0</v>
      </c>
      <c r="K583" s="6">
        <v>1</v>
      </c>
      <c r="L583" s="5" t="s">
        <v>2130</v>
      </c>
      <c r="M583" s="62" t="s">
        <v>452</v>
      </c>
      <c r="N583" s="62" t="s">
        <v>442</v>
      </c>
      <c r="O583" s="62" t="s">
        <v>2131</v>
      </c>
      <c r="P583" s="100" t="s">
        <v>1895</v>
      </c>
      <c r="Q583" s="5" t="s">
        <v>2132</v>
      </c>
      <c r="R583" s="34" t="s">
        <v>2132</v>
      </c>
      <c r="S583" s="5" t="s">
        <v>2133</v>
      </c>
      <c r="T583" s="5" t="s">
        <v>445</v>
      </c>
    </row>
    <row r="584" spans="2:20">
      <c r="B584" s="9"/>
      <c r="C584" s="5" t="s">
        <v>1857</v>
      </c>
      <c r="D584" s="5"/>
      <c r="F584" s="5" t="s">
        <v>457</v>
      </c>
      <c r="G584" s="34" t="s">
        <v>458</v>
      </c>
      <c r="H584" s="34"/>
      <c r="I584" s="306">
        <v>0.5</v>
      </c>
      <c r="J584" s="307">
        <v>0</v>
      </c>
      <c r="K584" s="6">
        <v>1</v>
      </c>
      <c r="L584" s="5" t="s">
        <v>2074</v>
      </c>
      <c r="M584" s="62" t="s">
        <v>452</v>
      </c>
      <c r="N584" s="62" t="s">
        <v>442</v>
      </c>
      <c r="O584" s="62" t="s">
        <v>2134</v>
      </c>
      <c r="P584" s="100" t="s">
        <v>1895</v>
      </c>
      <c r="Q584" s="5" t="s">
        <v>2135</v>
      </c>
      <c r="R584" s="34" t="s">
        <v>2135</v>
      </c>
      <c r="S584" s="5" t="s">
        <v>2136</v>
      </c>
      <c r="T584" s="5" t="s">
        <v>445</v>
      </c>
    </row>
    <row r="585" spans="2:20">
      <c r="B585" s="9"/>
      <c r="C585" s="5" t="s">
        <v>1857</v>
      </c>
      <c r="D585" s="5"/>
      <c r="F585" s="5" t="s">
        <v>457</v>
      </c>
      <c r="G585" s="34" t="s">
        <v>458</v>
      </c>
      <c r="H585" s="34"/>
      <c r="I585" s="306">
        <v>0</v>
      </c>
      <c r="J585" s="307">
        <v>4.0000000000000002E-4</v>
      </c>
      <c r="K585" s="6">
        <v>1</v>
      </c>
      <c r="L585" s="5" t="s">
        <v>2074</v>
      </c>
      <c r="M585" s="62" t="s">
        <v>452</v>
      </c>
      <c r="N585" s="62" t="s">
        <v>442</v>
      </c>
      <c r="O585" s="62" t="s">
        <v>2134</v>
      </c>
      <c r="P585" s="100" t="s">
        <v>1895</v>
      </c>
      <c r="Q585" s="5" t="s">
        <v>2135</v>
      </c>
      <c r="R585" s="34" t="s">
        <v>2135</v>
      </c>
      <c r="S585" s="5" t="s">
        <v>2136</v>
      </c>
      <c r="T585" s="5" t="s">
        <v>445</v>
      </c>
    </row>
    <row r="586" spans="2:20">
      <c r="B586" s="9"/>
      <c r="C586" s="5" t="s">
        <v>1857</v>
      </c>
      <c r="D586" s="5"/>
      <c r="F586" s="5" t="s">
        <v>457</v>
      </c>
      <c r="G586" s="34" t="s">
        <v>458</v>
      </c>
      <c r="H586" s="34"/>
      <c r="I586" s="306">
        <v>0</v>
      </c>
      <c r="J586" s="307">
        <v>2.0000000000000001E-4</v>
      </c>
      <c r="K586" s="6">
        <v>1</v>
      </c>
      <c r="L586" s="5" t="s">
        <v>1911</v>
      </c>
      <c r="M586" s="62" t="s">
        <v>452</v>
      </c>
      <c r="N586" s="62" t="s">
        <v>442</v>
      </c>
      <c r="O586" s="62" t="s">
        <v>2137</v>
      </c>
      <c r="P586" s="100" t="s">
        <v>1895</v>
      </c>
      <c r="Q586" s="5" t="s">
        <v>2138</v>
      </c>
      <c r="R586" s="34" t="s">
        <v>2138</v>
      </c>
      <c r="S586" s="5" t="s">
        <v>2139</v>
      </c>
      <c r="T586" s="5" t="s">
        <v>445</v>
      </c>
    </row>
    <row r="587" spans="2:20">
      <c r="B587" s="9"/>
      <c r="C587" s="5" t="s">
        <v>1857</v>
      </c>
      <c r="D587" s="5"/>
      <c r="F587" s="5" t="s">
        <v>457</v>
      </c>
      <c r="G587" s="34" t="s">
        <v>458</v>
      </c>
      <c r="H587" s="34"/>
      <c r="I587" s="306">
        <v>0.25</v>
      </c>
      <c r="J587" s="307">
        <v>0</v>
      </c>
      <c r="K587" s="6">
        <v>1</v>
      </c>
      <c r="L587" s="5" t="s">
        <v>1911</v>
      </c>
      <c r="M587" s="62" t="s">
        <v>452</v>
      </c>
      <c r="N587" s="62" t="s">
        <v>442</v>
      </c>
      <c r="O587" s="62" t="s">
        <v>2137</v>
      </c>
      <c r="P587" s="100" t="s">
        <v>1895</v>
      </c>
      <c r="Q587" s="5" t="s">
        <v>2138</v>
      </c>
      <c r="R587" s="34" t="s">
        <v>2138</v>
      </c>
      <c r="S587" s="5" t="s">
        <v>2139</v>
      </c>
      <c r="T587" s="5" t="s">
        <v>445</v>
      </c>
    </row>
    <row r="588" spans="2:20">
      <c r="B588" s="9"/>
      <c r="C588" s="5" t="s">
        <v>1857</v>
      </c>
      <c r="D588" s="5"/>
      <c r="F588" s="5" t="s">
        <v>457</v>
      </c>
      <c r="G588" s="34" t="s">
        <v>458</v>
      </c>
      <c r="H588" s="34"/>
      <c r="I588" s="306">
        <v>0</v>
      </c>
      <c r="J588" s="307">
        <v>2.2000000000000001E-3</v>
      </c>
      <c r="K588" s="6">
        <v>1</v>
      </c>
      <c r="L588" s="5" t="s">
        <v>1893</v>
      </c>
      <c r="M588" s="62" t="s">
        <v>452</v>
      </c>
      <c r="N588" s="62" t="s">
        <v>442</v>
      </c>
      <c r="O588" s="62" t="s">
        <v>2140</v>
      </c>
      <c r="P588" s="100" t="s">
        <v>1895</v>
      </c>
      <c r="Q588" s="5" t="s">
        <v>2141</v>
      </c>
      <c r="R588" s="34" t="s">
        <v>2141</v>
      </c>
      <c r="S588" s="5" t="s">
        <v>2142</v>
      </c>
      <c r="T588" s="5" t="s">
        <v>445</v>
      </c>
    </row>
    <row r="589" spans="2:20">
      <c r="B589" s="9"/>
      <c r="C589" s="5" t="s">
        <v>1857</v>
      </c>
      <c r="D589" s="5"/>
      <c r="F589" s="5" t="s">
        <v>457</v>
      </c>
      <c r="G589" s="34" t="s">
        <v>458</v>
      </c>
      <c r="H589" s="34"/>
      <c r="I589" s="306">
        <v>3.05</v>
      </c>
      <c r="J589" s="307">
        <v>0</v>
      </c>
      <c r="K589" s="6">
        <v>1</v>
      </c>
      <c r="L589" s="5" t="s">
        <v>1893</v>
      </c>
      <c r="M589" s="62" t="s">
        <v>452</v>
      </c>
      <c r="N589" s="62" t="s">
        <v>442</v>
      </c>
      <c r="O589" s="62" t="s">
        <v>2140</v>
      </c>
      <c r="P589" s="100" t="s">
        <v>1895</v>
      </c>
      <c r="Q589" s="5" t="s">
        <v>2141</v>
      </c>
      <c r="R589" s="34" t="s">
        <v>2141</v>
      </c>
      <c r="S589" s="5" t="s">
        <v>2142</v>
      </c>
      <c r="T589" s="5" t="s">
        <v>445</v>
      </c>
    </row>
    <row r="590" spans="2:20">
      <c r="B590" s="9"/>
      <c r="C590" s="5" t="s">
        <v>1857</v>
      </c>
      <c r="D590" s="5"/>
      <c r="F590" s="5" t="s">
        <v>320</v>
      </c>
      <c r="G590" s="34" t="s">
        <v>321</v>
      </c>
      <c r="H590" s="34"/>
      <c r="I590" s="306">
        <v>-39620</v>
      </c>
      <c r="J590" s="307">
        <v>-28</v>
      </c>
      <c r="K590" s="6">
        <v>1415</v>
      </c>
      <c r="L590" s="5" t="s">
        <v>1902</v>
      </c>
      <c r="M590" s="62" t="s">
        <v>452</v>
      </c>
      <c r="N590" s="62" t="s">
        <v>464</v>
      </c>
      <c r="O590" s="62" t="s">
        <v>1903</v>
      </c>
      <c r="P590" s="100" t="s">
        <v>1895</v>
      </c>
      <c r="Q590" s="5" t="s">
        <v>1904</v>
      </c>
      <c r="R590" s="34" t="s">
        <v>1905</v>
      </c>
      <c r="S590" s="5" t="s">
        <v>1906</v>
      </c>
      <c r="T590" s="5" t="s">
        <v>445</v>
      </c>
    </row>
    <row r="591" spans="2:20">
      <c r="B591" s="9"/>
      <c r="C591" s="5" t="s">
        <v>1857</v>
      </c>
      <c r="D591" s="5"/>
      <c r="F591" s="5" t="s">
        <v>320</v>
      </c>
      <c r="G591" s="34" t="s">
        <v>321</v>
      </c>
      <c r="H591" s="34"/>
      <c r="I591" s="306">
        <v>-8914.5</v>
      </c>
      <c r="J591" s="307">
        <v>-6.3</v>
      </c>
      <c r="K591" s="6">
        <v>1415</v>
      </c>
      <c r="L591" s="5" t="s">
        <v>1902</v>
      </c>
      <c r="M591" s="62" t="s">
        <v>452</v>
      </c>
      <c r="N591" s="62" t="s">
        <v>464</v>
      </c>
      <c r="O591" s="62" t="s">
        <v>1903</v>
      </c>
      <c r="P591" s="100" t="s">
        <v>1895</v>
      </c>
      <c r="Q591" s="5" t="s">
        <v>1904</v>
      </c>
      <c r="R591" s="34" t="s">
        <v>1905</v>
      </c>
      <c r="S591" s="5" t="s">
        <v>1906</v>
      </c>
      <c r="T591" s="5" t="s">
        <v>445</v>
      </c>
    </row>
    <row r="592" spans="2:20">
      <c r="B592" s="9"/>
      <c r="C592" s="5" t="s">
        <v>1857</v>
      </c>
      <c r="D592" s="5"/>
      <c r="F592" s="5" t="s">
        <v>320</v>
      </c>
      <c r="G592" s="34" t="s">
        <v>321</v>
      </c>
      <c r="H592" s="34"/>
      <c r="I592" s="306">
        <v>9225.7999999999993</v>
      </c>
      <c r="J592" s="307">
        <v>6.52</v>
      </c>
      <c r="K592" s="6">
        <v>1415</v>
      </c>
      <c r="L592" s="5" t="s">
        <v>1902</v>
      </c>
      <c r="M592" s="62" t="s">
        <v>452</v>
      </c>
      <c r="N592" s="62" t="s">
        <v>464</v>
      </c>
      <c r="O592" s="62" t="s">
        <v>1907</v>
      </c>
      <c r="P592" s="100" t="s">
        <v>1895</v>
      </c>
      <c r="Q592" s="5" t="s">
        <v>1908</v>
      </c>
      <c r="R592" s="34" t="s">
        <v>1909</v>
      </c>
      <c r="S592" s="5" t="s">
        <v>1910</v>
      </c>
      <c r="T592" s="5" t="s">
        <v>445</v>
      </c>
    </row>
    <row r="593" spans="1:256">
      <c r="B593" s="9"/>
      <c r="C593" s="5" t="s">
        <v>1857</v>
      </c>
      <c r="D593" s="5"/>
      <c r="F593" s="5" t="s">
        <v>320</v>
      </c>
      <c r="G593" s="34" t="s">
        <v>321</v>
      </c>
      <c r="H593" s="34"/>
      <c r="I593" s="306">
        <v>41006.699999999997</v>
      </c>
      <c r="J593" s="307">
        <v>28.98</v>
      </c>
      <c r="K593" s="6">
        <v>1415</v>
      </c>
      <c r="L593" s="5" t="s">
        <v>1902</v>
      </c>
      <c r="M593" s="62" t="s">
        <v>452</v>
      </c>
      <c r="N593" s="62" t="s">
        <v>464</v>
      </c>
      <c r="O593" s="62" t="s">
        <v>1907</v>
      </c>
      <c r="P593" s="100" t="s">
        <v>1895</v>
      </c>
      <c r="Q593" s="5" t="s">
        <v>1908</v>
      </c>
      <c r="R593" s="34" t="s">
        <v>1909</v>
      </c>
      <c r="S593" s="5" t="s">
        <v>1910</v>
      </c>
      <c r="T593" s="5" t="s">
        <v>445</v>
      </c>
    </row>
    <row r="594" spans="1:256">
      <c r="B594" s="9"/>
      <c r="C594" s="5" t="s">
        <v>1857</v>
      </c>
      <c r="D594" s="5"/>
      <c r="F594" s="5" t="s">
        <v>320</v>
      </c>
      <c r="G594" s="34" t="s">
        <v>321</v>
      </c>
      <c r="H594" s="34"/>
      <c r="I594" s="306">
        <v>28314.15</v>
      </c>
      <c r="J594" s="307">
        <v>20.010000000000002</v>
      </c>
      <c r="K594" s="6">
        <v>1415</v>
      </c>
      <c r="L594" s="5" t="s">
        <v>1902</v>
      </c>
      <c r="M594" s="62" t="s">
        <v>452</v>
      </c>
      <c r="N594" s="62" t="s">
        <v>464</v>
      </c>
      <c r="O594" s="62" t="s">
        <v>1907</v>
      </c>
      <c r="P594" s="100" t="s">
        <v>1895</v>
      </c>
      <c r="Q594" s="5" t="s">
        <v>1908</v>
      </c>
      <c r="R594" s="34" t="s">
        <v>1925</v>
      </c>
      <c r="S594" s="5" t="s">
        <v>1910</v>
      </c>
      <c r="T594" s="5" t="s">
        <v>445</v>
      </c>
    </row>
    <row r="595" spans="1:256">
      <c r="B595" s="9"/>
      <c r="C595" s="5" t="s">
        <v>1857</v>
      </c>
      <c r="D595" s="5"/>
      <c r="F595" s="5" t="s">
        <v>320</v>
      </c>
      <c r="G595" s="34" t="s">
        <v>321</v>
      </c>
      <c r="H595" s="34"/>
      <c r="I595" s="306">
        <v>187699.75</v>
      </c>
      <c r="J595" s="307">
        <v>132.65</v>
      </c>
      <c r="K595" s="6">
        <v>1415</v>
      </c>
      <c r="L595" s="5" t="s">
        <v>1902</v>
      </c>
      <c r="M595" s="62" t="s">
        <v>452</v>
      </c>
      <c r="N595" s="62" t="s">
        <v>464</v>
      </c>
      <c r="O595" s="62" t="s">
        <v>1907</v>
      </c>
      <c r="P595" s="100" t="s">
        <v>1895</v>
      </c>
      <c r="Q595" s="5" t="s">
        <v>1908</v>
      </c>
      <c r="R595" s="34" t="s">
        <v>1927</v>
      </c>
      <c r="S595" s="5" t="s">
        <v>1910</v>
      </c>
      <c r="T595" s="5" t="s">
        <v>445</v>
      </c>
    </row>
    <row r="596" spans="1:256">
      <c r="B596" s="9"/>
      <c r="C596" s="5" t="s">
        <v>1857</v>
      </c>
      <c r="D596" s="5"/>
      <c r="F596" s="5" t="s">
        <v>320</v>
      </c>
      <c r="G596" s="34" t="s">
        <v>321</v>
      </c>
      <c r="H596" s="34"/>
      <c r="I596" s="306">
        <v>-2971.5</v>
      </c>
      <c r="J596" s="307">
        <v>-2.1</v>
      </c>
      <c r="K596" s="6">
        <v>1415</v>
      </c>
      <c r="L596" s="5" t="s">
        <v>1902</v>
      </c>
      <c r="M596" s="62" t="s">
        <v>452</v>
      </c>
      <c r="N596" s="62" t="s">
        <v>464</v>
      </c>
      <c r="O596" s="62" t="s">
        <v>1903</v>
      </c>
      <c r="P596" s="100" t="s">
        <v>1895</v>
      </c>
      <c r="Q596" s="5" t="s">
        <v>1904</v>
      </c>
      <c r="R596" s="34" t="s">
        <v>1930</v>
      </c>
      <c r="S596" s="5" t="s">
        <v>1906</v>
      </c>
      <c r="T596" s="5" t="s">
        <v>445</v>
      </c>
    </row>
    <row r="597" spans="1:256">
      <c r="B597" s="9"/>
      <c r="C597" s="5" t="s">
        <v>1857</v>
      </c>
      <c r="D597" s="5"/>
      <c r="F597" s="5" t="s">
        <v>320</v>
      </c>
      <c r="G597" s="34" t="s">
        <v>321</v>
      </c>
      <c r="H597" s="34"/>
      <c r="I597" s="306">
        <v>-95088</v>
      </c>
      <c r="J597" s="307">
        <v>-67.2</v>
      </c>
      <c r="K597" s="6">
        <v>1415</v>
      </c>
      <c r="L597" s="5" t="s">
        <v>1902</v>
      </c>
      <c r="M597" s="62" t="s">
        <v>452</v>
      </c>
      <c r="N597" s="62" t="s">
        <v>464</v>
      </c>
      <c r="O597" s="62" t="s">
        <v>1903</v>
      </c>
      <c r="P597" s="100" t="s">
        <v>1895</v>
      </c>
      <c r="Q597" s="5" t="s">
        <v>1904</v>
      </c>
      <c r="R597" s="34" t="s">
        <v>1930</v>
      </c>
      <c r="S597" s="5" t="s">
        <v>1906</v>
      </c>
      <c r="T597" s="5" t="s">
        <v>445</v>
      </c>
    </row>
    <row r="598" spans="1:256">
      <c r="B598" s="9"/>
      <c r="C598" s="5" t="s">
        <v>1857</v>
      </c>
      <c r="D598" s="5"/>
      <c r="F598" s="5" t="s">
        <v>320</v>
      </c>
      <c r="G598" s="34" t="s">
        <v>321</v>
      </c>
      <c r="H598" s="34"/>
      <c r="I598" s="306">
        <v>98413.25</v>
      </c>
      <c r="J598" s="307">
        <v>69.55</v>
      </c>
      <c r="K598" s="6">
        <v>1415</v>
      </c>
      <c r="L598" s="5" t="s">
        <v>1902</v>
      </c>
      <c r="M598" s="62" t="s">
        <v>452</v>
      </c>
      <c r="N598" s="62" t="s">
        <v>464</v>
      </c>
      <c r="O598" s="62" t="s">
        <v>1907</v>
      </c>
      <c r="P598" s="100" t="s">
        <v>1895</v>
      </c>
      <c r="Q598" s="5" t="s">
        <v>1908</v>
      </c>
      <c r="R598" s="34" t="s">
        <v>1931</v>
      </c>
      <c r="S598" s="5" t="s">
        <v>1910</v>
      </c>
      <c r="T598" s="5" t="s">
        <v>445</v>
      </c>
    </row>
    <row r="599" spans="1:256">
      <c r="B599" s="9"/>
      <c r="C599" s="5" t="s">
        <v>1857</v>
      </c>
      <c r="D599" s="5"/>
      <c r="F599" s="5" t="s">
        <v>320</v>
      </c>
      <c r="G599" s="34" t="s">
        <v>321</v>
      </c>
      <c r="H599" s="34"/>
      <c r="I599" s="306">
        <v>3070.55</v>
      </c>
      <c r="J599" s="307">
        <v>2.17</v>
      </c>
      <c r="K599" s="6">
        <v>1415</v>
      </c>
      <c r="L599" s="5" t="s">
        <v>1902</v>
      </c>
      <c r="M599" s="62" t="s">
        <v>452</v>
      </c>
      <c r="N599" s="62" t="s">
        <v>464</v>
      </c>
      <c r="O599" s="62" t="s">
        <v>1907</v>
      </c>
      <c r="P599" s="100" t="s">
        <v>1895</v>
      </c>
      <c r="Q599" s="5" t="s">
        <v>1908</v>
      </c>
      <c r="R599" s="34" t="s">
        <v>1931</v>
      </c>
      <c r="S599" s="5" t="s">
        <v>1910</v>
      </c>
      <c r="T599" s="5" t="s">
        <v>445</v>
      </c>
    </row>
    <row r="600" spans="1:256">
      <c r="B600" s="9"/>
      <c r="C600" s="5" t="s">
        <v>1857</v>
      </c>
      <c r="D600" s="5"/>
      <c r="F600" s="5" t="s">
        <v>320</v>
      </c>
      <c r="G600" s="34" t="s">
        <v>321</v>
      </c>
      <c r="H600" s="34"/>
      <c r="I600" s="306">
        <v>211726.45</v>
      </c>
      <c r="J600" s="307">
        <v>149.63</v>
      </c>
      <c r="K600" s="6">
        <v>1415</v>
      </c>
      <c r="L600" s="5" t="s">
        <v>1902</v>
      </c>
      <c r="M600" s="62" t="s">
        <v>452</v>
      </c>
      <c r="N600" s="62" t="s">
        <v>464</v>
      </c>
      <c r="O600" s="62" t="s">
        <v>1907</v>
      </c>
      <c r="P600" s="100" t="s">
        <v>1895</v>
      </c>
      <c r="Q600" s="5" t="s">
        <v>1908</v>
      </c>
      <c r="R600" s="34" t="s">
        <v>1937</v>
      </c>
      <c r="S600" s="5" t="s">
        <v>1910</v>
      </c>
      <c r="T600" s="5" t="s">
        <v>445</v>
      </c>
    </row>
    <row r="601" spans="1:256">
      <c r="B601" s="9"/>
      <c r="C601" s="5" t="s">
        <v>1857</v>
      </c>
      <c r="D601" s="5"/>
      <c r="F601" s="5" t="s">
        <v>320</v>
      </c>
      <c r="G601" s="34" t="s">
        <v>321</v>
      </c>
      <c r="H601" s="34"/>
      <c r="I601" s="306">
        <v>424500</v>
      </c>
      <c r="J601" s="307">
        <v>300</v>
      </c>
      <c r="K601" s="6">
        <v>1415</v>
      </c>
      <c r="L601" s="5" t="s">
        <v>1893</v>
      </c>
      <c r="M601" s="62" t="s">
        <v>452</v>
      </c>
      <c r="N601" s="62" t="s">
        <v>464</v>
      </c>
      <c r="O601" s="62" t="s">
        <v>1894</v>
      </c>
      <c r="P601" s="100" t="s">
        <v>1895</v>
      </c>
      <c r="Q601" s="5" t="s">
        <v>1896</v>
      </c>
      <c r="R601" s="34" t="s">
        <v>2059</v>
      </c>
      <c r="S601" s="5" t="s">
        <v>1898</v>
      </c>
      <c r="T601" s="5" t="s">
        <v>445</v>
      </c>
    </row>
    <row r="602" spans="1:256">
      <c r="B602" s="9"/>
      <c r="C602" s="5" t="s">
        <v>1857</v>
      </c>
      <c r="D602" s="5"/>
      <c r="F602" s="5" t="s">
        <v>320</v>
      </c>
      <c r="G602" s="34" t="s">
        <v>321</v>
      </c>
      <c r="H602" s="34"/>
      <c r="I602" s="306">
        <v>96644.5</v>
      </c>
      <c r="J602" s="307">
        <v>68.3</v>
      </c>
      <c r="K602" s="6">
        <v>1415</v>
      </c>
      <c r="L602" s="5" t="s">
        <v>1902</v>
      </c>
      <c r="M602" s="62" t="s">
        <v>452</v>
      </c>
      <c r="N602" s="62" t="s">
        <v>464</v>
      </c>
      <c r="O602" s="62" t="s">
        <v>1907</v>
      </c>
      <c r="P602" s="100" t="s">
        <v>1895</v>
      </c>
      <c r="Q602" s="5" t="s">
        <v>1908</v>
      </c>
      <c r="R602" s="34" t="s">
        <v>2104</v>
      </c>
      <c r="S602" s="5" t="s">
        <v>1910</v>
      </c>
      <c r="T602" s="5" t="s">
        <v>445</v>
      </c>
    </row>
    <row r="603" spans="1:256">
      <c r="B603" s="9"/>
      <c r="C603" s="5" t="s">
        <v>1857</v>
      </c>
      <c r="D603" s="5"/>
      <c r="F603" s="5" t="s">
        <v>324</v>
      </c>
      <c r="G603" s="34" t="s">
        <v>325</v>
      </c>
      <c r="H603" s="34"/>
      <c r="I603" s="306">
        <v>-5760000</v>
      </c>
      <c r="J603" s="307">
        <v>-4070.6713780918699</v>
      </c>
      <c r="K603" s="6">
        <v>1415</v>
      </c>
      <c r="L603" s="5" t="s">
        <v>1902</v>
      </c>
      <c r="M603" s="62" t="s">
        <v>452</v>
      </c>
      <c r="N603" s="62" t="s">
        <v>464</v>
      </c>
      <c r="O603" s="62" t="s">
        <v>1992</v>
      </c>
      <c r="P603" s="100" t="s">
        <v>1895</v>
      </c>
      <c r="Q603" s="5" t="s">
        <v>1993</v>
      </c>
      <c r="R603" s="34" t="s">
        <v>563</v>
      </c>
      <c r="S603" s="5" t="s">
        <v>1994</v>
      </c>
      <c r="T603" s="5" t="s">
        <v>445</v>
      </c>
    </row>
    <row r="604" spans="1:256">
      <c r="B604" s="9"/>
      <c r="C604" s="5" t="s">
        <v>1857</v>
      </c>
      <c r="D604" s="5"/>
      <c r="F604" s="5" t="s">
        <v>324</v>
      </c>
      <c r="G604" s="34" t="s">
        <v>325</v>
      </c>
      <c r="H604" s="34"/>
      <c r="I604" s="306">
        <v>-4315750</v>
      </c>
      <c r="J604" s="307">
        <v>-3050</v>
      </c>
      <c r="K604" s="6">
        <v>1415</v>
      </c>
      <c r="L604" s="5" t="s">
        <v>1902</v>
      </c>
      <c r="M604" s="62" t="s">
        <v>452</v>
      </c>
      <c r="N604" s="62" t="s">
        <v>464</v>
      </c>
      <c r="O604" s="62" t="s">
        <v>1995</v>
      </c>
      <c r="P604" s="100" t="s">
        <v>1895</v>
      </c>
      <c r="Q604" s="5" t="s">
        <v>1996</v>
      </c>
      <c r="R604" s="34" t="s">
        <v>563</v>
      </c>
      <c r="S604" s="5" t="s">
        <v>1997</v>
      </c>
      <c r="T604" s="5" t="s">
        <v>445</v>
      </c>
    </row>
    <row r="605" spans="1:256">
      <c r="B605" s="9"/>
      <c r="C605" s="5" t="s">
        <v>1857</v>
      </c>
      <c r="D605" s="5"/>
      <c r="F605" s="5" t="s">
        <v>324</v>
      </c>
      <c r="G605" s="34" t="s">
        <v>325</v>
      </c>
      <c r="H605" s="34"/>
      <c r="I605" s="306">
        <v>1140000</v>
      </c>
      <c r="J605" s="307">
        <v>800</v>
      </c>
      <c r="K605" s="6">
        <v>1425</v>
      </c>
      <c r="L605" s="5" t="s">
        <v>1911</v>
      </c>
      <c r="M605" s="62" t="s">
        <v>452</v>
      </c>
      <c r="N605" s="62" t="s">
        <v>464</v>
      </c>
      <c r="O605" s="62" t="s">
        <v>2070</v>
      </c>
      <c r="P605" s="100" t="s">
        <v>1895</v>
      </c>
      <c r="Q605" s="5" t="s">
        <v>2071</v>
      </c>
      <c r="R605" s="34" t="s">
        <v>2072</v>
      </c>
      <c r="S605" s="5" t="s">
        <v>2073</v>
      </c>
      <c r="T605" s="5" t="s">
        <v>445</v>
      </c>
    </row>
    <row r="606" spans="1:256">
      <c r="B606" s="9"/>
      <c r="C606" s="5" t="s">
        <v>1857</v>
      </c>
      <c r="D606" s="5"/>
      <c r="F606" s="5" t="s">
        <v>324</v>
      </c>
      <c r="G606" s="34" t="s">
        <v>325</v>
      </c>
      <c r="H606" s="34"/>
      <c r="I606" s="306">
        <v>3240000</v>
      </c>
      <c r="J606" s="307">
        <v>2250</v>
      </c>
      <c r="K606" s="6">
        <v>1440</v>
      </c>
      <c r="L606" s="5" t="s">
        <v>2074</v>
      </c>
      <c r="M606" s="62" t="s">
        <v>452</v>
      </c>
      <c r="N606" s="62" t="s">
        <v>464</v>
      </c>
      <c r="O606" s="62" t="s">
        <v>2075</v>
      </c>
      <c r="P606" s="100" t="s">
        <v>1895</v>
      </c>
      <c r="Q606" s="5" t="s">
        <v>2076</v>
      </c>
      <c r="R606" s="34" t="s">
        <v>2077</v>
      </c>
      <c r="S606" s="5" t="s">
        <v>2078</v>
      </c>
      <c r="T606" s="5" t="s">
        <v>445</v>
      </c>
    </row>
    <row r="607" spans="1:256">
      <c r="B607" s="9"/>
      <c r="C607" s="5" t="s">
        <v>1857</v>
      </c>
      <c r="D607" s="5"/>
      <c r="F607" s="5" t="s">
        <v>324</v>
      </c>
      <c r="G607" s="34" t="s">
        <v>325</v>
      </c>
      <c r="H607" s="34"/>
      <c r="I607" s="306">
        <v>5760000</v>
      </c>
      <c r="J607" s="307">
        <v>4070.6713780918699</v>
      </c>
      <c r="K607" s="6">
        <v>1415</v>
      </c>
      <c r="L607" s="5" t="s">
        <v>1893</v>
      </c>
      <c r="M607" s="62" t="s">
        <v>452</v>
      </c>
      <c r="N607" s="62" t="s">
        <v>464</v>
      </c>
      <c r="O607" s="62" t="s">
        <v>2079</v>
      </c>
      <c r="P607" s="100" t="s">
        <v>1895</v>
      </c>
      <c r="Q607" s="5" t="s">
        <v>2080</v>
      </c>
      <c r="R607" s="34" t="s">
        <v>2081</v>
      </c>
      <c r="S607" s="5" t="s">
        <v>2082</v>
      </c>
      <c r="T607" s="5" t="s">
        <v>445</v>
      </c>
    </row>
    <row r="608" spans="1:256" ht="14.5">
      <c r="A608" s="5"/>
      <c r="B608" s="103"/>
      <c r="C608" s="103"/>
      <c r="D608" s="103"/>
      <c r="F608" s="105"/>
      <c r="G608" s="103"/>
      <c r="H608" s="103"/>
      <c r="I608" s="106"/>
      <c r="J608" s="106"/>
      <c r="K608" s="106"/>
      <c r="L608" s="65"/>
      <c r="M608" s="65"/>
      <c r="N608" s="5"/>
      <c r="X608" s="6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  <c r="AV608" s="103"/>
      <c r="AW608" s="103"/>
      <c r="AX608" s="103"/>
      <c r="AY608" s="103"/>
      <c r="AZ608" s="103"/>
      <c r="BA608" s="103"/>
      <c r="BB608" s="103"/>
      <c r="BC608" s="103"/>
      <c r="BD608" s="103"/>
      <c r="BE608" s="103"/>
      <c r="BF608" s="103"/>
      <c r="BG608" s="103"/>
      <c r="BH608" s="103"/>
      <c r="BI608" s="103"/>
      <c r="BJ608" s="103"/>
      <c r="BK608" s="103"/>
      <c r="BL608" s="103"/>
      <c r="BM608" s="103"/>
      <c r="BN608" s="103"/>
      <c r="BO608" s="103"/>
      <c r="BP608" s="103"/>
      <c r="BQ608" s="103"/>
      <c r="BR608" s="103"/>
      <c r="BS608" s="103"/>
      <c r="BT608" s="103"/>
      <c r="BU608" s="103"/>
      <c r="BV608" s="103"/>
      <c r="BW608" s="103"/>
      <c r="BX608" s="103"/>
      <c r="BY608" s="103"/>
      <c r="BZ608" s="103"/>
      <c r="CA608" s="103"/>
      <c r="CB608" s="103"/>
      <c r="CC608" s="103"/>
      <c r="CD608" s="103"/>
      <c r="CE608" s="103"/>
      <c r="CF608" s="103"/>
      <c r="CG608" s="103"/>
      <c r="CH608" s="103"/>
      <c r="CI608" s="103"/>
      <c r="CJ608" s="103"/>
      <c r="CK608" s="103"/>
      <c r="CL608" s="103"/>
      <c r="CM608" s="103"/>
      <c r="CN608" s="103"/>
      <c r="CO608" s="103"/>
      <c r="CP608" s="103"/>
      <c r="CQ608" s="103"/>
      <c r="CR608" s="103"/>
      <c r="CS608" s="103"/>
      <c r="CT608" s="103"/>
      <c r="CU608" s="103"/>
      <c r="CV608" s="103"/>
      <c r="CW608" s="103"/>
      <c r="CX608" s="103"/>
      <c r="CY608" s="103"/>
      <c r="CZ608" s="103"/>
      <c r="DA608" s="103"/>
      <c r="DB608" s="103"/>
      <c r="DC608" s="103"/>
      <c r="DD608" s="103"/>
      <c r="DE608" s="103"/>
      <c r="DF608" s="103"/>
      <c r="DG608" s="103"/>
      <c r="DH608" s="103"/>
      <c r="DI608" s="103"/>
      <c r="DJ608" s="103"/>
      <c r="DK608" s="103"/>
      <c r="DL608" s="103"/>
      <c r="DM608" s="103"/>
      <c r="DN608" s="103"/>
      <c r="DO608" s="103"/>
      <c r="DP608" s="103"/>
      <c r="DQ608" s="103"/>
      <c r="DR608" s="103"/>
      <c r="DS608" s="103"/>
      <c r="DT608" s="103"/>
      <c r="DU608" s="103"/>
      <c r="DV608" s="103"/>
      <c r="DW608" s="103"/>
      <c r="DX608" s="103"/>
      <c r="DY608" s="103"/>
      <c r="DZ608" s="103"/>
      <c r="EA608" s="103"/>
      <c r="EB608" s="103"/>
      <c r="EC608" s="103"/>
      <c r="ED608" s="103"/>
      <c r="EE608" s="103"/>
      <c r="EF608" s="103"/>
      <c r="EG608" s="103"/>
      <c r="EH608" s="103"/>
      <c r="EI608" s="103"/>
      <c r="EJ608" s="103"/>
      <c r="EK608" s="103"/>
      <c r="EL608" s="103"/>
      <c r="EM608" s="103"/>
      <c r="EN608" s="103"/>
      <c r="EO608" s="103"/>
      <c r="EP608" s="103"/>
      <c r="EQ608" s="103"/>
      <c r="ER608" s="103"/>
      <c r="ES608" s="103"/>
      <c r="ET608" s="103"/>
      <c r="EU608" s="103"/>
      <c r="EV608" s="103"/>
      <c r="EW608" s="103"/>
      <c r="EX608" s="103"/>
      <c r="EY608" s="103"/>
      <c r="EZ608" s="103"/>
      <c r="FA608" s="103"/>
      <c r="FB608" s="103"/>
      <c r="FC608" s="103"/>
      <c r="FD608" s="103"/>
      <c r="FE608" s="103"/>
      <c r="FF608" s="103"/>
      <c r="FG608" s="103"/>
      <c r="FH608" s="103"/>
      <c r="FI608" s="103"/>
      <c r="FJ608" s="103"/>
      <c r="FK608" s="103"/>
      <c r="FL608" s="103"/>
      <c r="FM608" s="103"/>
      <c r="FN608" s="103"/>
      <c r="FO608" s="103"/>
      <c r="FP608" s="103"/>
      <c r="FQ608" s="103"/>
      <c r="FR608" s="103"/>
      <c r="FS608" s="103"/>
      <c r="FT608" s="103"/>
      <c r="FU608" s="103"/>
      <c r="FV608" s="103"/>
      <c r="FW608" s="103"/>
      <c r="FX608" s="103"/>
      <c r="FY608" s="103"/>
      <c r="FZ608" s="103"/>
      <c r="GA608" s="103"/>
      <c r="GB608" s="103"/>
      <c r="GC608" s="103"/>
      <c r="GD608" s="103"/>
      <c r="GE608" s="103"/>
      <c r="GF608" s="103"/>
      <c r="GG608" s="103"/>
      <c r="GH608" s="103"/>
      <c r="GI608" s="103"/>
      <c r="GJ608" s="103"/>
      <c r="GK608" s="103"/>
      <c r="GL608" s="103"/>
      <c r="GM608" s="103"/>
      <c r="GN608" s="103"/>
      <c r="GO608" s="103"/>
      <c r="GP608" s="103"/>
      <c r="GQ608" s="103"/>
      <c r="GR608" s="103"/>
      <c r="GS608" s="103"/>
      <c r="GT608" s="103"/>
      <c r="GU608" s="103"/>
      <c r="GV608" s="103"/>
      <c r="GW608" s="103"/>
      <c r="GX608" s="103"/>
      <c r="GY608" s="103"/>
      <c r="GZ608" s="103"/>
      <c r="HA608" s="103"/>
      <c r="HB608" s="103"/>
      <c r="HC608" s="103"/>
      <c r="HD608" s="103"/>
      <c r="HE608" s="103"/>
      <c r="HF608" s="103"/>
      <c r="HG608" s="103"/>
      <c r="HH608" s="103"/>
      <c r="HI608" s="103"/>
      <c r="HJ608" s="103"/>
      <c r="HK608" s="103"/>
      <c r="HL608" s="103"/>
      <c r="HM608" s="103"/>
      <c r="HN608" s="103"/>
      <c r="HO608" s="103"/>
      <c r="HP608" s="103"/>
      <c r="HQ608" s="103"/>
      <c r="HR608" s="103"/>
      <c r="HS608" s="103"/>
      <c r="HT608" s="103"/>
      <c r="HU608" s="103"/>
      <c r="HV608" s="103"/>
      <c r="HW608" s="103"/>
      <c r="HX608" s="103"/>
      <c r="HY608" s="103"/>
      <c r="HZ608" s="103"/>
      <c r="IA608" s="103"/>
      <c r="IB608" s="103"/>
      <c r="IC608" s="103"/>
      <c r="ID608" s="103"/>
      <c r="IE608" s="103"/>
      <c r="IF608" s="103"/>
      <c r="IG608" s="103"/>
      <c r="IH608" s="103"/>
      <c r="II608" s="103"/>
      <c r="IJ608" s="103"/>
      <c r="IK608" s="103"/>
      <c r="IL608" s="103"/>
      <c r="IM608" s="103"/>
      <c r="IN608" s="103"/>
      <c r="IO608" s="103"/>
      <c r="IP608" s="103"/>
      <c r="IQ608" s="103"/>
      <c r="IR608" s="103"/>
      <c r="IS608" s="103"/>
      <c r="IT608" s="103"/>
      <c r="IU608" s="103"/>
      <c r="IV608" s="103"/>
    </row>
    <row r="609" spans="1:256" ht="14.5">
      <c r="A609" s="103"/>
      <c r="B609" s="103"/>
      <c r="C609" s="103"/>
      <c r="D609" s="103"/>
      <c r="F609" s="105"/>
      <c r="G609" s="103"/>
      <c r="H609" s="103"/>
      <c r="I609" s="106"/>
      <c r="J609" s="106"/>
      <c r="K609" s="106"/>
      <c r="L609" s="65"/>
      <c r="M609" s="65"/>
      <c r="N609" s="5"/>
      <c r="X609" s="6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  <c r="AV609" s="103"/>
      <c r="AW609" s="103"/>
      <c r="AX609" s="103"/>
      <c r="AY609" s="103"/>
      <c r="AZ609" s="103"/>
      <c r="BA609" s="103"/>
      <c r="BB609" s="103"/>
      <c r="BC609" s="103"/>
      <c r="BD609" s="103"/>
      <c r="BE609" s="103"/>
      <c r="BF609" s="103"/>
      <c r="BG609" s="103"/>
      <c r="BH609" s="103"/>
      <c r="BI609" s="103"/>
      <c r="BJ609" s="103"/>
      <c r="BK609" s="103"/>
      <c r="BL609" s="103"/>
      <c r="BM609" s="103"/>
      <c r="BN609" s="103"/>
      <c r="BO609" s="103"/>
      <c r="BP609" s="103"/>
      <c r="BQ609" s="103"/>
      <c r="BR609" s="103"/>
      <c r="BS609" s="103"/>
      <c r="BT609" s="103"/>
      <c r="BU609" s="103"/>
      <c r="BV609" s="103"/>
      <c r="BW609" s="103"/>
      <c r="BX609" s="103"/>
      <c r="BY609" s="103"/>
      <c r="BZ609" s="103"/>
      <c r="CA609" s="103"/>
      <c r="CB609" s="103"/>
      <c r="CC609" s="103"/>
      <c r="CD609" s="103"/>
      <c r="CE609" s="103"/>
      <c r="CF609" s="103"/>
      <c r="CG609" s="103"/>
      <c r="CH609" s="103"/>
      <c r="CI609" s="103"/>
      <c r="CJ609" s="103"/>
      <c r="CK609" s="103"/>
      <c r="CL609" s="103"/>
      <c r="CM609" s="103"/>
      <c r="CN609" s="103"/>
      <c r="CO609" s="103"/>
      <c r="CP609" s="103"/>
      <c r="CQ609" s="103"/>
      <c r="CR609" s="103"/>
      <c r="CS609" s="103"/>
      <c r="CT609" s="103"/>
      <c r="CU609" s="103"/>
      <c r="CV609" s="103"/>
      <c r="CW609" s="103"/>
      <c r="CX609" s="103"/>
      <c r="CY609" s="103"/>
      <c r="CZ609" s="103"/>
      <c r="DA609" s="103"/>
      <c r="DB609" s="103"/>
      <c r="DC609" s="103"/>
      <c r="DD609" s="103"/>
      <c r="DE609" s="103"/>
      <c r="DF609" s="103"/>
      <c r="DG609" s="103"/>
      <c r="DH609" s="103"/>
      <c r="DI609" s="103"/>
      <c r="DJ609" s="103"/>
      <c r="DK609" s="103"/>
      <c r="DL609" s="103"/>
      <c r="DM609" s="103"/>
      <c r="DN609" s="103"/>
      <c r="DO609" s="103"/>
      <c r="DP609" s="103"/>
      <c r="DQ609" s="103"/>
      <c r="DR609" s="103"/>
      <c r="DS609" s="103"/>
      <c r="DT609" s="103"/>
      <c r="DU609" s="103"/>
      <c r="DV609" s="103"/>
      <c r="DW609" s="103"/>
      <c r="DX609" s="103"/>
      <c r="DY609" s="103"/>
      <c r="DZ609" s="103"/>
      <c r="EA609" s="103"/>
      <c r="EB609" s="103"/>
      <c r="EC609" s="103"/>
      <c r="ED609" s="103"/>
      <c r="EE609" s="103"/>
      <c r="EF609" s="103"/>
      <c r="EG609" s="103"/>
      <c r="EH609" s="103"/>
      <c r="EI609" s="103"/>
      <c r="EJ609" s="103"/>
      <c r="EK609" s="103"/>
      <c r="EL609" s="103"/>
      <c r="EM609" s="103"/>
      <c r="EN609" s="103"/>
      <c r="EO609" s="103"/>
      <c r="EP609" s="103"/>
      <c r="EQ609" s="103"/>
      <c r="ER609" s="103"/>
      <c r="ES609" s="103"/>
      <c r="ET609" s="103"/>
      <c r="EU609" s="103"/>
      <c r="EV609" s="103"/>
      <c r="EW609" s="103"/>
      <c r="EX609" s="103"/>
      <c r="EY609" s="103"/>
      <c r="EZ609" s="103"/>
      <c r="FA609" s="103"/>
      <c r="FB609" s="103"/>
      <c r="FC609" s="103"/>
      <c r="FD609" s="103"/>
      <c r="FE609" s="103"/>
      <c r="FF609" s="103"/>
      <c r="FG609" s="103"/>
      <c r="FH609" s="103"/>
      <c r="FI609" s="103"/>
      <c r="FJ609" s="103"/>
      <c r="FK609" s="103"/>
      <c r="FL609" s="103"/>
      <c r="FM609" s="103"/>
      <c r="FN609" s="103"/>
      <c r="FO609" s="103"/>
      <c r="FP609" s="103"/>
      <c r="FQ609" s="103"/>
      <c r="FR609" s="103"/>
      <c r="FS609" s="103"/>
      <c r="FT609" s="103"/>
      <c r="FU609" s="103"/>
      <c r="FV609" s="103"/>
      <c r="FW609" s="103"/>
      <c r="FX609" s="103"/>
      <c r="FY609" s="103"/>
      <c r="FZ609" s="103"/>
      <c r="GA609" s="103"/>
      <c r="GB609" s="103"/>
      <c r="GC609" s="103"/>
      <c r="GD609" s="103"/>
      <c r="GE609" s="103"/>
      <c r="GF609" s="103"/>
      <c r="GG609" s="103"/>
      <c r="GH609" s="103"/>
      <c r="GI609" s="103"/>
      <c r="GJ609" s="103"/>
      <c r="GK609" s="103"/>
      <c r="GL609" s="103"/>
      <c r="GM609" s="103"/>
      <c r="GN609" s="103"/>
      <c r="GO609" s="103"/>
      <c r="GP609" s="103"/>
      <c r="GQ609" s="103"/>
      <c r="GR609" s="103"/>
      <c r="GS609" s="103"/>
      <c r="GT609" s="103"/>
      <c r="GU609" s="103"/>
      <c r="GV609" s="103"/>
      <c r="GW609" s="103"/>
      <c r="GX609" s="103"/>
      <c r="GY609" s="103"/>
      <c r="GZ609" s="103"/>
      <c r="HA609" s="103"/>
      <c r="HB609" s="103"/>
      <c r="HC609" s="103"/>
      <c r="HD609" s="103"/>
      <c r="HE609" s="103"/>
      <c r="HF609" s="103"/>
      <c r="HG609" s="103"/>
      <c r="HH609" s="103"/>
      <c r="HI609" s="103"/>
      <c r="HJ609" s="103"/>
      <c r="HK609" s="103"/>
      <c r="HL609" s="103"/>
      <c r="HM609" s="103"/>
      <c r="HN609" s="103"/>
      <c r="HO609" s="103"/>
      <c r="HP609" s="103"/>
      <c r="HQ609" s="103"/>
      <c r="HR609" s="103"/>
      <c r="HS609" s="103"/>
      <c r="HT609" s="103"/>
      <c r="HU609" s="103"/>
      <c r="HV609" s="103"/>
      <c r="HW609" s="103"/>
      <c r="HX609" s="103"/>
      <c r="HY609" s="103"/>
      <c r="HZ609" s="103"/>
      <c r="IA609" s="103"/>
      <c r="IB609" s="103"/>
      <c r="IC609" s="103"/>
      <c r="ID609" s="103"/>
      <c r="IE609" s="103"/>
      <c r="IF609" s="103"/>
      <c r="IG609" s="103"/>
      <c r="IH609" s="103"/>
      <c r="II609" s="103"/>
      <c r="IJ609" s="103"/>
      <c r="IK609" s="103"/>
      <c r="IL609" s="103"/>
      <c r="IM609" s="103"/>
      <c r="IN609" s="103"/>
      <c r="IO609" s="103"/>
      <c r="IP609" s="103"/>
      <c r="IQ609" s="103"/>
      <c r="IR609" s="103"/>
      <c r="IS609" s="103"/>
      <c r="IT609" s="103"/>
      <c r="IU609" s="103"/>
      <c r="IV609" s="103"/>
    </row>
    <row r="610" spans="1:256" ht="14.5">
      <c r="A610" s="103"/>
      <c r="B610" s="103"/>
      <c r="C610" s="103"/>
      <c r="D610" s="103"/>
      <c r="F610" s="105"/>
      <c r="G610" s="103"/>
      <c r="H610" s="103"/>
      <c r="I610" s="106"/>
      <c r="J610" s="106"/>
      <c r="K610" s="106"/>
      <c r="L610" s="65"/>
      <c r="M610" s="65"/>
      <c r="N610" s="5"/>
      <c r="X610" s="6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  <c r="AV610" s="103"/>
      <c r="AW610" s="103"/>
      <c r="AX610" s="103"/>
      <c r="AY610" s="103"/>
      <c r="AZ610" s="103"/>
      <c r="BA610" s="103"/>
      <c r="BB610" s="103"/>
      <c r="BC610" s="103"/>
      <c r="BD610" s="103"/>
      <c r="BE610" s="103"/>
      <c r="BF610" s="103"/>
      <c r="BG610" s="103"/>
      <c r="BH610" s="103"/>
      <c r="BI610" s="103"/>
      <c r="BJ610" s="103"/>
      <c r="BK610" s="103"/>
      <c r="BL610" s="103"/>
      <c r="BM610" s="103"/>
      <c r="BN610" s="103"/>
      <c r="BO610" s="103"/>
      <c r="BP610" s="103"/>
      <c r="BQ610" s="103"/>
      <c r="BR610" s="103"/>
      <c r="BS610" s="103"/>
      <c r="BT610" s="103"/>
      <c r="BU610" s="103"/>
      <c r="BV610" s="103"/>
      <c r="BW610" s="103"/>
      <c r="BX610" s="103"/>
      <c r="BY610" s="103"/>
      <c r="BZ610" s="103"/>
      <c r="CA610" s="103"/>
      <c r="CB610" s="103"/>
      <c r="CC610" s="103"/>
      <c r="CD610" s="103"/>
      <c r="CE610" s="103"/>
      <c r="CF610" s="103"/>
      <c r="CG610" s="103"/>
      <c r="CH610" s="103"/>
      <c r="CI610" s="103"/>
      <c r="CJ610" s="103"/>
      <c r="CK610" s="103"/>
      <c r="CL610" s="103"/>
      <c r="CM610" s="103"/>
      <c r="CN610" s="103"/>
      <c r="CO610" s="103"/>
      <c r="CP610" s="103"/>
      <c r="CQ610" s="103"/>
      <c r="CR610" s="103"/>
      <c r="CS610" s="103"/>
      <c r="CT610" s="103"/>
      <c r="CU610" s="103"/>
      <c r="CV610" s="103"/>
      <c r="CW610" s="103"/>
      <c r="CX610" s="103"/>
      <c r="CY610" s="103"/>
      <c r="CZ610" s="103"/>
      <c r="DA610" s="103"/>
      <c r="DB610" s="103"/>
      <c r="DC610" s="103"/>
      <c r="DD610" s="103"/>
      <c r="DE610" s="103"/>
      <c r="DF610" s="103"/>
      <c r="DG610" s="103"/>
      <c r="DH610" s="103"/>
      <c r="DI610" s="103"/>
      <c r="DJ610" s="103"/>
      <c r="DK610" s="103"/>
      <c r="DL610" s="103"/>
      <c r="DM610" s="103"/>
      <c r="DN610" s="103"/>
      <c r="DO610" s="103"/>
      <c r="DP610" s="103"/>
      <c r="DQ610" s="103"/>
      <c r="DR610" s="103"/>
      <c r="DS610" s="103"/>
      <c r="DT610" s="103"/>
      <c r="DU610" s="103"/>
      <c r="DV610" s="103"/>
      <c r="DW610" s="103"/>
      <c r="DX610" s="103"/>
      <c r="DY610" s="103"/>
      <c r="DZ610" s="103"/>
      <c r="EA610" s="103"/>
      <c r="EB610" s="103"/>
      <c r="EC610" s="103"/>
      <c r="ED610" s="103"/>
      <c r="EE610" s="103"/>
      <c r="EF610" s="103"/>
      <c r="EG610" s="103"/>
      <c r="EH610" s="103"/>
      <c r="EI610" s="103"/>
      <c r="EJ610" s="103"/>
      <c r="EK610" s="103"/>
      <c r="EL610" s="103"/>
      <c r="EM610" s="103"/>
      <c r="EN610" s="103"/>
      <c r="EO610" s="103"/>
      <c r="EP610" s="103"/>
      <c r="EQ610" s="103"/>
      <c r="ER610" s="103"/>
      <c r="ES610" s="103"/>
      <c r="ET610" s="103"/>
      <c r="EU610" s="103"/>
      <c r="EV610" s="103"/>
      <c r="EW610" s="103"/>
      <c r="EX610" s="103"/>
      <c r="EY610" s="103"/>
      <c r="EZ610" s="103"/>
      <c r="FA610" s="103"/>
      <c r="FB610" s="103"/>
      <c r="FC610" s="103"/>
      <c r="FD610" s="103"/>
      <c r="FE610" s="103"/>
      <c r="FF610" s="103"/>
      <c r="FG610" s="103"/>
      <c r="FH610" s="103"/>
      <c r="FI610" s="103"/>
      <c r="FJ610" s="103"/>
      <c r="FK610" s="103"/>
      <c r="FL610" s="103"/>
      <c r="FM610" s="103"/>
      <c r="FN610" s="103"/>
      <c r="FO610" s="103"/>
      <c r="FP610" s="103"/>
      <c r="FQ610" s="103"/>
      <c r="FR610" s="103"/>
      <c r="FS610" s="103"/>
      <c r="FT610" s="103"/>
      <c r="FU610" s="103"/>
      <c r="FV610" s="103"/>
      <c r="FW610" s="103"/>
      <c r="FX610" s="103"/>
      <c r="FY610" s="103"/>
      <c r="FZ610" s="103"/>
      <c r="GA610" s="103"/>
      <c r="GB610" s="103"/>
      <c r="GC610" s="103"/>
      <c r="GD610" s="103"/>
      <c r="GE610" s="103"/>
      <c r="GF610" s="103"/>
      <c r="GG610" s="103"/>
      <c r="GH610" s="103"/>
      <c r="GI610" s="103"/>
      <c r="GJ610" s="103"/>
      <c r="GK610" s="103"/>
      <c r="GL610" s="103"/>
      <c r="GM610" s="103"/>
      <c r="GN610" s="103"/>
      <c r="GO610" s="103"/>
      <c r="GP610" s="103"/>
      <c r="GQ610" s="103"/>
      <c r="GR610" s="103"/>
      <c r="GS610" s="103"/>
      <c r="GT610" s="103"/>
      <c r="GU610" s="103"/>
      <c r="GV610" s="103"/>
      <c r="GW610" s="103"/>
      <c r="GX610" s="103"/>
      <c r="GY610" s="103"/>
      <c r="GZ610" s="103"/>
      <c r="HA610" s="103"/>
      <c r="HB610" s="103"/>
      <c r="HC610" s="103"/>
      <c r="HD610" s="103"/>
      <c r="HE610" s="103"/>
      <c r="HF610" s="103"/>
      <c r="HG610" s="103"/>
      <c r="HH610" s="103"/>
      <c r="HI610" s="103"/>
      <c r="HJ610" s="103"/>
      <c r="HK610" s="103"/>
      <c r="HL610" s="103"/>
      <c r="HM610" s="103"/>
      <c r="HN610" s="103"/>
      <c r="HO610" s="103"/>
      <c r="HP610" s="103"/>
      <c r="HQ610" s="103"/>
      <c r="HR610" s="103"/>
      <c r="HS610" s="103"/>
      <c r="HT610" s="103"/>
      <c r="HU610" s="103"/>
      <c r="HV610" s="103"/>
      <c r="HW610" s="103"/>
      <c r="HX610" s="103"/>
      <c r="HY610" s="103"/>
      <c r="HZ610" s="103"/>
      <c r="IA610" s="103"/>
      <c r="IB610" s="103"/>
      <c r="IC610" s="103"/>
      <c r="ID610" s="103"/>
      <c r="IE610" s="103"/>
      <c r="IF610" s="103"/>
      <c r="IG610" s="103"/>
      <c r="IH610" s="103"/>
      <c r="II610" s="103"/>
      <c r="IJ610" s="103"/>
      <c r="IK610" s="103"/>
      <c r="IL610" s="103"/>
      <c r="IM610" s="103"/>
      <c r="IN610" s="103"/>
      <c r="IO610" s="103"/>
      <c r="IP610" s="103"/>
      <c r="IQ610" s="103"/>
      <c r="IR610" s="103"/>
      <c r="IS610" s="103"/>
      <c r="IT610" s="103"/>
      <c r="IU610" s="103"/>
      <c r="IV610" s="103"/>
    </row>
    <row r="612" spans="1:256">
      <c r="A612" s="10" t="s">
        <v>75</v>
      </c>
      <c r="B612" s="10" t="s">
        <v>75</v>
      </c>
      <c r="C612" s="10" t="s">
        <v>75</v>
      </c>
      <c r="D612" s="10" t="s">
        <v>75</v>
      </c>
      <c r="E612" s="10" t="s">
        <v>75</v>
      </c>
      <c r="F612" s="11" t="s">
        <v>75</v>
      </c>
      <c r="G612" s="11" t="s">
        <v>75</v>
      </c>
      <c r="H612" s="11" t="s">
        <v>75</v>
      </c>
      <c r="I612" s="35" t="s">
        <v>75</v>
      </c>
      <c r="J612" s="35" t="s">
        <v>75</v>
      </c>
      <c r="K612" s="35" t="s">
        <v>75</v>
      </c>
      <c r="L612" s="102" t="s">
        <v>75</v>
      </c>
      <c r="M612" s="11" t="s">
        <v>75</v>
      </c>
      <c r="N612" s="11" t="s">
        <v>75</v>
      </c>
      <c r="O612" s="11" t="s">
        <v>75</v>
      </c>
      <c r="P612" s="11" t="s">
        <v>75</v>
      </c>
      <c r="Q612" s="11" t="s">
        <v>75</v>
      </c>
      <c r="R612" s="11" t="s">
        <v>75</v>
      </c>
      <c r="S612" s="11" t="s">
        <v>75</v>
      </c>
      <c r="T612" s="11" t="s">
        <v>75</v>
      </c>
      <c r="U612" s="11" t="s">
        <v>75</v>
      </c>
      <c r="V612" s="11" t="s">
        <v>75</v>
      </c>
      <c r="W612" s="11" t="s">
        <v>75</v>
      </c>
    </row>
  </sheetData>
  <autoFilter ref="A10:AA612" xr:uid="{00000000-0009-0000-0000-000003000000}"/>
  <sortState xmlns:xlrd2="http://schemas.microsoft.com/office/spreadsheetml/2017/richdata2" ref="A12:IV249">
    <sortCondition ref="F12"/>
  </sortState>
  <conditionalFormatting sqref="G7:G8">
    <cfRule type="cellIs" dxfId="25" priority="1" stopIfTrue="1" operator="equal">
      <formula>"Check"</formula>
    </cfRule>
  </conditionalFormatting>
  <pageMargins left="0.75" right="0.75" top="1" bottom="1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318"/>
  <sheetViews>
    <sheetView zoomScale="70" zoomScaleNormal="70" workbookViewId="0">
      <pane xSplit="5" ySplit="12" topLeftCell="F61" activePane="bottomRight" state="frozen"/>
      <selection pane="topRight" activeCell="F1" sqref="F1"/>
      <selection pane="bottomLeft" activeCell="A13" sqref="A13"/>
      <selection pane="bottomRight" sqref="A1:XFD1048576"/>
    </sheetView>
  </sheetViews>
  <sheetFormatPr baseColWidth="10" defaultColWidth="10.83203125" defaultRowHeight="13"/>
  <cols>
    <col min="1" max="1" width="15" style="9" customWidth="1"/>
    <col min="2" max="2" width="29.83203125" style="5" bestFit="1" customWidth="1"/>
    <col min="3" max="3" width="20.5" style="5" customWidth="1"/>
    <col min="4" max="4" width="13.1640625" style="34" bestFit="1" customWidth="1"/>
    <col min="5" max="5" width="33.1640625" style="88" bestFit="1" customWidth="1"/>
    <col min="6" max="6" width="10.5" style="36" bestFit="1" customWidth="1"/>
    <col min="7" max="7" width="31.5" style="5" bestFit="1" customWidth="1"/>
    <col min="8" max="8" width="13" style="5" bestFit="1" customWidth="1"/>
    <col min="9" max="9" width="22.5" style="62" customWidth="1"/>
    <col min="10" max="10" width="19.1640625" style="62" customWidth="1"/>
    <col min="11" max="11" width="20.1640625" style="62" customWidth="1"/>
    <col min="12" max="12" width="13.1640625" style="100" customWidth="1"/>
    <col min="13" max="13" width="18.83203125" style="5" customWidth="1"/>
    <col min="14" max="14" width="12.5" style="34" customWidth="1"/>
    <col min="15" max="15" width="28.1640625" style="5" customWidth="1"/>
    <col min="16" max="16" width="36.1640625" style="5" customWidth="1"/>
    <col min="17" max="17" width="13.83203125" style="5" customWidth="1"/>
    <col min="18" max="18" width="109.33203125" style="5" bestFit="1" customWidth="1"/>
    <col min="19" max="19" width="100.1640625" style="5" bestFit="1" customWidth="1"/>
    <col min="20" max="20" width="21.5" style="5" customWidth="1"/>
    <col min="21" max="21" width="38.83203125" style="5" bestFit="1" customWidth="1"/>
    <col min="22" max="22" width="35.5" style="5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+SUMIF($E$10:$E$138,H4,$I$10:$I$138)</f>
        <v>6490170</v>
      </c>
      <c r="J4" s="298">
        <f>+SUMIF($E$10:$E$138,H4,$J$10:$J$138)</f>
        <v>4622.3707162005649</v>
      </c>
      <c r="K4" s="299">
        <f>+I4/J4</f>
        <v>1404.0782097491965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ROUND(SUM(I10:I318),0)+2</f>
        <v>0</v>
      </c>
      <c r="J7" s="61">
        <f>ROUND(SUM(J10:J318),0)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SUM(I10:I138)</f>
        <v>33993183.609999999</v>
      </c>
      <c r="J9" s="104">
        <f>SUM(J10:J138)</f>
        <v>24157.839002053828</v>
      </c>
      <c r="L9" s="62"/>
      <c r="M9" s="62"/>
      <c r="N9" s="62"/>
    </row>
    <row r="10" spans="1:40" ht="32">
      <c r="B10" s="12" t="s">
        <v>81</v>
      </c>
      <c r="C10" s="9"/>
      <c r="D10" s="12" t="s">
        <v>71</v>
      </c>
      <c r="E10" s="12" t="s">
        <v>72</v>
      </c>
      <c r="F10" s="37" t="s">
        <v>22</v>
      </c>
      <c r="G10" s="7" t="s">
        <v>21</v>
      </c>
      <c r="H10" s="7"/>
      <c r="I10" s="8" t="s">
        <v>20</v>
      </c>
      <c r="J10" s="8" t="s">
        <v>18</v>
      </c>
      <c r="K10" s="71" t="s">
        <v>70</v>
      </c>
      <c r="L10" s="101" t="s">
        <v>16</v>
      </c>
      <c r="M10" s="7" t="s">
        <v>15</v>
      </c>
      <c r="N10" s="7" t="s">
        <v>14</v>
      </c>
      <c r="O10" s="7" t="s">
        <v>13</v>
      </c>
      <c r="P10" s="7" t="s">
        <v>12</v>
      </c>
      <c r="Q10" s="7" t="s">
        <v>11</v>
      </c>
      <c r="R10" s="7" t="s">
        <v>10</v>
      </c>
      <c r="S10" s="7" t="s">
        <v>9</v>
      </c>
      <c r="T10" s="7" t="s">
        <v>8</v>
      </c>
      <c r="U10" s="7" t="s">
        <v>7</v>
      </c>
      <c r="V10" s="7" t="s">
        <v>6</v>
      </c>
      <c r="W10" s="7" t="s">
        <v>5</v>
      </c>
      <c r="X10" s="8" t="s">
        <v>19</v>
      </c>
      <c r="Y10" s="7"/>
      <c r="Z10" s="7" t="s">
        <v>18</v>
      </c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2" spans="1:40">
      <c r="A12" s="214"/>
      <c r="B12" s="88"/>
      <c r="D12" s="214"/>
      <c r="F12" s="5"/>
      <c r="G12" s="34"/>
      <c r="I12" s="306"/>
      <c r="J12" s="307"/>
      <c r="K12" s="6"/>
      <c r="L12" s="5"/>
      <c r="M12" s="62"/>
      <c r="N12" s="62"/>
      <c r="O12" s="62"/>
      <c r="P12" s="100"/>
      <c r="R12" s="34"/>
    </row>
    <row r="13" spans="1:40" ht="28">
      <c r="C13" s="34" t="s">
        <v>1857</v>
      </c>
      <c r="D13" s="214" t="s">
        <v>383</v>
      </c>
      <c r="E13" s="212" t="str">
        <f>+VLOOKUP(F13,Resumen_Base!$B$6:$F$69,5,0)</f>
        <v>Communications - Phone, internet and satellite TV</v>
      </c>
      <c r="F13" s="36" t="s">
        <v>52</v>
      </c>
      <c r="G13" s="5" t="s">
        <v>143</v>
      </c>
      <c r="H13" s="5" t="str">
        <f>+D13&amp;F13</f>
        <v>DEL5209</v>
      </c>
      <c r="I13" s="62">
        <v>4973.7</v>
      </c>
      <c r="J13" s="62">
        <v>3.54</v>
      </c>
      <c r="K13" s="62">
        <v>1405</v>
      </c>
      <c r="L13" s="100" t="s">
        <v>2192</v>
      </c>
      <c r="M13" s="5" t="s">
        <v>452</v>
      </c>
      <c r="N13" s="34" t="s">
        <v>464</v>
      </c>
      <c r="O13" s="5" t="s">
        <v>2193</v>
      </c>
      <c r="P13" s="5" t="s">
        <v>2194</v>
      </c>
      <c r="Q13" s="5" t="s">
        <v>2195</v>
      </c>
      <c r="S13" s="5" t="s">
        <v>2297</v>
      </c>
      <c r="T13"/>
    </row>
    <row r="14" spans="1:40" ht="28">
      <c r="C14" s="34" t="s">
        <v>1857</v>
      </c>
      <c r="D14" s="214" t="s">
        <v>383</v>
      </c>
      <c r="E14" s="212" t="str">
        <f>+VLOOKUP(F14,Resumen_Base!$B$6:$F$69,5,0)</f>
        <v>Communications - Phone, internet and satellite TV</v>
      </c>
      <c r="F14" s="36" t="s">
        <v>52</v>
      </c>
      <c r="G14" s="5" t="s">
        <v>143</v>
      </c>
      <c r="H14" s="5" t="str">
        <f t="shared" ref="H14:H77" si="0">+D14&amp;F14</f>
        <v>DEL5209</v>
      </c>
      <c r="I14" s="62">
        <v>38567.25</v>
      </c>
      <c r="J14" s="62">
        <v>27.45</v>
      </c>
      <c r="K14" s="62">
        <v>1405</v>
      </c>
      <c r="L14" s="100" t="s">
        <v>2192</v>
      </c>
      <c r="M14" s="5" t="s">
        <v>452</v>
      </c>
      <c r="N14" s="34" t="s">
        <v>464</v>
      </c>
      <c r="O14" s="5" t="s">
        <v>2193</v>
      </c>
      <c r="P14" s="5" t="s">
        <v>2194</v>
      </c>
      <c r="Q14" s="5" t="s">
        <v>2195</v>
      </c>
      <c r="S14" s="5" t="s">
        <v>2298</v>
      </c>
      <c r="T14"/>
    </row>
    <row r="15" spans="1:40" ht="14">
      <c r="C15" s="34" t="s">
        <v>1857</v>
      </c>
      <c r="D15" s="214" t="s">
        <v>383</v>
      </c>
      <c r="E15" s="212" t="str">
        <f>+VLOOKUP(F15,Resumen_Base!$B$6:$F$69,5,0)</f>
        <v>Electricity</v>
      </c>
      <c r="F15" s="36" t="s">
        <v>66</v>
      </c>
      <c r="G15" s="5" t="s">
        <v>67</v>
      </c>
      <c r="H15" s="5" t="str">
        <f t="shared" si="0"/>
        <v>DEL5259</v>
      </c>
      <c r="I15" s="62">
        <v>8600</v>
      </c>
      <c r="J15" s="62">
        <v>6.1428571428571397</v>
      </c>
      <c r="K15" s="62">
        <v>1400</v>
      </c>
      <c r="L15" s="100" t="s">
        <v>2218</v>
      </c>
      <c r="M15" s="5" t="s">
        <v>452</v>
      </c>
      <c r="N15" s="34" t="s">
        <v>464</v>
      </c>
      <c r="O15" s="5" t="s">
        <v>2193</v>
      </c>
      <c r="P15" s="5" t="s">
        <v>2219</v>
      </c>
      <c r="Q15" s="5" t="s">
        <v>2220</v>
      </c>
      <c r="S15" s="5" t="s">
        <v>2227</v>
      </c>
      <c r="T15"/>
    </row>
    <row r="16" spans="1:40" ht="14">
      <c r="C16" s="34" t="s">
        <v>1857</v>
      </c>
      <c r="D16" s="214" t="s">
        <v>383</v>
      </c>
      <c r="E16" s="212" t="str">
        <f>+VLOOKUP(F16,Resumen_Base!$B$6:$F$69,5,0)</f>
        <v>Electricity</v>
      </c>
      <c r="F16" s="36" t="s">
        <v>39</v>
      </c>
      <c r="G16" s="5" t="s">
        <v>38</v>
      </c>
      <c r="H16" s="5" t="str">
        <f t="shared" si="0"/>
        <v>DEL5247</v>
      </c>
      <c r="I16" s="62">
        <v>79200</v>
      </c>
      <c r="J16" s="62">
        <v>55.9717314487633</v>
      </c>
      <c r="K16" s="62">
        <v>1415</v>
      </c>
      <c r="L16" s="100" t="s">
        <v>2214</v>
      </c>
      <c r="M16" s="5" t="s">
        <v>452</v>
      </c>
      <c r="N16" s="34" t="s">
        <v>464</v>
      </c>
      <c r="O16" s="5" t="s">
        <v>2193</v>
      </c>
      <c r="P16" s="5" t="s">
        <v>2215</v>
      </c>
      <c r="Q16" s="5" t="s">
        <v>2216</v>
      </c>
      <c r="S16" s="5" t="s">
        <v>1293</v>
      </c>
      <c r="T16"/>
    </row>
    <row r="17" spans="3:20" ht="14">
      <c r="C17" s="34" t="s">
        <v>1857</v>
      </c>
      <c r="D17" s="214" t="s">
        <v>383</v>
      </c>
      <c r="E17" s="212" t="str">
        <f>+VLOOKUP(F17,Resumen_Base!$B$6:$F$69,5,0)</f>
        <v>Electricity</v>
      </c>
      <c r="F17" s="36" t="s">
        <v>39</v>
      </c>
      <c r="G17" s="5" t="s">
        <v>38</v>
      </c>
      <c r="H17" s="5" t="str">
        <f t="shared" si="0"/>
        <v>DEL5247</v>
      </c>
      <c r="I17" s="62">
        <v>117000</v>
      </c>
      <c r="J17" s="62">
        <v>83.274021352313198</v>
      </c>
      <c r="K17" s="62">
        <v>1405</v>
      </c>
      <c r="L17" s="100" t="s">
        <v>2192</v>
      </c>
      <c r="M17" s="5" t="s">
        <v>452</v>
      </c>
      <c r="N17" s="34" t="s">
        <v>464</v>
      </c>
      <c r="O17" s="5" t="s">
        <v>2193</v>
      </c>
      <c r="P17" s="5" t="s">
        <v>2207</v>
      </c>
      <c r="Q17" s="5" t="s">
        <v>2208</v>
      </c>
      <c r="S17" s="5" t="s">
        <v>1293</v>
      </c>
      <c r="T17"/>
    </row>
    <row r="18" spans="3:20" ht="14">
      <c r="C18" s="34" t="s">
        <v>1857</v>
      </c>
      <c r="D18" s="214" t="s">
        <v>383</v>
      </c>
      <c r="E18" s="212" t="str">
        <f>+VLOOKUP(F18,Resumen_Base!$B$6:$F$69,5,0)</f>
        <v>Electricity - Gas for Boats &amp; Vehicles</v>
      </c>
      <c r="F18" s="36" t="s">
        <v>60</v>
      </c>
      <c r="G18" s="5" t="s">
        <v>61</v>
      </c>
      <c r="H18" s="5" t="str">
        <f t="shared" si="0"/>
        <v>DEL5248</v>
      </c>
      <c r="I18" s="62">
        <v>198000</v>
      </c>
      <c r="J18" s="62">
        <v>140.42553191489401</v>
      </c>
      <c r="K18" s="62">
        <v>1410</v>
      </c>
      <c r="L18" s="100" t="s">
        <v>2204</v>
      </c>
      <c r="M18" s="5" t="s">
        <v>452</v>
      </c>
      <c r="N18" s="34" t="s">
        <v>464</v>
      </c>
      <c r="O18" s="5" t="s">
        <v>2193</v>
      </c>
      <c r="P18" s="5" t="s">
        <v>2205</v>
      </c>
      <c r="Q18" s="5" t="s">
        <v>2206</v>
      </c>
      <c r="S18" s="5" t="s">
        <v>2252</v>
      </c>
      <c r="T18"/>
    </row>
    <row r="19" spans="3:20" ht="14">
      <c r="C19" s="34" t="s">
        <v>1857</v>
      </c>
      <c r="D19" s="214" t="s">
        <v>383</v>
      </c>
      <c r="E19" s="212" t="str">
        <f>+VLOOKUP(F19,Resumen_Base!$B$6:$F$69,5,0)</f>
        <v>Electricity - Gas for Boats &amp; Vehicles</v>
      </c>
      <c r="F19" s="36" t="s">
        <v>60</v>
      </c>
      <c r="G19" s="5" t="s">
        <v>61</v>
      </c>
      <c r="H19" s="5" t="str">
        <f t="shared" si="0"/>
        <v>DEL5248</v>
      </c>
      <c r="I19" s="62">
        <v>229354</v>
      </c>
      <c r="J19" s="62">
        <v>162.662411347518</v>
      </c>
      <c r="K19" s="62">
        <v>1410</v>
      </c>
      <c r="L19" s="100" t="s">
        <v>2204</v>
      </c>
      <c r="M19" s="5" t="s">
        <v>452</v>
      </c>
      <c r="N19" s="34" t="s">
        <v>464</v>
      </c>
      <c r="O19" s="5" t="s">
        <v>2193</v>
      </c>
      <c r="P19" s="5" t="s">
        <v>2205</v>
      </c>
      <c r="Q19" s="5" t="s">
        <v>2206</v>
      </c>
      <c r="S19" s="5" t="s">
        <v>2253</v>
      </c>
      <c r="T19"/>
    </row>
    <row r="20" spans="3:20" ht="14">
      <c r="C20" s="34" t="s">
        <v>1857</v>
      </c>
      <c r="D20" s="214" t="s">
        <v>383</v>
      </c>
      <c r="E20" s="212" t="str">
        <f>+VLOOKUP(F20,Resumen_Base!$B$6:$F$69,5,0)</f>
        <v>Electricity - Gas for Boats &amp; Vehicles</v>
      </c>
      <c r="F20" s="36" t="s">
        <v>60</v>
      </c>
      <c r="G20" s="5" t="s">
        <v>61</v>
      </c>
      <c r="H20" s="5" t="str">
        <f t="shared" si="0"/>
        <v>DEL5248</v>
      </c>
      <c r="I20" s="62">
        <v>167194</v>
      </c>
      <c r="J20" s="62">
        <v>118.577304964539</v>
      </c>
      <c r="K20" s="62">
        <v>1410</v>
      </c>
      <c r="L20" s="100" t="s">
        <v>2204</v>
      </c>
      <c r="M20" s="5" t="s">
        <v>452</v>
      </c>
      <c r="N20" s="34" t="s">
        <v>464</v>
      </c>
      <c r="O20" s="5" t="s">
        <v>2193</v>
      </c>
      <c r="P20" s="5" t="s">
        <v>2205</v>
      </c>
      <c r="Q20" s="5" t="s">
        <v>2206</v>
      </c>
      <c r="S20" s="5" t="s">
        <v>2254</v>
      </c>
      <c r="T20"/>
    </row>
    <row r="21" spans="3:20" ht="14">
      <c r="C21" s="34" t="s">
        <v>1857</v>
      </c>
      <c r="D21" s="214" t="s">
        <v>383</v>
      </c>
      <c r="E21" s="212" t="str">
        <f>+VLOOKUP(F21,Resumen_Base!$B$6:$F$69,5,0)</f>
        <v>Electricity - Gas for Boats &amp; Vehicles</v>
      </c>
      <c r="F21" s="36" t="s">
        <v>60</v>
      </c>
      <c r="G21" s="5" t="s">
        <v>61</v>
      </c>
      <c r="H21" s="5" t="str">
        <f t="shared" si="0"/>
        <v>DEL5248</v>
      </c>
      <c r="I21" s="62">
        <v>40011</v>
      </c>
      <c r="J21" s="62">
        <v>28.276325088339199</v>
      </c>
      <c r="K21" s="62">
        <v>1415</v>
      </c>
      <c r="L21" s="100" t="s">
        <v>2214</v>
      </c>
      <c r="M21" s="5" t="s">
        <v>452</v>
      </c>
      <c r="N21" s="34" t="s">
        <v>464</v>
      </c>
      <c r="O21" s="5" t="s">
        <v>2193</v>
      </c>
      <c r="P21" s="5" t="s">
        <v>2215</v>
      </c>
      <c r="Q21" s="5" t="s">
        <v>2216</v>
      </c>
      <c r="S21" s="5" t="s">
        <v>899</v>
      </c>
      <c r="T21"/>
    </row>
    <row r="22" spans="3:20" ht="14">
      <c r="C22" s="34" t="s">
        <v>1857</v>
      </c>
      <c r="D22" s="214" t="s">
        <v>383</v>
      </c>
      <c r="E22" s="212" t="str">
        <f>+VLOOKUP(F22,Resumen_Base!$B$6:$F$69,5,0)</f>
        <v>Electricity - Gas for Boats &amp; Vehicles</v>
      </c>
      <c r="F22" s="36" t="s">
        <v>60</v>
      </c>
      <c r="G22" s="5" t="s">
        <v>61</v>
      </c>
      <c r="H22" s="5" t="str">
        <f t="shared" si="0"/>
        <v>DEL5248</v>
      </c>
      <c r="I22" s="62">
        <v>77000</v>
      </c>
      <c r="J22" s="62">
        <v>54.416961130742102</v>
      </c>
      <c r="K22" s="62">
        <v>1415</v>
      </c>
      <c r="L22" s="100" t="s">
        <v>2214</v>
      </c>
      <c r="M22" s="5" t="s">
        <v>452</v>
      </c>
      <c r="N22" s="34" t="s">
        <v>464</v>
      </c>
      <c r="O22" s="5" t="s">
        <v>2193</v>
      </c>
      <c r="P22" s="5" t="s">
        <v>2215</v>
      </c>
      <c r="Q22" s="5" t="s">
        <v>2216</v>
      </c>
      <c r="S22" s="5" t="s">
        <v>899</v>
      </c>
      <c r="T22"/>
    </row>
    <row r="23" spans="3:20" ht="14">
      <c r="C23" s="34" t="s">
        <v>1857</v>
      </c>
      <c r="D23" s="214" t="s">
        <v>383</v>
      </c>
      <c r="E23" s="212" t="str">
        <f>+VLOOKUP(F23,Resumen_Base!$B$6:$F$69,5,0)</f>
        <v>Electricity - Gas for Boats &amp; Vehicles</v>
      </c>
      <c r="F23" s="36" t="s">
        <v>60</v>
      </c>
      <c r="G23" s="5" t="s">
        <v>61</v>
      </c>
      <c r="H23" s="5" t="str">
        <f t="shared" si="0"/>
        <v>DEL5248</v>
      </c>
      <c r="I23" s="62">
        <v>167000</v>
      </c>
      <c r="J23" s="62">
        <v>118.86120996441301</v>
      </c>
      <c r="K23" s="62">
        <v>1405</v>
      </c>
      <c r="L23" s="100" t="s">
        <v>2192</v>
      </c>
      <c r="M23" s="5" t="s">
        <v>452</v>
      </c>
      <c r="N23" s="34" t="s">
        <v>464</v>
      </c>
      <c r="O23" s="5" t="s">
        <v>2193</v>
      </c>
      <c r="P23" s="5" t="s">
        <v>2207</v>
      </c>
      <c r="Q23" s="5" t="s">
        <v>2208</v>
      </c>
      <c r="S23" s="5" t="s">
        <v>651</v>
      </c>
      <c r="T23"/>
    </row>
    <row r="24" spans="3:20" ht="14">
      <c r="C24" s="34" t="s">
        <v>1857</v>
      </c>
      <c r="D24" s="214" t="s">
        <v>383</v>
      </c>
      <c r="E24" s="212" t="str">
        <f>+VLOOKUP(F24,Resumen_Base!$B$6:$F$69,5,0)</f>
        <v>Electricity - Gas for Boats &amp; Vehicles</v>
      </c>
      <c r="F24" s="36" t="s">
        <v>60</v>
      </c>
      <c r="G24" s="5" t="s">
        <v>61</v>
      </c>
      <c r="H24" s="5" t="str">
        <f t="shared" si="0"/>
        <v>DEL5248</v>
      </c>
      <c r="I24" s="62">
        <v>110000</v>
      </c>
      <c r="J24" s="62">
        <v>78.291814946619198</v>
      </c>
      <c r="K24" s="62">
        <v>1405</v>
      </c>
      <c r="L24" s="100" t="s">
        <v>2192</v>
      </c>
      <c r="M24" s="5" t="s">
        <v>452</v>
      </c>
      <c r="N24" s="34" t="s">
        <v>464</v>
      </c>
      <c r="O24" s="5" t="s">
        <v>2193</v>
      </c>
      <c r="P24" s="5" t="s">
        <v>2207</v>
      </c>
      <c r="Q24" s="5" t="s">
        <v>2208</v>
      </c>
      <c r="S24" s="5" t="s">
        <v>651</v>
      </c>
      <c r="T24"/>
    </row>
    <row r="25" spans="3:20" ht="14">
      <c r="C25" s="34" t="s">
        <v>1857</v>
      </c>
      <c r="D25" s="214" t="s">
        <v>383</v>
      </c>
      <c r="E25" s="212" t="str">
        <f>+VLOOKUP(F25,Resumen_Base!$B$6:$F$69,5,0)</f>
        <v>Electricity - Gas for Boats &amp; Vehicles</v>
      </c>
      <c r="F25" s="36" t="s">
        <v>60</v>
      </c>
      <c r="G25" s="5" t="s">
        <v>61</v>
      </c>
      <c r="H25" s="5" t="str">
        <f t="shared" si="0"/>
        <v>DEL5248</v>
      </c>
      <c r="I25" s="62">
        <v>179840</v>
      </c>
      <c r="J25" s="62">
        <v>128</v>
      </c>
      <c r="K25" s="62">
        <v>1405</v>
      </c>
      <c r="L25" s="100" t="s">
        <v>2192</v>
      </c>
      <c r="M25" s="5" t="s">
        <v>452</v>
      </c>
      <c r="N25" s="34" t="s">
        <v>464</v>
      </c>
      <c r="O25" s="5" t="s">
        <v>2193</v>
      </c>
      <c r="P25" s="5" t="s">
        <v>2207</v>
      </c>
      <c r="Q25" s="5" t="s">
        <v>2208</v>
      </c>
      <c r="S25" s="5" t="s">
        <v>2255</v>
      </c>
      <c r="T25"/>
    </row>
    <row r="26" spans="3:20" ht="14">
      <c r="C26" s="34" t="s">
        <v>1857</v>
      </c>
      <c r="D26" s="214" t="s">
        <v>383</v>
      </c>
      <c r="E26" s="212" t="str">
        <f>+VLOOKUP(F26,Resumen_Base!$B$6:$F$69,5,0)</f>
        <v>Electricity - Gas for Boats &amp; Vehicles</v>
      </c>
      <c r="F26" s="36" t="s">
        <v>60</v>
      </c>
      <c r="G26" s="5" t="s">
        <v>61</v>
      </c>
      <c r="H26" s="5" t="str">
        <f t="shared" si="0"/>
        <v>DEL5248</v>
      </c>
      <c r="I26" s="62">
        <v>96666</v>
      </c>
      <c r="J26" s="62">
        <v>68.3151943462898</v>
      </c>
      <c r="K26" s="62">
        <v>1415</v>
      </c>
      <c r="L26" s="100" t="s">
        <v>2214</v>
      </c>
      <c r="M26" s="5" t="s">
        <v>452</v>
      </c>
      <c r="N26" s="34" t="s">
        <v>464</v>
      </c>
      <c r="O26" s="5" t="s">
        <v>2193</v>
      </c>
      <c r="P26" s="5" t="s">
        <v>2215</v>
      </c>
      <c r="Q26" s="5" t="s">
        <v>2216</v>
      </c>
      <c r="S26" s="5" t="s">
        <v>757</v>
      </c>
      <c r="T26"/>
    </row>
    <row r="27" spans="3:20" ht="14">
      <c r="C27" s="34" t="s">
        <v>1857</v>
      </c>
      <c r="D27" s="214" t="s">
        <v>383</v>
      </c>
      <c r="E27" s="212" t="str">
        <f>+VLOOKUP(F27,Resumen_Base!$B$6:$F$69,5,0)</f>
        <v>Electricity - Gas for Boats &amp; Vehicles</v>
      </c>
      <c r="F27" s="36" t="s">
        <v>60</v>
      </c>
      <c r="G27" s="5" t="s">
        <v>61</v>
      </c>
      <c r="H27" s="5" t="str">
        <f t="shared" si="0"/>
        <v>DEL5248</v>
      </c>
      <c r="I27" s="62">
        <v>64000</v>
      </c>
      <c r="J27" s="62">
        <v>45.229681978798602</v>
      </c>
      <c r="K27" s="62">
        <v>1415</v>
      </c>
      <c r="L27" s="100" t="s">
        <v>2214</v>
      </c>
      <c r="M27" s="5" t="s">
        <v>452</v>
      </c>
      <c r="N27" s="34" t="s">
        <v>464</v>
      </c>
      <c r="O27" s="5" t="s">
        <v>2193</v>
      </c>
      <c r="P27" s="5" t="s">
        <v>2215</v>
      </c>
      <c r="Q27" s="5" t="s">
        <v>2216</v>
      </c>
      <c r="S27" s="5" t="s">
        <v>2256</v>
      </c>
      <c r="T27"/>
    </row>
    <row r="28" spans="3:20" ht="14">
      <c r="C28" s="34" t="s">
        <v>1857</v>
      </c>
      <c r="D28" s="214" t="s">
        <v>383</v>
      </c>
      <c r="E28" s="212" t="str">
        <f>+VLOOKUP(F28,Resumen_Base!$B$6:$F$69,5,0)</f>
        <v>Electricity - Gas for Boats &amp; Vehicles</v>
      </c>
      <c r="F28" s="36" t="s">
        <v>60</v>
      </c>
      <c r="G28" s="5" t="s">
        <v>61</v>
      </c>
      <c r="H28" s="5" t="str">
        <f t="shared" si="0"/>
        <v>DEL5248</v>
      </c>
      <c r="I28" s="62">
        <v>92260</v>
      </c>
      <c r="J28" s="62">
        <v>65.201413427561803</v>
      </c>
      <c r="K28" s="62">
        <v>1415</v>
      </c>
      <c r="L28" s="100" t="s">
        <v>2214</v>
      </c>
      <c r="M28" s="5" t="s">
        <v>452</v>
      </c>
      <c r="N28" s="34" t="s">
        <v>464</v>
      </c>
      <c r="O28" s="5" t="s">
        <v>2193</v>
      </c>
      <c r="P28" s="5" t="s">
        <v>2215</v>
      </c>
      <c r="Q28" s="5" t="s">
        <v>2216</v>
      </c>
      <c r="S28" s="5" t="s">
        <v>2256</v>
      </c>
      <c r="T28"/>
    </row>
    <row r="29" spans="3:20" ht="14">
      <c r="C29" s="34" t="s">
        <v>1857</v>
      </c>
      <c r="D29" s="214" t="s">
        <v>383</v>
      </c>
      <c r="E29" s="212" t="str">
        <f>+VLOOKUP(F29,Resumen_Base!$B$6:$F$69,5,0)</f>
        <v>Electricity - Gas for Boats &amp; Vehicles</v>
      </c>
      <c r="F29" s="36" t="s">
        <v>60</v>
      </c>
      <c r="G29" s="5" t="s">
        <v>61</v>
      </c>
      <c r="H29" s="5" t="str">
        <f t="shared" si="0"/>
        <v>DEL5248</v>
      </c>
      <c r="I29" s="62">
        <v>151867</v>
      </c>
      <c r="J29" s="62">
        <v>107.32650176678401</v>
      </c>
      <c r="K29" s="62">
        <v>1415</v>
      </c>
      <c r="L29" s="100" t="s">
        <v>2214</v>
      </c>
      <c r="M29" s="5" t="s">
        <v>452</v>
      </c>
      <c r="N29" s="34" t="s">
        <v>464</v>
      </c>
      <c r="O29" s="5" t="s">
        <v>2193</v>
      </c>
      <c r="P29" s="5" t="s">
        <v>2215</v>
      </c>
      <c r="Q29" s="5" t="s">
        <v>2216</v>
      </c>
      <c r="S29" s="5" t="s">
        <v>2256</v>
      </c>
      <c r="T29"/>
    </row>
    <row r="30" spans="3:20" ht="14">
      <c r="C30" s="34" t="s">
        <v>1857</v>
      </c>
      <c r="D30" s="214" t="s">
        <v>383</v>
      </c>
      <c r="E30" s="212" t="str">
        <f>+VLOOKUP(F30,Resumen_Base!$B$6:$F$69,5,0)</f>
        <v>Electricity - Gas for Boats &amp; Vehicles</v>
      </c>
      <c r="F30" s="36" t="s">
        <v>60</v>
      </c>
      <c r="G30" s="5" t="s">
        <v>61</v>
      </c>
      <c r="H30" s="5" t="str">
        <f t="shared" si="0"/>
        <v>DEL5248</v>
      </c>
      <c r="I30" s="62">
        <v>166000</v>
      </c>
      <c r="J30" s="62">
        <v>117.314487632509</v>
      </c>
      <c r="K30" s="62">
        <v>1415</v>
      </c>
      <c r="L30" s="100" t="s">
        <v>2214</v>
      </c>
      <c r="M30" s="5" t="s">
        <v>452</v>
      </c>
      <c r="N30" s="34" t="s">
        <v>464</v>
      </c>
      <c r="O30" s="5" t="s">
        <v>2193</v>
      </c>
      <c r="P30" s="5" t="s">
        <v>2215</v>
      </c>
      <c r="Q30" s="5" t="s">
        <v>2216</v>
      </c>
      <c r="S30" s="5" t="s">
        <v>2256</v>
      </c>
      <c r="T30"/>
    </row>
    <row r="31" spans="3:20" ht="14">
      <c r="C31" s="34" t="s">
        <v>1857</v>
      </c>
      <c r="D31" s="214" t="s">
        <v>383</v>
      </c>
      <c r="E31" s="212" t="str">
        <f>+VLOOKUP(F31,Resumen_Base!$B$6:$F$69,5,0)</f>
        <v>Electricity - Gas for Boats &amp; Vehicles</v>
      </c>
      <c r="F31" s="36" t="s">
        <v>60</v>
      </c>
      <c r="G31" s="5" t="s">
        <v>61</v>
      </c>
      <c r="H31" s="5" t="str">
        <f t="shared" si="0"/>
        <v>DEL5248</v>
      </c>
      <c r="I31" s="62">
        <v>179156</v>
      </c>
      <c r="J31" s="62">
        <v>126.612014134276</v>
      </c>
      <c r="K31" s="62">
        <v>1415</v>
      </c>
      <c r="L31" s="100" t="s">
        <v>2214</v>
      </c>
      <c r="M31" s="5" t="s">
        <v>452</v>
      </c>
      <c r="N31" s="34" t="s">
        <v>464</v>
      </c>
      <c r="O31" s="5" t="s">
        <v>2193</v>
      </c>
      <c r="P31" s="5" t="s">
        <v>2215</v>
      </c>
      <c r="Q31" s="5" t="s">
        <v>2216</v>
      </c>
      <c r="S31" s="5" t="s">
        <v>2256</v>
      </c>
      <c r="T31"/>
    </row>
    <row r="32" spans="3:20" ht="14">
      <c r="C32" s="34" t="s">
        <v>1857</v>
      </c>
      <c r="D32" s="214" t="s">
        <v>383</v>
      </c>
      <c r="E32" s="212" t="str">
        <f>+VLOOKUP(F32,Resumen_Base!$B$6:$F$69,5,0)</f>
        <v>Electricity - Gas for Boats &amp; Vehicles</v>
      </c>
      <c r="F32" s="36" t="s">
        <v>60</v>
      </c>
      <c r="G32" s="5" t="s">
        <v>61</v>
      </c>
      <c r="H32" s="5" t="str">
        <f t="shared" si="0"/>
        <v>DEL5248</v>
      </c>
      <c r="I32" s="62">
        <v>73000</v>
      </c>
      <c r="J32" s="62">
        <v>51.590106007067099</v>
      </c>
      <c r="K32" s="62">
        <v>1415</v>
      </c>
      <c r="L32" s="100" t="s">
        <v>2214</v>
      </c>
      <c r="M32" s="5" t="s">
        <v>452</v>
      </c>
      <c r="N32" s="34" t="s">
        <v>464</v>
      </c>
      <c r="O32" s="5" t="s">
        <v>2193</v>
      </c>
      <c r="P32" s="5" t="s">
        <v>2215</v>
      </c>
      <c r="Q32" s="5" t="s">
        <v>2216</v>
      </c>
      <c r="S32" s="5" t="s">
        <v>2256</v>
      </c>
      <c r="T32"/>
    </row>
    <row r="33" spans="3:20" ht="14">
      <c r="C33" s="34" t="s">
        <v>1857</v>
      </c>
      <c r="D33" s="214" t="s">
        <v>383</v>
      </c>
      <c r="E33" s="212" t="str">
        <f>+VLOOKUP(F33,Resumen_Base!$B$6:$F$69,5,0)</f>
        <v>Electricity - Gas for Boats &amp; Vehicles</v>
      </c>
      <c r="F33" s="36" t="s">
        <v>60</v>
      </c>
      <c r="G33" s="5" t="s">
        <v>61</v>
      </c>
      <c r="H33" s="5" t="str">
        <f t="shared" si="0"/>
        <v>DEL5248</v>
      </c>
      <c r="I33" s="62">
        <v>115000</v>
      </c>
      <c r="J33" s="62">
        <v>81.850533807829194</v>
      </c>
      <c r="K33" s="62">
        <v>1405</v>
      </c>
      <c r="L33" s="100" t="s">
        <v>2192</v>
      </c>
      <c r="M33" s="5" t="s">
        <v>452</v>
      </c>
      <c r="N33" s="34" t="s">
        <v>464</v>
      </c>
      <c r="O33" s="5" t="s">
        <v>2193</v>
      </c>
      <c r="P33" s="5" t="s">
        <v>2207</v>
      </c>
      <c r="Q33" s="5" t="s">
        <v>2208</v>
      </c>
      <c r="S33" s="5" t="s">
        <v>2256</v>
      </c>
      <c r="T33"/>
    </row>
    <row r="34" spans="3:20" ht="14">
      <c r="C34" s="34" t="s">
        <v>1857</v>
      </c>
      <c r="D34" s="214" t="s">
        <v>383</v>
      </c>
      <c r="E34" s="212" t="str">
        <f>+VLOOKUP(F34,Resumen_Base!$B$6:$F$69,5,0)</f>
        <v>Electricity - Gas for Boats &amp; Vehicles</v>
      </c>
      <c r="F34" s="36" t="s">
        <v>60</v>
      </c>
      <c r="G34" s="5" t="s">
        <v>61</v>
      </c>
      <c r="H34" s="5" t="str">
        <f t="shared" si="0"/>
        <v>DEL5248</v>
      </c>
      <c r="I34" s="62">
        <v>67500</v>
      </c>
      <c r="J34" s="62">
        <v>47.872340425531902</v>
      </c>
      <c r="K34" s="62">
        <v>1410</v>
      </c>
      <c r="L34" s="100" t="s">
        <v>2204</v>
      </c>
      <c r="M34" s="5" t="s">
        <v>452</v>
      </c>
      <c r="N34" s="34" t="s">
        <v>464</v>
      </c>
      <c r="O34" s="5" t="s">
        <v>2193</v>
      </c>
      <c r="P34" s="5" t="s">
        <v>2205</v>
      </c>
      <c r="Q34" s="5" t="s">
        <v>2206</v>
      </c>
      <c r="S34" s="5" t="s">
        <v>2257</v>
      </c>
      <c r="T34"/>
    </row>
    <row r="35" spans="3:20" ht="14">
      <c r="C35" s="34" t="s">
        <v>1857</v>
      </c>
      <c r="D35" s="214" t="s">
        <v>383</v>
      </c>
      <c r="E35" s="212" t="str">
        <f>+VLOOKUP(F35,Resumen_Base!$B$6:$F$69,5,0)</f>
        <v>Electricity - Gas for Boats &amp; Vehicles</v>
      </c>
      <c r="F35" s="36" t="s">
        <v>60</v>
      </c>
      <c r="G35" s="5" t="s">
        <v>61</v>
      </c>
      <c r="H35" s="5" t="str">
        <f t="shared" si="0"/>
        <v>DEL5248</v>
      </c>
      <c r="I35" s="62">
        <v>199500</v>
      </c>
      <c r="J35" s="62">
        <v>142.5</v>
      </c>
      <c r="K35" s="62">
        <v>1400</v>
      </c>
      <c r="L35" s="100" t="s">
        <v>2218</v>
      </c>
      <c r="M35" s="5" t="s">
        <v>452</v>
      </c>
      <c r="N35" s="34" t="s">
        <v>464</v>
      </c>
      <c r="O35" s="5" t="s">
        <v>2193</v>
      </c>
      <c r="P35" s="5" t="s">
        <v>2219</v>
      </c>
      <c r="Q35" s="5" t="s">
        <v>2220</v>
      </c>
      <c r="S35" s="5" t="s">
        <v>1631</v>
      </c>
      <c r="T35"/>
    </row>
    <row r="36" spans="3:20" ht="14">
      <c r="C36" s="34" t="s">
        <v>1857</v>
      </c>
      <c r="D36" s="214" t="s">
        <v>383</v>
      </c>
      <c r="E36" s="212" t="str">
        <f>+VLOOKUP(F36,Resumen_Base!$B$6:$F$69,5,0)</f>
        <v>Electricity - Gas for Boats &amp; Vehicles</v>
      </c>
      <c r="F36" s="36" t="s">
        <v>60</v>
      </c>
      <c r="G36" s="5" t="s">
        <v>61</v>
      </c>
      <c r="H36" s="5" t="str">
        <f t="shared" si="0"/>
        <v>DEL5248</v>
      </c>
      <c r="I36" s="62">
        <v>60000</v>
      </c>
      <c r="J36" s="62">
        <v>42.553191489361701</v>
      </c>
      <c r="K36" s="62">
        <v>1410</v>
      </c>
      <c r="L36" s="100" t="s">
        <v>2204</v>
      </c>
      <c r="M36" s="5" t="s">
        <v>452</v>
      </c>
      <c r="N36" s="34" t="s">
        <v>464</v>
      </c>
      <c r="O36" s="5" t="s">
        <v>2193</v>
      </c>
      <c r="P36" s="5" t="s">
        <v>2205</v>
      </c>
      <c r="Q36" s="5" t="s">
        <v>2206</v>
      </c>
      <c r="S36" s="5" t="s">
        <v>2258</v>
      </c>
      <c r="T36"/>
    </row>
    <row r="37" spans="3:20" ht="14">
      <c r="C37" s="34" t="s">
        <v>1857</v>
      </c>
      <c r="D37" s="214" t="s">
        <v>383</v>
      </c>
      <c r="E37" s="212" t="str">
        <f>+VLOOKUP(F37,Resumen_Base!$B$6:$F$69,5,0)</f>
        <v>Electricity - Gas for Boats &amp; Vehicles</v>
      </c>
      <c r="F37" s="36" t="s">
        <v>60</v>
      </c>
      <c r="G37" s="5" t="s">
        <v>61</v>
      </c>
      <c r="H37" s="5" t="str">
        <f t="shared" si="0"/>
        <v>DEL5248</v>
      </c>
      <c r="I37" s="62">
        <v>250000</v>
      </c>
      <c r="J37" s="62">
        <v>177.30496453900699</v>
      </c>
      <c r="K37" s="62">
        <v>1410</v>
      </c>
      <c r="L37" s="100" t="s">
        <v>2204</v>
      </c>
      <c r="M37" s="5" t="s">
        <v>452</v>
      </c>
      <c r="N37" s="34" t="s">
        <v>464</v>
      </c>
      <c r="O37" s="5" t="s">
        <v>2193</v>
      </c>
      <c r="P37" s="5" t="s">
        <v>2205</v>
      </c>
      <c r="Q37" s="5" t="s">
        <v>2206</v>
      </c>
      <c r="S37" s="5" t="s">
        <v>2259</v>
      </c>
      <c r="T37"/>
    </row>
    <row r="38" spans="3:20" ht="28">
      <c r="C38" s="34" t="s">
        <v>1857</v>
      </c>
      <c r="D38" s="214" t="s">
        <v>383</v>
      </c>
      <c r="E38" s="212" t="str">
        <f>+VLOOKUP(F38,Resumen_Base!$B$6:$F$69,5,0)</f>
        <v>Fixed Asset's Payments (Investments) Mejoras/equipamiento Lodge</v>
      </c>
      <c r="F38" s="36" t="s">
        <v>82</v>
      </c>
      <c r="G38" s="5" t="s">
        <v>83</v>
      </c>
      <c r="H38" s="5" t="str">
        <f t="shared" si="0"/>
        <v>DEL12020901</v>
      </c>
      <c r="I38" s="62">
        <v>491258.25</v>
      </c>
      <c r="J38" s="62">
        <v>349.65</v>
      </c>
      <c r="K38" s="62">
        <v>1405</v>
      </c>
      <c r="L38" s="100" t="s">
        <v>2192</v>
      </c>
      <c r="M38" s="5" t="s">
        <v>452</v>
      </c>
      <c r="N38" s="34" t="s">
        <v>464</v>
      </c>
      <c r="O38" s="5" t="s">
        <v>2193</v>
      </c>
      <c r="P38" s="5" t="s">
        <v>2194</v>
      </c>
      <c r="Q38" s="5" t="s">
        <v>2195</v>
      </c>
      <c r="S38" s="5" t="s">
        <v>2299</v>
      </c>
      <c r="T38"/>
    </row>
    <row r="39" spans="3:20" ht="28">
      <c r="C39" s="34" t="s">
        <v>1857</v>
      </c>
      <c r="D39" s="214" t="s">
        <v>383</v>
      </c>
      <c r="E39" s="212" t="str">
        <f>+VLOOKUP(F39,Resumen_Base!$B$6:$F$69,5,0)</f>
        <v>Fixed Asset's Payments (Investments) Mejoras/equipamiento Lodge</v>
      </c>
      <c r="F39" s="36" t="s">
        <v>4</v>
      </c>
      <c r="G39" s="5" t="s">
        <v>3</v>
      </c>
      <c r="H39" s="5" t="str">
        <f t="shared" si="0"/>
        <v>DEL12020301</v>
      </c>
      <c r="I39" s="62">
        <v>162499</v>
      </c>
      <c r="J39" s="62">
        <v>115.657651245552</v>
      </c>
      <c r="K39" s="62">
        <v>1405</v>
      </c>
      <c r="L39" s="100" t="s">
        <v>2192</v>
      </c>
      <c r="M39" s="5" t="s">
        <v>452</v>
      </c>
      <c r="N39" s="34" t="s">
        <v>464</v>
      </c>
      <c r="O39" s="5" t="s">
        <v>2193</v>
      </c>
      <c r="P39" s="5" t="s">
        <v>2300</v>
      </c>
      <c r="Q39" s="5" t="s">
        <v>2301</v>
      </c>
      <c r="S39" s="5" t="s">
        <v>2319</v>
      </c>
      <c r="T39"/>
    </row>
    <row r="40" spans="3:20" ht="14">
      <c r="C40" s="34" t="s">
        <v>1857</v>
      </c>
      <c r="D40" s="214" t="s">
        <v>383</v>
      </c>
      <c r="E40" s="212" t="str">
        <f>+VLOOKUP(F40,Resumen_Base!$B$6:$F$69,5,0)</f>
        <v>Food &amp; Wine</v>
      </c>
      <c r="F40" s="36" t="s">
        <v>35</v>
      </c>
      <c r="G40" s="5" t="s">
        <v>34</v>
      </c>
      <c r="H40" s="5" t="str">
        <f t="shared" si="0"/>
        <v>DEL5250</v>
      </c>
      <c r="I40" s="62">
        <v>9950</v>
      </c>
      <c r="J40" s="62">
        <v>7.0567375886524797</v>
      </c>
      <c r="K40" s="62">
        <v>1410</v>
      </c>
      <c r="L40" s="100" t="s">
        <v>2204</v>
      </c>
      <c r="M40" s="5" t="s">
        <v>452</v>
      </c>
      <c r="N40" s="34" t="s">
        <v>464</v>
      </c>
      <c r="O40" s="5" t="s">
        <v>2193</v>
      </c>
      <c r="P40" s="5" t="s">
        <v>2205</v>
      </c>
      <c r="Q40" s="5" t="s">
        <v>2206</v>
      </c>
      <c r="S40" s="5" t="s">
        <v>1028</v>
      </c>
      <c r="T40"/>
    </row>
    <row r="41" spans="3:20" ht="14">
      <c r="C41" s="34" t="s">
        <v>1857</v>
      </c>
      <c r="D41" s="214" t="s">
        <v>383</v>
      </c>
      <c r="E41" s="212" t="str">
        <f>+VLOOKUP(F41,Resumen_Base!$B$6:$F$69,5,0)</f>
        <v>Food &amp; Wine</v>
      </c>
      <c r="F41" s="36" t="s">
        <v>35</v>
      </c>
      <c r="G41" s="5" t="s">
        <v>34</v>
      </c>
      <c r="H41" s="5" t="str">
        <f t="shared" si="0"/>
        <v>DEL5250</v>
      </c>
      <c r="I41" s="62">
        <v>10500</v>
      </c>
      <c r="J41" s="62">
        <v>7.4733096085409301</v>
      </c>
      <c r="K41" s="62">
        <v>1405</v>
      </c>
      <c r="L41" s="100" t="s">
        <v>2192</v>
      </c>
      <c r="M41" s="5" t="s">
        <v>452</v>
      </c>
      <c r="N41" s="34" t="s">
        <v>464</v>
      </c>
      <c r="O41" s="5" t="s">
        <v>2193</v>
      </c>
      <c r="P41" s="5" t="s">
        <v>2207</v>
      </c>
      <c r="Q41" s="5" t="s">
        <v>2208</v>
      </c>
      <c r="S41" s="5" t="s">
        <v>2209</v>
      </c>
      <c r="T41"/>
    </row>
    <row r="42" spans="3:20" ht="14">
      <c r="C42" s="34" t="s">
        <v>1857</v>
      </c>
      <c r="D42" s="214" t="s">
        <v>383</v>
      </c>
      <c r="E42" s="212" t="str">
        <f>+VLOOKUP(F42,Resumen_Base!$B$6:$F$69,5,0)</f>
        <v>Food &amp; Wine</v>
      </c>
      <c r="F42" s="36" t="s">
        <v>712</v>
      </c>
      <c r="G42" s="5" t="s">
        <v>713</v>
      </c>
      <c r="H42" s="5" t="str">
        <f t="shared" si="0"/>
        <v>DEL5257</v>
      </c>
      <c r="I42" s="62">
        <v>52500</v>
      </c>
      <c r="J42" s="62">
        <v>37.366548042704601</v>
      </c>
      <c r="K42" s="62">
        <v>1405</v>
      </c>
      <c r="L42" s="100" t="s">
        <v>2192</v>
      </c>
      <c r="M42" s="5" t="s">
        <v>452</v>
      </c>
      <c r="N42" s="34" t="s">
        <v>464</v>
      </c>
      <c r="O42" s="5" t="s">
        <v>2193</v>
      </c>
      <c r="P42" s="5" t="s">
        <v>2207</v>
      </c>
      <c r="Q42" s="5" t="s">
        <v>2208</v>
      </c>
      <c r="S42" s="5" t="s">
        <v>2210</v>
      </c>
      <c r="T42"/>
    </row>
    <row r="43" spans="3:20" ht="14">
      <c r="C43" s="34" t="s">
        <v>1857</v>
      </c>
      <c r="D43" s="214" t="s">
        <v>383</v>
      </c>
      <c r="E43" s="212" t="str">
        <f>+VLOOKUP(F43,Resumen_Base!$B$6:$F$69,5,0)</f>
        <v>Food &amp; Wine</v>
      </c>
      <c r="F43" s="36" t="s">
        <v>712</v>
      </c>
      <c r="G43" s="5" t="s">
        <v>713</v>
      </c>
      <c r="H43" s="5" t="str">
        <f t="shared" si="0"/>
        <v>DEL5257</v>
      </c>
      <c r="I43" s="62">
        <v>52500</v>
      </c>
      <c r="J43" s="62">
        <v>37.2340425531915</v>
      </c>
      <c r="K43" s="62">
        <v>1410</v>
      </c>
      <c r="L43" s="100" t="s">
        <v>2204</v>
      </c>
      <c r="M43" s="5" t="s">
        <v>452</v>
      </c>
      <c r="N43" s="34" t="s">
        <v>464</v>
      </c>
      <c r="O43" s="5" t="s">
        <v>2193</v>
      </c>
      <c r="P43" s="5" t="s">
        <v>2205</v>
      </c>
      <c r="Q43" s="5" t="s">
        <v>2206</v>
      </c>
      <c r="S43" s="5" t="s">
        <v>2211</v>
      </c>
      <c r="T43"/>
    </row>
    <row r="44" spans="3:20" ht="14">
      <c r="C44" s="34" t="s">
        <v>1857</v>
      </c>
      <c r="D44" s="214" t="s">
        <v>383</v>
      </c>
      <c r="E44" s="212" t="str">
        <f>+VLOOKUP(F44,Resumen_Base!$B$6:$F$69,5,0)</f>
        <v>Food &amp; Wine</v>
      </c>
      <c r="F44" s="36" t="s">
        <v>35</v>
      </c>
      <c r="G44" s="5" t="s">
        <v>34</v>
      </c>
      <c r="H44" s="5" t="str">
        <f t="shared" si="0"/>
        <v>DEL5250</v>
      </c>
      <c r="I44" s="62">
        <v>45300</v>
      </c>
      <c r="J44" s="62">
        <v>32.2419928825623</v>
      </c>
      <c r="K44" s="62">
        <v>1405</v>
      </c>
      <c r="L44" s="100" t="s">
        <v>2192</v>
      </c>
      <c r="M44" s="5" t="s">
        <v>452</v>
      </c>
      <c r="N44" s="34" t="s">
        <v>464</v>
      </c>
      <c r="O44" s="5" t="s">
        <v>2193</v>
      </c>
      <c r="P44" s="5" t="s">
        <v>2207</v>
      </c>
      <c r="Q44" s="5" t="s">
        <v>2208</v>
      </c>
      <c r="S44" s="5" t="s">
        <v>2222</v>
      </c>
      <c r="T44"/>
    </row>
    <row r="45" spans="3:20" ht="14">
      <c r="C45" s="34" t="s">
        <v>1857</v>
      </c>
      <c r="D45" s="214" t="s">
        <v>383</v>
      </c>
      <c r="E45" s="212" t="str">
        <f>+VLOOKUP(F45,Resumen_Base!$B$6:$F$69,5,0)</f>
        <v>Food &amp; Wine</v>
      </c>
      <c r="F45" s="36" t="s">
        <v>712</v>
      </c>
      <c r="G45" s="5" t="s">
        <v>713</v>
      </c>
      <c r="H45" s="5" t="str">
        <f t="shared" si="0"/>
        <v>DEL5257</v>
      </c>
      <c r="I45" s="62">
        <v>20500</v>
      </c>
      <c r="J45" s="62">
        <v>14.5907473309609</v>
      </c>
      <c r="K45" s="62">
        <v>1405</v>
      </c>
      <c r="L45" s="100" t="s">
        <v>2192</v>
      </c>
      <c r="M45" s="5" t="s">
        <v>452</v>
      </c>
      <c r="N45" s="34" t="s">
        <v>464</v>
      </c>
      <c r="O45" s="5" t="s">
        <v>2193</v>
      </c>
      <c r="P45" s="5" t="s">
        <v>2207</v>
      </c>
      <c r="Q45" s="5" t="s">
        <v>2208</v>
      </c>
      <c r="S45" s="5" t="s">
        <v>2225</v>
      </c>
      <c r="T45"/>
    </row>
    <row r="46" spans="3:20" ht="14">
      <c r="C46" s="34" t="s">
        <v>1857</v>
      </c>
      <c r="D46" s="214" t="s">
        <v>383</v>
      </c>
      <c r="E46" s="212" t="str">
        <f>+VLOOKUP(F46,Resumen_Base!$B$6:$F$69,5,0)</f>
        <v>Food &amp; Wine</v>
      </c>
      <c r="F46" s="36" t="s">
        <v>712</v>
      </c>
      <c r="G46" s="5" t="s">
        <v>713</v>
      </c>
      <c r="H46" s="5" t="str">
        <f t="shared" si="0"/>
        <v>DEL5257</v>
      </c>
      <c r="I46" s="62">
        <v>17500</v>
      </c>
      <c r="J46" s="62">
        <v>12.5</v>
      </c>
      <c r="K46" s="62">
        <v>1400</v>
      </c>
      <c r="L46" s="100" t="s">
        <v>2218</v>
      </c>
      <c r="M46" s="5" t="s">
        <v>452</v>
      </c>
      <c r="N46" s="34" t="s">
        <v>464</v>
      </c>
      <c r="O46" s="5" t="s">
        <v>2193</v>
      </c>
      <c r="P46" s="5" t="s">
        <v>2219</v>
      </c>
      <c r="Q46" s="5" t="s">
        <v>2220</v>
      </c>
      <c r="S46" s="5" t="s">
        <v>837</v>
      </c>
      <c r="T46"/>
    </row>
    <row r="47" spans="3:20" ht="14">
      <c r="C47" s="34" t="s">
        <v>1857</v>
      </c>
      <c r="D47" s="214" t="s">
        <v>383</v>
      </c>
      <c r="E47" s="212" t="str">
        <f>+VLOOKUP(F47,Resumen_Base!$B$6:$F$69,5,0)</f>
        <v>Food &amp; Wine</v>
      </c>
      <c r="F47" s="36" t="s">
        <v>712</v>
      </c>
      <c r="G47" s="5" t="s">
        <v>713</v>
      </c>
      <c r="H47" s="5" t="str">
        <f t="shared" si="0"/>
        <v>DEL5257</v>
      </c>
      <c r="I47" s="62">
        <v>28000</v>
      </c>
      <c r="J47" s="62">
        <v>20</v>
      </c>
      <c r="K47" s="62">
        <v>1400</v>
      </c>
      <c r="L47" s="100" t="s">
        <v>2218</v>
      </c>
      <c r="M47" s="5" t="s">
        <v>452</v>
      </c>
      <c r="N47" s="34" t="s">
        <v>464</v>
      </c>
      <c r="O47" s="5" t="s">
        <v>2193</v>
      </c>
      <c r="P47" s="5" t="s">
        <v>2219</v>
      </c>
      <c r="Q47" s="5" t="s">
        <v>2220</v>
      </c>
      <c r="S47" s="5" t="s">
        <v>837</v>
      </c>
      <c r="T47"/>
    </row>
    <row r="48" spans="3:20" ht="14">
      <c r="C48" s="34" t="s">
        <v>1857</v>
      </c>
      <c r="D48" s="214" t="s">
        <v>383</v>
      </c>
      <c r="E48" s="212" t="str">
        <f>+VLOOKUP(F48,Resumen_Base!$B$6:$F$69,5,0)</f>
        <v>Food &amp; Wine</v>
      </c>
      <c r="F48" s="36" t="s">
        <v>35</v>
      </c>
      <c r="G48" s="5" t="s">
        <v>34</v>
      </c>
      <c r="H48" s="5" t="str">
        <f t="shared" si="0"/>
        <v>DEL5250</v>
      </c>
      <c r="I48" s="62">
        <v>42000</v>
      </c>
      <c r="J48" s="62">
        <v>30</v>
      </c>
      <c r="K48" s="62">
        <v>1400</v>
      </c>
      <c r="L48" s="100" t="s">
        <v>2218</v>
      </c>
      <c r="M48" s="5" t="s">
        <v>452</v>
      </c>
      <c r="N48" s="34" t="s">
        <v>464</v>
      </c>
      <c r="O48" s="5" t="s">
        <v>2193</v>
      </c>
      <c r="P48" s="5" t="s">
        <v>2219</v>
      </c>
      <c r="Q48" s="5" t="s">
        <v>2220</v>
      </c>
      <c r="S48" s="5" t="s">
        <v>2226</v>
      </c>
      <c r="T48"/>
    </row>
    <row r="49" spans="3:20" ht="14">
      <c r="C49" s="34" t="s">
        <v>1857</v>
      </c>
      <c r="D49" s="214" t="s">
        <v>383</v>
      </c>
      <c r="E49" s="212" t="str">
        <f>+VLOOKUP(F49,Resumen_Base!$B$6:$F$69,5,0)</f>
        <v>Food &amp; Wine</v>
      </c>
      <c r="F49" s="36" t="s">
        <v>35</v>
      </c>
      <c r="G49" s="5" t="s">
        <v>34</v>
      </c>
      <c r="H49" s="5" t="str">
        <f t="shared" si="0"/>
        <v>DEL5250</v>
      </c>
      <c r="I49" s="62">
        <v>43000</v>
      </c>
      <c r="J49" s="62">
        <v>30.3886925795053</v>
      </c>
      <c r="K49" s="62">
        <v>1415</v>
      </c>
      <c r="L49" s="100" t="s">
        <v>2214</v>
      </c>
      <c r="M49" s="5" t="s">
        <v>452</v>
      </c>
      <c r="N49" s="34" t="s">
        <v>464</v>
      </c>
      <c r="O49" s="5" t="s">
        <v>2193</v>
      </c>
      <c r="P49" s="5" t="s">
        <v>2215</v>
      </c>
      <c r="Q49" s="5" t="s">
        <v>2216</v>
      </c>
      <c r="S49" s="5" t="s">
        <v>2229</v>
      </c>
      <c r="T49"/>
    </row>
    <row r="50" spans="3:20" ht="14">
      <c r="C50" s="34" t="s">
        <v>1857</v>
      </c>
      <c r="D50" s="214" t="s">
        <v>383</v>
      </c>
      <c r="E50" s="212" t="str">
        <f>+VLOOKUP(F50,Resumen_Base!$B$6:$F$69,5,0)</f>
        <v>Food &amp; Wine</v>
      </c>
      <c r="F50" s="36" t="s">
        <v>35</v>
      </c>
      <c r="G50" s="5" t="s">
        <v>34</v>
      </c>
      <c r="H50" s="5" t="str">
        <f t="shared" si="0"/>
        <v>DEL5250</v>
      </c>
      <c r="I50" s="62">
        <v>9600</v>
      </c>
      <c r="J50" s="62">
        <v>6.78445229681979</v>
      </c>
      <c r="K50" s="62">
        <v>1415</v>
      </c>
      <c r="L50" s="100" t="s">
        <v>2214</v>
      </c>
      <c r="M50" s="5" t="s">
        <v>452</v>
      </c>
      <c r="N50" s="34" t="s">
        <v>464</v>
      </c>
      <c r="O50" s="5" t="s">
        <v>2193</v>
      </c>
      <c r="P50" s="5" t="s">
        <v>2215</v>
      </c>
      <c r="Q50" s="5" t="s">
        <v>2216</v>
      </c>
      <c r="S50" s="5" t="s">
        <v>2230</v>
      </c>
      <c r="T50"/>
    </row>
    <row r="51" spans="3:20" ht="14">
      <c r="C51" s="34" t="s">
        <v>1857</v>
      </c>
      <c r="D51" s="214" t="s">
        <v>383</v>
      </c>
      <c r="E51" s="212" t="str">
        <f>+VLOOKUP(F51,Resumen_Base!$B$6:$F$69,5,0)</f>
        <v>Food &amp; Wine</v>
      </c>
      <c r="F51" s="36" t="s">
        <v>35</v>
      </c>
      <c r="G51" s="5" t="s">
        <v>34</v>
      </c>
      <c r="H51" s="5" t="str">
        <f t="shared" si="0"/>
        <v>DEL5250</v>
      </c>
      <c r="I51" s="62">
        <v>20000</v>
      </c>
      <c r="J51" s="62">
        <v>14.285714285714301</v>
      </c>
      <c r="K51" s="62">
        <v>1400</v>
      </c>
      <c r="L51" s="100" t="s">
        <v>2218</v>
      </c>
      <c r="M51" s="5" t="s">
        <v>452</v>
      </c>
      <c r="N51" s="34" t="s">
        <v>464</v>
      </c>
      <c r="O51" s="5" t="s">
        <v>2193</v>
      </c>
      <c r="P51" s="5" t="s">
        <v>2219</v>
      </c>
      <c r="Q51" s="5" t="s">
        <v>2220</v>
      </c>
      <c r="S51" s="5" t="s">
        <v>2232</v>
      </c>
      <c r="T51"/>
    </row>
    <row r="52" spans="3:20" ht="14">
      <c r="C52" s="34" t="s">
        <v>1857</v>
      </c>
      <c r="D52" s="214" t="s">
        <v>383</v>
      </c>
      <c r="E52" s="212" t="str">
        <f>+VLOOKUP(F52,Resumen_Base!$B$6:$F$69,5,0)</f>
        <v>Food &amp; Wine</v>
      </c>
      <c r="F52" s="36" t="s">
        <v>35</v>
      </c>
      <c r="G52" s="5" t="s">
        <v>34</v>
      </c>
      <c r="H52" s="5" t="str">
        <f t="shared" si="0"/>
        <v>DEL5250</v>
      </c>
      <c r="I52" s="62">
        <v>40000</v>
      </c>
      <c r="J52" s="62">
        <v>28.368794326241101</v>
      </c>
      <c r="K52" s="62">
        <v>1410</v>
      </c>
      <c r="L52" s="100" t="s">
        <v>2204</v>
      </c>
      <c r="M52" s="5" t="s">
        <v>452</v>
      </c>
      <c r="N52" s="34" t="s">
        <v>464</v>
      </c>
      <c r="O52" s="5" t="s">
        <v>2193</v>
      </c>
      <c r="P52" s="5" t="s">
        <v>2205</v>
      </c>
      <c r="Q52" s="5" t="s">
        <v>2206</v>
      </c>
      <c r="S52" s="5" t="s">
        <v>2233</v>
      </c>
      <c r="T52"/>
    </row>
    <row r="53" spans="3:20" ht="14">
      <c r="C53" s="34" t="s">
        <v>1857</v>
      </c>
      <c r="D53" s="214" t="s">
        <v>383</v>
      </c>
      <c r="E53" s="212" t="str">
        <f>+VLOOKUP(F53,Resumen_Base!$B$6:$F$69,5,0)</f>
        <v>Food &amp; Wine</v>
      </c>
      <c r="F53" s="36" t="s">
        <v>35</v>
      </c>
      <c r="G53" s="5" t="s">
        <v>34</v>
      </c>
      <c r="H53" s="5" t="str">
        <f t="shared" si="0"/>
        <v>DEL5250</v>
      </c>
      <c r="I53" s="62">
        <v>42000</v>
      </c>
      <c r="J53" s="62">
        <v>30</v>
      </c>
      <c r="K53" s="62">
        <v>1400</v>
      </c>
      <c r="L53" s="100" t="s">
        <v>2218</v>
      </c>
      <c r="M53" s="5" t="s">
        <v>452</v>
      </c>
      <c r="N53" s="34" t="s">
        <v>464</v>
      </c>
      <c r="O53" s="5" t="s">
        <v>2193</v>
      </c>
      <c r="P53" s="5" t="s">
        <v>2219</v>
      </c>
      <c r="Q53" s="5" t="s">
        <v>2220</v>
      </c>
      <c r="S53" s="5" t="s">
        <v>1591</v>
      </c>
      <c r="T53"/>
    </row>
    <row r="54" spans="3:20" ht="14">
      <c r="C54" s="34" t="s">
        <v>1857</v>
      </c>
      <c r="D54" s="214" t="s">
        <v>383</v>
      </c>
      <c r="E54" s="212" t="str">
        <f>+VLOOKUP(F54,Resumen_Base!$B$6:$F$69,5,0)</f>
        <v>Food &amp; Wine</v>
      </c>
      <c r="F54" s="36" t="s">
        <v>35</v>
      </c>
      <c r="G54" s="5" t="s">
        <v>34</v>
      </c>
      <c r="H54" s="5" t="str">
        <f t="shared" si="0"/>
        <v>DEL5250</v>
      </c>
      <c r="I54" s="62">
        <v>42000</v>
      </c>
      <c r="J54" s="62">
        <v>29.681978798586599</v>
      </c>
      <c r="K54" s="62">
        <v>1415</v>
      </c>
      <c r="L54" s="100" t="s">
        <v>2214</v>
      </c>
      <c r="M54" s="5" t="s">
        <v>452</v>
      </c>
      <c r="N54" s="34" t="s">
        <v>464</v>
      </c>
      <c r="O54" s="5" t="s">
        <v>2193</v>
      </c>
      <c r="P54" s="5" t="s">
        <v>2215</v>
      </c>
      <c r="Q54" s="5" t="s">
        <v>2216</v>
      </c>
      <c r="S54" s="5" t="s">
        <v>1591</v>
      </c>
      <c r="T54"/>
    </row>
    <row r="55" spans="3:20" ht="14">
      <c r="C55" s="34" t="s">
        <v>1857</v>
      </c>
      <c r="D55" s="214" t="s">
        <v>383</v>
      </c>
      <c r="E55" s="212" t="str">
        <f>+VLOOKUP(F55,Resumen_Base!$B$6:$F$69,5,0)</f>
        <v>Food &amp; Wine</v>
      </c>
      <c r="F55" s="36" t="s">
        <v>119</v>
      </c>
      <c r="G55" s="5" t="s">
        <v>120</v>
      </c>
      <c r="H55" s="5" t="str">
        <f t="shared" si="0"/>
        <v>DEL5289</v>
      </c>
      <c r="I55" s="62">
        <v>19360</v>
      </c>
      <c r="J55" s="62">
        <v>13.730496453900701</v>
      </c>
      <c r="K55" s="62">
        <v>1410</v>
      </c>
      <c r="L55" s="100" t="s">
        <v>2204</v>
      </c>
      <c r="M55" s="5" t="s">
        <v>452</v>
      </c>
      <c r="N55" s="34" t="s">
        <v>464</v>
      </c>
      <c r="O55" s="5" t="s">
        <v>2193</v>
      </c>
      <c r="P55" s="5" t="s">
        <v>2205</v>
      </c>
      <c r="Q55" s="5" t="s">
        <v>2206</v>
      </c>
      <c r="S55" s="5" t="s">
        <v>2234</v>
      </c>
      <c r="T55"/>
    </row>
    <row r="56" spans="3:20" ht="14">
      <c r="C56" s="34" t="s">
        <v>1857</v>
      </c>
      <c r="D56" s="214" t="s">
        <v>383</v>
      </c>
      <c r="E56" s="212" t="str">
        <f>+VLOOKUP(F56,Resumen_Base!$B$6:$F$69,5,0)</f>
        <v>Food &amp; Wine</v>
      </c>
      <c r="F56" s="36" t="s">
        <v>35</v>
      </c>
      <c r="G56" s="5" t="s">
        <v>34</v>
      </c>
      <c r="H56" s="5" t="str">
        <f t="shared" si="0"/>
        <v>DEL5250</v>
      </c>
      <c r="I56" s="62">
        <v>18830</v>
      </c>
      <c r="J56" s="62">
        <v>13.354609929078</v>
      </c>
      <c r="K56" s="62">
        <v>1410</v>
      </c>
      <c r="L56" s="100" t="s">
        <v>2204</v>
      </c>
      <c r="M56" s="5" t="s">
        <v>452</v>
      </c>
      <c r="N56" s="34" t="s">
        <v>464</v>
      </c>
      <c r="O56" s="5" t="s">
        <v>2193</v>
      </c>
      <c r="P56" s="5" t="s">
        <v>2205</v>
      </c>
      <c r="Q56" s="5" t="s">
        <v>2206</v>
      </c>
      <c r="S56" s="5" t="s">
        <v>2235</v>
      </c>
      <c r="T56"/>
    </row>
    <row r="57" spans="3:20" ht="14">
      <c r="C57" s="34" t="s">
        <v>1857</v>
      </c>
      <c r="D57" s="214" t="s">
        <v>383</v>
      </c>
      <c r="E57" s="212" t="str">
        <f>+VLOOKUP(F57,Resumen_Base!$B$6:$F$69,5,0)</f>
        <v>Food &amp; Wine</v>
      </c>
      <c r="F57" s="36" t="s">
        <v>35</v>
      </c>
      <c r="G57" s="5" t="s">
        <v>34</v>
      </c>
      <c r="H57" s="5" t="str">
        <f t="shared" si="0"/>
        <v>DEL5250</v>
      </c>
      <c r="I57" s="62">
        <v>62678</v>
      </c>
      <c r="J57" s="62">
        <v>44.452482269503498</v>
      </c>
      <c r="K57" s="62">
        <v>1410</v>
      </c>
      <c r="L57" s="100" t="s">
        <v>2204</v>
      </c>
      <c r="M57" s="5" t="s">
        <v>452</v>
      </c>
      <c r="N57" s="34" t="s">
        <v>464</v>
      </c>
      <c r="O57" s="5" t="s">
        <v>2193</v>
      </c>
      <c r="P57" s="5" t="s">
        <v>2205</v>
      </c>
      <c r="Q57" s="5" t="s">
        <v>2206</v>
      </c>
      <c r="S57" s="5" t="s">
        <v>2236</v>
      </c>
      <c r="T57"/>
    </row>
    <row r="58" spans="3:20" ht="14">
      <c r="C58" s="34" t="s">
        <v>1857</v>
      </c>
      <c r="D58" s="214" t="s">
        <v>383</v>
      </c>
      <c r="E58" s="212" t="str">
        <f>+VLOOKUP(F58,Resumen_Base!$B$6:$F$69,5,0)</f>
        <v>Food &amp; Wine</v>
      </c>
      <c r="F58" s="36" t="s">
        <v>35</v>
      </c>
      <c r="G58" s="5" t="s">
        <v>34</v>
      </c>
      <c r="H58" s="5" t="str">
        <f t="shared" si="0"/>
        <v>DEL5250</v>
      </c>
      <c r="I58" s="62">
        <v>49492</v>
      </c>
      <c r="J58" s="62">
        <v>35.100709219858203</v>
      </c>
      <c r="K58" s="62">
        <v>1410</v>
      </c>
      <c r="L58" s="100" t="s">
        <v>2204</v>
      </c>
      <c r="M58" s="5" t="s">
        <v>452</v>
      </c>
      <c r="N58" s="34" t="s">
        <v>464</v>
      </c>
      <c r="O58" s="5" t="s">
        <v>2193</v>
      </c>
      <c r="P58" s="5" t="s">
        <v>2205</v>
      </c>
      <c r="Q58" s="5" t="s">
        <v>2206</v>
      </c>
      <c r="S58" s="5" t="s">
        <v>2237</v>
      </c>
      <c r="T58"/>
    </row>
    <row r="59" spans="3:20" ht="14">
      <c r="C59" s="34" t="s">
        <v>1857</v>
      </c>
      <c r="D59" s="214" t="s">
        <v>383</v>
      </c>
      <c r="E59" s="212" t="str">
        <f>+VLOOKUP(F59,Resumen_Base!$B$6:$F$69,5,0)</f>
        <v>Food &amp; Wine</v>
      </c>
      <c r="F59" s="36" t="s">
        <v>35</v>
      </c>
      <c r="G59" s="5" t="s">
        <v>34</v>
      </c>
      <c r="H59" s="5" t="str">
        <f t="shared" si="0"/>
        <v>DEL5250</v>
      </c>
      <c r="I59" s="62">
        <v>167663</v>
      </c>
      <c r="J59" s="62">
        <v>119.75928571428599</v>
      </c>
      <c r="K59" s="62">
        <v>1400</v>
      </c>
      <c r="L59" s="100" t="s">
        <v>2218</v>
      </c>
      <c r="M59" s="5" t="s">
        <v>452</v>
      </c>
      <c r="N59" s="34" t="s">
        <v>464</v>
      </c>
      <c r="O59" s="5" t="s">
        <v>2193</v>
      </c>
      <c r="P59" s="5" t="s">
        <v>2219</v>
      </c>
      <c r="Q59" s="5" t="s">
        <v>2220</v>
      </c>
      <c r="S59" s="5" t="s">
        <v>2238</v>
      </c>
      <c r="T59"/>
    </row>
    <row r="60" spans="3:20" ht="14">
      <c r="C60" s="34" t="s">
        <v>1857</v>
      </c>
      <c r="D60" s="214" t="s">
        <v>383</v>
      </c>
      <c r="E60" s="212" t="str">
        <f>+VLOOKUP(F60,Resumen_Base!$B$6:$F$69,5,0)</f>
        <v>Food &amp; Wine</v>
      </c>
      <c r="F60" s="36" t="s">
        <v>35</v>
      </c>
      <c r="G60" s="5" t="s">
        <v>34</v>
      </c>
      <c r="H60" s="5" t="str">
        <f t="shared" si="0"/>
        <v>DEL5250</v>
      </c>
      <c r="I60" s="62">
        <v>42000</v>
      </c>
      <c r="J60" s="62">
        <v>29.787234042553202</v>
      </c>
      <c r="K60" s="62">
        <v>1410</v>
      </c>
      <c r="L60" s="100" t="s">
        <v>2204</v>
      </c>
      <c r="M60" s="5" t="s">
        <v>452</v>
      </c>
      <c r="N60" s="34" t="s">
        <v>464</v>
      </c>
      <c r="O60" s="5" t="s">
        <v>2193</v>
      </c>
      <c r="P60" s="5" t="s">
        <v>2205</v>
      </c>
      <c r="Q60" s="5" t="s">
        <v>2206</v>
      </c>
      <c r="S60" s="5" t="s">
        <v>2239</v>
      </c>
      <c r="T60"/>
    </row>
    <row r="61" spans="3:20" ht="14">
      <c r="C61" s="34" t="s">
        <v>1857</v>
      </c>
      <c r="D61" s="214" t="s">
        <v>383</v>
      </c>
      <c r="E61" s="212" t="str">
        <f>+VLOOKUP(F61,Resumen_Base!$B$6:$F$69,5,0)</f>
        <v>Food &amp; Wine</v>
      </c>
      <c r="F61" s="36" t="s">
        <v>35</v>
      </c>
      <c r="G61" s="5" t="s">
        <v>34</v>
      </c>
      <c r="H61" s="5" t="str">
        <f t="shared" si="0"/>
        <v>DEL5250</v>
      </c>
      <c r="I61" s="62">
        <v>35000</v>
      </c>
      <c r="J61" s="62">
        <v>25</v>
      </c>
      <c r="K61" s="62">
        <v>1400</v>
      </c>
      <c r="L61" s="100" t="s">
        <v>2218</v>
      </c>
      <c r="M61" s="5" t="s">
        <v>452</v>
      </c>
      <c r="N61" s="34" t="s">
        <v>464</v>
      </c>
      <c r="O61" s="5" t="s">
        <v>2193</v>
      </c>
      <c r="P61" s="5" t="s">
        <v>2219</v>
      </c>
      <c r="Q61" s="5" t="s">
        <v>2220</v>
      </c>
      <c r="S61" s="5" t="s">
        <v>1599</v>
      </c>
      <c r="T61"/>
    </row>
    <row r="62" spans="3:20" ht="14">
      <c r="C62" s="34" t="s">
        <v>1857</v>
      </c>
      <c r="D62" s="214" t="s">
        <v>383</v>
      </c>
      <c r="E62" s="212" t="str">
        <f>+VLOOKUP(F62,Resumen_Base!$B$6:$F$69,5,0)</f>
        <v>Food &amp; Wine</v>
      </c>
      <c r="F62" s="36" t="s">
        <v>35</v>
      </c>
      <c r="G62" s="5" t="s">
        <v>34</v>
      </c>
      <c r="H62" s="5" t="str">
        <f t="shared" si="0"/>
        <v>DEL5250</v>
      </c>
      <c r="I62" s="62">
        <v>28000</v>
      </c>
      <c r="J62" s="62">
        <v>19.8581560283688</v>
      </c>
      <c r="K62" s="62">
        <v>1410</v>
      </c>
      <c r="L62" s="100" t="s">
        <v>2204</v>
      </c>
      <c r="M62" s="5" t="s">
        <v>452</v>
      </c>
      <c r="N62" s="34" t="s">
        <v>464</v>
      </c>
      <c r="O62" s="5" t="s">
        <v>2193</v>
      </c>
      <c r="P62" s="5" t="s">
        <v>2205</v>
      </c>
      <c r="Q62" s="5" t="s">
        <v>2206</v>
      </c>
      <c r="S62" s="5" t="s">
        <v>764</v>
      </c>
      <c r="T62"/>
    </row>
    <row r="63" spans="3:20" ht="14">
      <c r="C63" s="34" t="s">
        <v>1857</v>
      </c>
      <c r="D63" s="214" t="s">
        <v>383</v>
      </c>
      <c r="E63" s="212" t="str">
        <f>+VLOOKUP(F63,Resumen_Base!$B$6:$F$69,5,0)</f>
        <v>Food &amp; Wine</v>
      </c>
      <c r="F63" s="36" t="s">
        <v>35</v>
      </c>
      <c r="G63" s="5" t="s">
        <v>34</v>
      </c>
      <c r="H63" s="5" t="str">
        <f t="shared" si="0"/>
        <v>DEL5250</v>
      </c>
      <c r="I63" s="62">
        <v>9400</v>
      </c>
      <c r="J63" s="62">
        <v>6.71428571428571</v>
      </c>
      <c r="K63" s="62">
        <v>1400</v>
      </c>
      <c r="L63" s="100" t="s">
        <v>2218</v>
      </c>
      <c r="M63" s="5" t="s">
        <v>452</v>
      </c>
      <c r="N63" s="34" t="s">
        <v>464</v>
      </c>
      <c r="O63" s="5" t="s">
        <v>2193</v>
      </c>
      <c r="P63" s="5" t="s">
        <v>2219</v>
      </c>
      <c r="Q63" s="5" t="s">
        <v>2220</v>
      </c>
      <c r="S63" s="5" t="s">
        <v>764</v>
      </c>
      <c r="T63"/>
    </row>
    <row r="64" spans="3:20" ht="14">
      <c r="C64" s="34" t="s">
        <v>1857</v>
      </c>
      <c r="D64" s="214" t="s">
        <v>383</v>
      </c>
      <c r="E64" s="212" t="str">
        <f>+VLOOKUP(F64,Resumen_Base!$B$6:$F$69,5,0)</f>
        <v>Food &amp; Wine</v>
      </c>
      <c r="F64" s="36" t="s">
        <v>35</v>
      </c>
      <c r="G64" s="5" t="s">
        <v>34</v>
      </c>
      <c r="H64" s="5" t="str">
        <f t="shared" si="0"/>
        <v>DEL5250</v>
      </c>
      <c r="I64" s="62">
        <v>6000</v>
      </c>
      <c r="J64" s="62">
        <v>4.2402826855123701</v>
      </c>
      <c r="K64" s="62">
        <v>1415</v>
      </c>
      <c r="L64" s="100" t="s">
        <v>2214</v>
      </c>
      <c r="M64" s="5" t="s">
        <v>452</v>
      </c>
      <c r="N64" s="34" t="s">
        <v>464</v>
      </c>
      <c r="O64" s="5" t="s">
        <v>2193</v>
      </c>
      <c r="P64" s="5" t="s">
        <v>2215</v>
      </c>
      <c r="Q64" s="5" t="s">
        <v>2216</v>
      </c>
      <c r="S64" s="5" t="s">
        <v>764</v>
      </c>
      <c r="T64"/>
    </row>
    <row r="65" spans="3:20" ht="14">
      <c r="C65" s="34" t="s">
        <v>1857</v>
      </c>
      <c r="D65" s="214" t="s">
        <v>383</v>
      </c>
      <c r="E65" s="212" t="str">
        <f>+VLOOKUP(F65,Resumen_Base!$B$6:$F$69,5,0)</f>
        <v>Food &amp; Wine</v>
      </c>
      <c r="F65" s="36" t="s">
        <v>35</v>
      </c>
      <c r="G65" s="5" t="s">
        <v>34</v>
      </c>
      <c r="H65" s="5" t="str">
        <f t="shared" si="0"/>
        <v>DEL5250</v>
      </c>
      <c r="I65" s="62">
        <v>28000</v>
      </c>
      <c r="J65" s="62">
        <v>19.787985865724401</v>
      </c>
      <c r="K65" s="62">
        <v>1415</v>
      </c>
      <c r="L65" s="100" t="s">
        <v>2214</v>
      </c>
      <c r="M65" s="5" t="s">
        <v>452</v>
      </c>
      <c r="N65" s="34" t="s">
        <v>464</v>
      </c>
      <c r="O65" s="5" t="s">
        <v>2193</v>
      </c>
      <c r="P65" s="5" t="s">
        <v>2215</v>
      </c>
      <c r="Q65" s="5" t="s">
        <v>2216</v>
      </c>
      <c r="S65" s="5" t="s">
        <v>764</v>
      </c>
      <c r="T65"/>
    </row>
    <row r="66" spans="3:20" ht="14">
      <c r="C66" s="34" t="s">
        <v>1857</v>
      </c>
      <c r="D66" s="214" t="s">
        <v>383</v>
      </c>
      <c r="E66" s="212" t="str">
        <f>+VLOOKUP(F66,Resumen_Base!$B$6:$F$69,5,0)</f>
        <v>Food &amp; Wine</v>
      </c>
      <c r="F66" s="36" t="s">
        <v>35</v>
      </c>
      <c r="G66" s="5" t="s">
        <v>34</v>
      </c>
      <c r="H66" s="5" t="str">
        <f t="shared" si="0"/>
        <v>DEL5250</v>
      </c>
      <c r="I66" s="62">
        <v>35000</v>
      </c>
      <c r="J66" s="62">
        <v>24.7349823321555</v>
      </c>
      <c r="K66" s="62">
        <v>1415</v>
      </c>
      <c r="L66" s="100" t="s">
        <v>2214</v>
      </c>
      <c r="M66" s="5" t="s">
        <v>452</v>
      </c>
      <c r="N66" s="34" t="s">
        <v>464</v>
      </c>
      <c r="O66" s="5" t="s">
        <v>2193</v>
      </c>
      <c r="P66" s="5" t="s">
        <v>2215</v>
      </c>
      <c r="Q66" s="5" t="s">
        <v>2216</v>
      </c>
      <c r="S66" s="5" t="s">
        <v>764</v>
      </c>
      <c r="T66"/>
    </row>
    <row r="67" spans="3:20" ht="14">
      <c r="C67" s="34" t="s">
        <v>1857</v>
      </c>
      <c r="D67" s="214" t="s">
        <v>383</v>
      </c>
      <c r="E67" s="212" t="str">
        <f>+VLOOKUP(F67,Resumen_Base!$B$6:$F$69,5,0)</f>
        <v>Food &amp; Wine</v>
      </c>
      <c r="F67" s="36" t="s">
        <v>35</v>
      </c>
      <c r="G67" s="5" t="s">
        <v>34</v>
      </c>
      <c r="H67" s="5" t="str">
        <f t="shared" si="0"/>
        <v>DEL5250</v>
      </c>
      <c r="I67" s="62">
        <v>21000</v>
      </c>
      <c r="J67" s="62">
        <v>14.946619217081899</v>
      </c>
      <c r="K67" s="62">
        <v>1405</v>
      </c>
      <c r="L67" s="100" t="s">
        <v>2192</v>
      </c>
      <c r="M67" s="5" t="s">
        <v>452</v>
      </c>
      <c r="N67" s="34" t="s">
        <v>464</v>
      </c>
      <c r="O67" s="5" t="s">
        <v>2193</v>
      </c>
      <c r="P67" s="5" t="s">
        <v>2207</v>
      </c>
      <c r="Q67" s="5" t="s">
        <v>2208</v>
      </c>
      <c r="S67" s="5" t="s">
        <v>764</v>
      </c>
      <c r="T67"/>
    </row>
    <row r="68" spans="3:20" ht="14">
      <c r="C68" s="34" t="s">
        <v>1857</v>
      </c>
      <c r="D68" s="214" t="s">
        <v>383</v>
      </c>
      <c r="E68" s="212" t="str">
        <f>+VLOOKUP(F68,Resumen_Base!$B$6:$F$69,5,0)</f>
        <v>Food &amp; Wine</v>
      </c>
      <c r="F68" s="36" t="s">
        <v>35</v>
      </c>
      <c r="G68" s="5" t="s">
        <v>34</v>
      </c>
      <c r="H68" s="5" t="str">
        <f t="shared" si="0"/>
        <v>DEL5250</v>
      </c>
      <c r="I68" s="62">
        <v>7000</v>
      </c>
      <c r="J68" s="62">
        <v>4.9822064056939501</v>
      </c>
      <c r="K68" s="62">
        <v>1405</v>
      </c>
      <c r="L68" s="100" t="s">
        <v>2192</v>
      </c>
      <c r="M68" s="5" t="s">
        <v>452</v>
      </c>
      <c r="N68" s="34" t="s">
        <v>464</v>
      </c>
      <c r="O68" s="5" t="s">
        <v>2193</v>
      </c>
      <c r="P68" s="5" t="s">
        <v>2207</v>
      </c>
      <c r="Q68" s="5" t="s">
        <v>2208</v>
      </c>
      <c r="S68" s="5" t="s">
        <v>764</v>
      </c>
      <c r="T68"/>
    </row>
    <row r="69" spans="3:20" ht="14">
      <c r="C69" s="34" t="s">
        <v>1857</v>
      </c>
      <c r="D69" s="214" t="s">
        <v>383</v>
      </c>
      <c r="E69" s="212" t="str">
        <f>+VLOOKUP(F69,Resumen_Base!$B$6:$F$69,5,0)</f>
        <v>Food &amp; Wine</v>
      </c>
      <c r="F69" s="36" t="s">
        <v>35</v>
      </c>
      <c r="G69" s="5" t="s">
        <v>34</v>
      </c>
      <c r="H69" s="5" t="str">
        <f t="shared" si="0"/>
        <v>DEL5250</v>
      </c>
      <c r="I69" s="62">
        <v>70000</v>
      </c>
      <c r="J69" s="62">
        <v>49.822064056939503</v>
      </c>
      <c r="K69" s="62">
        <v>1405</v>
      </c>
      <c r="L69" s="100" t="s">
        <v>2192</v>
      </c>
      <c r="M69" s="5" t="s">
        <v>452</v>
      </c>
      <c r="N69" s="34" t="s">
        <v>464</v>
      </c>
      <c r="O69" s="5" t="s">
        <v>2193</v>
      </c>
      <c r="P69" s="5" t="s">
        <v>2207</v>
      </c>
      <c r="Q69" s="5" t="s">
        <v>2208</v>
      </c>
      <c r="S69" s="5" t="s">
        <v>764</v>
      </c>
      <c r="T69"/>
    </row>
    <row r="70" spans="3:20" ht="14">
      <c r="C70" s="34" t="s">
        <v>1857</v>
      </c>
      <c r="D70" s="214" t="s">
        <v>383</v>
      </c>
      <c r="E70" s="212" t="str">
        <f>+VLOOKUP(F70,Resumen_Base!$B$6:$F$69,5,0)</f>
        <v>Food &amp; Wine</v>
      </c>
      <c r="F70" s="36" t="s">
        <v>35</v>
      </c>
      <c r="G70" s="5" t="s">
        <v>34</v>
      </c>
      <c r="H70" s="5" t="str">
        <f t="shared" si="0"/>
        <v>DEL5250</v>
      </c>
      <c r="I70" s="62">
        <v>7000</v>
      </c>
      <c r="J70" s="62">
        <v>4.9645390070922</v>
      </c>
      <c r="K70" s="62">
        <v>1410</v>
      </c>
      <c r="L70" s="100" t="s">
        <v>2204</v>
      </c>
      <c r="M70" s="5" t="s">
        <v>452</v>
      </c>
      <c r="N70" s="34" t="s">
        <v>464</v>
      </c>
      <c r="O70" s="5" t="s">
        <v>2193</v>
      </c>
      <c r="P70" s="5" t="s">
        <v>2205</v>
      </c>
      <c r="Q70" s="5" t="s">
        <v>2206</v>
      </c>
      <c r="S70" s="5" t="s">
        <v>2240</v>
      </c>
      <c r="T70"/>
    </row>
    <row r="71" spans="3:20" ht="14">
      <c r="C71" s="34" t="s">
        <v>1857</v>
      </c>
      <c r="D71" s="214" t="s">
        <v>383</v>
      </c>
      <c r="E71" s="212" t="str">
        <f>+VLOOKUP(F71,Resumen_Base!$B$6:$F$69,5,0)</f>
        <v>Food &amp; Wine</v>
      </c>
      <c r="F71" s="36" t="s">
        <v>35</v>
      </c>
      <c r="G71" s="5" t="s">
        <v>34</v>
      </c>
      <c r="H71" s="5" t="str">
        <f t="shared" si="0"/>
        <v>DEL5250</v>
      </c>
      <c r="I71" s="62">
        <v>25600</v>
      </c>
      <c r="J71" s="62">
        <v>18.285714285714299</v>
      </c>
      <c r="K71" s="62">
        <v>1400</v>
      </c>
      <c r="L71" s="100" t="s">
        <v>2218</v>
      </c>
      <c r="M71" s="5" t="s">
        <v>452</v>
      </c>
      <c r="N71" s="34" t="s">
        <v>464</v>
      </c>
      <c r="O71" s="5" t="s">
        <v>2193</v>
      </c>
      <c r="P71" s="5" t="s">
        <v>2219</v>
      </c>
      <c r="Q71" s="5" t="s">
        <v>2220</v>
      </c>
      <c r="S71" s="5" t="s">
        <v>2241</v>
      </c>
      <c r="T71"/>
    </row>
    <row r="72" spans="3:20" ht="14">
      <c r="C72" s="34" t="s">
        <v>1857</v>
      </c>
      <c r="D72" s="214" t="s">
        <v>383</v>
      </c>
      <c r="E72" s="212" t="str">
        <f>+VLOOKUP(F72,Resumen_Base!$B$6:$F$69,5,0)</f>
        <v>Food &amp; Wine</v>
      </c>
      <c r="F72" s="36" t="s">
        <v>35</v>
      </c>
      <c r="G72" s="5" t="s">
        <v>34</v>
      </c>
      <c r="H72" s="5" t="str">
        <f t="shared" si="0"/>
        <v>DEL5250</v>
      </c>
      <c r="I72" s="62">
        <v>14400</v>
      </c>
      <c r="J72" s="62">
        <v>10.285714285714301</v>
      </c>
      <c r="K72" s="62">
        <v>1400</v>
      </c>
      <c r="L72" s="100" t="s">
        <v>2218</v>
      </c>
      <c r="M72" s="5" t="s">
        <v>452</v>
      </c>
      <c r="N72" s="34" t="s">
        <v>464</v>
      </c>
      <c r="O72" s="5" t="s">
        <v>2193</v>
      </c>
      <c r="P72" s="5" t="s">
        <v>2219</v>
      </c>
      <c r="Q72" s="5" t="s">
        <v>2220</v>
      </c>
      <c r="S72" s="5" t="s">
        <v>2250</v>
      </c>
      <c r="T72"/>
    </row>
    <row r="73" spans="3:20" ht="14">
      <c r="C73" s="34" t="s">
        <v>1857</v>
      </c>
      <c r="D73" s="214" t="s">
        <v>383</v>
      </c>
      <c r="E73" s="212" t="str">
        <f>+VLOOKUP(F73,Resumen_Base!$B$6:$F$69,5,0)</f>
        <v>Food &amp; Wine</v>
      </c>
      <c r="F73" s="36" t="s">
        <v>110</v>
      </c>
      <c r="G73" s="5" t="s">
        <v>111</v>
      </c>
      <c r="H73" s="5" t="str">
        <f t="shared" si="0"/>
        <v>DEL5291</v>
      </c>
      <c r="I73" s="62">
        <v>20000</v>
      </c>
      <c r="J73" s="62">
        <v>14.1843971631206</v>
      </c>
      <c r="K73" s="62">
        <v>1410</v>
      </c>
      <c r="L73" s="100" t="s">
        <v>2204</v>
      </c>
      <c r="M73" s="5" t="s">
        <v>452</v>
      </c>
      <c r="N73" s="34" t="s">
        <v>464</v>
      </c>
      <c r="O73" s="5" t="s">
        <v>2193</v>
      </c>
      <c r="P73" s="5" t="s">
        <v>2205</v>
      </c>
      <c r="Q73" s="5" t="s">
        <v>2206</v>
      </c>
      <c r="S73" s="5" t="s">
        <v>2260</v>
      </c>
      <c r="T73"/>
    </row>
    <row r="74" spans="3:20" ht="14">
      <c r="C74" s="34" t="s">
        <v>1857</v>
      </c>
      <c r="D74" s="214" t="s">
        <v>383</v>
      </c>
      <c r="E74" s="212" t="str">
        <f>+VLOOKUP(F74,Resumen_Base!$B$6:$F$69,5,0)</f>
        <v>Food &amp; Wine</v>
      </c>
      <c r="F74" s="36" t="s">
        <v>35</v>
      </c>
      <c r="G74" s="5" t="s">
        <v>34</v>
      </c>
      <c r="H74" s="5" t="str">
        <f t="shared" si="0"/>
        <v>DEL5250</v>
      </c>
      <c r="I74" s="62">
        <v>40000</v>
      </c>
      <c r="J74" s="62">
        <v>28.469750889679698</v>
      </c>
      <c r="K74" s="62">
        <v>1405</v>
      </c>
      <c r="L74" s="100" t="s">
        <v>2192</v>
      </c>
      <c r="M74" s="5" t="s">
        <v>452</v>
      </c>
      <c r="N74" s="34" t="s">
        <v>464</v>
      </c>
      <c r="O74" s="5" t="s">
        <v>2193</v>
      </c>
      <c r="P74" s="5" t="s">
        <v>2207</v>
      </c>
      <c r="Q74" s="5" t="s">
        <v>2208</v>
      </c>
      <c r="S74" s="5" t="s">
        <v>2263</v>
      </c>
      <c r="T74"/>
    </row>
    <row r="75" spans="3:20" ht="14">
      <c r="C75" s="34" t="s">
        <v>1857</v>
      </c>
      <c r="D75" s="214" t="s">
        <v>383</v>
      </c>
      <c r="E75" s="212" t="str">
        <f>+VLOOKUP(F75,Resumen_Base!$B$6:$F$69,5,0)</f>
        <v>Food &amp; Wine</v>
      </c>
      <c r="F75" s="36" t="s">
        <v>110</v>
      </c>
      <c r="G75" s="5" t="s">
        <v>111</v>
      </c>
      <c r="H75" s="5" t="str">
        <f t="shared" si="0"/>
        <v>DEL5291</v>
      </c>
      <c r="I75" s="62">
        <v>210750</v>
      </c>
      <c r="J75" s="62">
        <v>150.53571428571399</v>
      </c>
      <c r="K75" s="62">
        <v>1400</v>
      </c>
      <c r="L75" s="100" t="s">
        <v>2218</v>
      </c>
      <c r="M75" s="5" t="s">
        <v>452</v>
      </c>
      <c r="N75" s="34" t="s">
        <v>464</v>
      </c>
      <c r="O75" s="5" t="s">
        <v>2193</v>
      </c>
      <c r="P75" s="5" t="s">
        <v>2219</v>
      </c>
      <c r="Q75" s="5" t="s">
        <v>2220</v>
      </c>
      <c r="S75" s="5" t="s">
        <v>2281</v>
      </c>
      <c r="T75"/>
    </row>
    <row r="76" spans="3:20" ht="14">
      <c r="C76" s="34" t="s">
        <v>1857</v>
      </c>
      <c r="D76" s="214" t="s">
        <v>383</v>
      </c>
      <c r="E76" s="212" t="str">
        <f>+VLOOKUP(F76,Resumen_Base!$B$6:$F$69,5,0)</f>
        <v>Food &amp; Wine</v>
      </c>
      <c r="F76" s="36" t="s">
        <v>119</v>
      </c>
      <c r="G76" s="5" t="s">
        <v>120</v>
      </c>
      <c r="H76" s="5" t="str">
        <f t="shared" si="0"/>
        <v>DEL5289</v>
      </c>
      <c r="I76" s="62">
        <v>57100</v>
      </c>
      <c r="J76" s="62">
        <v>40.353356890459402</v>
      </c>
      <c r="K76" s="62">
        <v>1415</v>
      </c>
      <c r="L76" s="100" t="s">
        <v>2214</v>
      </c>
      <c r="M76" s="5" t="s">
        <v>452</v>
      </c>
      <c r="N76" s="34" t="s">
        <v>464</v>
      </c>
      <c r="O76" s="5" t="s">
        <v>2193</v>
      </c>
      <c r="P76" s="5" t="s">
        <v>2215</v>
      </c>
      <c r="Q76" s="5" t="s">
        <v>2216</v>
      </c>
      <c r="S76" s="5" t="s">
        <v>1327</v>
      </c>
      <c r="T76"/>
    </row>
    <row r="77" spans="3:20" ht="14">
      <c r="C77" s="34" t="s">
        <v>1857</v>
      </c>
      <c r="D77" s="214" t="s">
        <v>383</v>
      </c>
      <c r="E77" s="212" t="str">
        <f>+VLOOKUP(F77,Resumen_Base!$B$6:$F$69,5,0)</f>
        <v>Food &amp; Wine</v>
      </c>
      <c r="F77" s="36" t="s">
        <v>35</v>
      </c>
      <c r="G77" s="5" t="s">
        <v>34</v>
      </c>
      <c r="H77" s="5" t="str">
        <f t="shared" si="0"/>
        <v>DEL5250</v>
      </c>
      <c r="I77" s="62">
        <v>10400</v>
      </c>
      <c r="J77" s="62">
        <v>7.3498233215547701</v>
      </c>
      <c r="K77" s="62">
        <v>1415</v>
      </c>
      <c r="L77" s="100" t="s">
        <v>2214</v>
      </c>
      <c r="M77" s="5" t="s">
        <v>452</v>
      </c>
      <c r="N77" s="34" t="s">
        <v>464</v>
      </c>
      <c r="O77" s="5" t="s">
        <v>2193</v>
      </c>
      <c r="P77" s="5" t="s">
        <v>2215</v>
      </c>
      <c r="Q77" s="5" t="s">
        <v>2216</v>
      </c>
      <c r="S77" s="5" t="s">
        <v>634</v>
      </c>
      <c r="T77"/>
    </row>
    <row r="78" spans="3:20" ht="14">
      <c r="C78" s="34" t="s">
        <v>1857</v>
      </c>
      <c r="D78" s="214" t="s">
        <v>383</v>
      </c>
      <c r="E78" s="212" t="str">
        <f>+VLOOKUP(F78,Resumen_Base!$B$6:$F$69,5,0)</f>
        <v>Food &amp; Wine</v>
      </c>
      <c r="F78" s="36" t="s">
        <v>35</v>
      </c>
      <c r="G78" s="5" t="s">
        <v>34</v>
      </c>
      <c r="H78" s="5" t="str">
        <f t="shared" ref="H78:H135" si="1">+D78&amp;F78</f>
        <v>DEL5250</v>
      </c>
      <c r="I78" s="62">
        <v>165334</v>
      </c>
      <c r="J78" s="62">
        <v>116.84381625441701</v>
      </c>
      <c r="K78" s="62">
        <v>1415</v>
      </c>
      <c r="L78" s="100" t="s">
        <v>2214</v>
      </c>
      <c r="M78" s="5" t="s">
        <v>452</v>
      </c>
      <c r="N78" s="34" t="s">
        <v>464</v>
      </c>
      <c r="O78" s="5" t="s">
        <v>2193</v>
      </c>
      <c r="P78" s="5" t="s">
        <v>2215</v>
      </c>
      <c r="Q78" s="5" t="s">
        <v>2216</v>
      </c>
      <c r="S78" s="5" t="s">
        <v>634</v>
      </c>
      <c r="T78"/>
    </row>
    <row r="79" spans="3:20" ht="14">
      <c r="C79" s="34" t="s">
        <v>1857</v>
      </c>
      <c r="D79" s="214" t="s">
        <v>383</v>
      </c>
      <c r="E79" s="212" t="str">
        <f>+VLOOKUP(F79,Resumen_Base!$B$6:$F$69,5,0)</f>
        <v>Food &amp; Wine</v>
      </c>
      <c r="F79" s="36" t="s">
        <v>35</v>
      </c>
      <c r="G79" s="5" t="s">
        <v>34</v>
      </c>
      <c r="H79" s="5" t="str">
        <f t="shared" si="1"/>
        <v>DEL5250</v>
      </c>
      <c r="I79" s="62">
        <v>117150</v>
      </c>
      <c r="J79" s="62">
        <v>82.791519434628995</v>
      </c>
      <c r="K79" s="62">
        <v>1415</v>
      </c>
      <c r="L79" s="100" t="s">
        <v>2214</v>
      </c>
      <c r="M79" s="5" t="s">
        <v>452</v>
      </c>
      <c r="N79" s="34" t="s">
        <v>464</v>
      </c>
      <c r="O79" s="5" t="s">
        <v>2193</v>
      </c>
      <c r="P79" s="5" t="s">
        <v>2215</v>
      </c>
      <c r="Q79" s="5" t="s">
        <v>2216</v>
      </c>
      <c r="S79" s="5" t="s">
        <v>2289</v>
      </c>
      <c r="T79"/>
    </row>
    <row r="80" spans="3:20" ht="14">
      <c r="C80" s="34" t="s">
        <v>1857</v>
      </c>
      <c r="D80" s="214" t="s">
        <v>383</v>
      </c>
      <c r="E80" s="212" t="str">
        <f>+VLOOKUP(F80,Resumen_Base!$B$6:$F$69,5,0)</f>
        <v>Food &amp; Wine</v>
      </c>
      <c r="F80" s="36" t="s">
        <v>110</v>
      </c>
      <c r="G80" s="5" t="s">
        <v>111</v>
      </c>
      <c r="H80" s="5" t="str">
        <f t="shared" si="1"/>
        <v>DEL5291</v>
      </c>
      <c r="I80" s="62">
        <v>15700</v>
      </c>
      <c r="J80" s="62">
        <v>11.095406360424001</v>
      </c>
      <c r="K80" s="62">
        <v>1415</v>
      </c>
      <c r="L80" s="100" t="s">
        <v>2214</v>
      </c>
      <c r="M80" s="5" t="s">
        <v>452</v>
      </c>
      <c r="N80" s="34" t="s">
        <v>464</v>
      </c>
      <c r="O80" s="5" t="s">
        <v>2193</v>
      </c>
      <c r="P80" s="5" t="s">
        <v>2215</v>
      </c>
      <c r="Q80" s="5" t="s">
        <v>2216</v>
      </c>
      <c r="S80" s="5" t="s">
        <v>2291</v>
      </c>
      <c r="T80"/>
    </row>
    <row r="81" spans="3:20" ht="14">
      <c r="C81" s="34" t="s">
        <v>1857</v>
      </c>
      <c r="D81" s="214" t="s">
        <v>383</v>
      </c>
      <c r="E81" s="212" t="str">
        <f>+VLOOKUP(F81,Resumen_Base!$B$6:$F$69,5,0)</f>
        <v>Food &amp; Wine</v>
      </c>
      <c r="F81" s="36" t="s">
        <v>110</v>
      </c>
      <c r="G81" s="5" t="s">
        <v>111</v>
      </c>
      <c r="H81" s="5" t="str">
        <f t="shared" si="1"/>
        <v>DEL5291</v>
      </c>
      <c r="I81" s="62">
        <v>15500</v>
      </c>
      <c r="J81" s="62">
        <v>10.992907801418401</v>
      </c>
      <c r="K81" s="62">
        <v>1410</v>
      </c>
      <c r="L81" s="100" t="s">
        <v>2204</v>
      </c>
      <c r="M81" s="5" t="s">
        <v>452</v>
      </c>
      <c r="N81" s="34" t="s">
        <v>464</v>
      </c>
      <c r="O81" s="5" t="s">
        <v>2193</v>
      </c>
      <c r="P81" s="5" t="s">
        <v>2205</v>
      </c>
      <c r="Q81" s="5" t="s">
        <v>2206</v>
      </c>
      <c r="S81" s="5" t="s">
        <v>2292</v>
      </c>
      <c r="T81"/>
    </row>
    <row r="82" spans="3:20" ht="14">
      <c r="C82" s="34" t="s">
        <v>1857</v>
      </c>
      <c r="D82" s="214" t="s">
        <v>383</v>
      </c>
      <c r="E82" s="212" t="str">
        <f>+VLOOKUP(F82,Resumen_Base!$B$6:$F$69,5,0)</f>
        <v>Food &amp; Wine</v>
      </c>
      <c r="F82" s="36" t="s">
        <v>110</v>
      </c>
      <c r="G82" s="5" t="s">
        <v>111</v>
      </c>
      <c r="H82" s="5" t="str">
        <f t="shared" si="1"/>
        <v>DEL5291</v>
      </c>
      <c r="I82" s="62">
        <v>4700</v>
      </c>
      <c r="J82" s="62">
        <v>3.3333333333333299</v>
      </c>
      <c r="K82" s="62">
        <v>1410</v>
      </c>
      <c r="L82" s="100" t="s">
        <v>2204</v>
      </c>
      <c r="M82" s="5" t="s">
        <v>452</v>
      </c>
      <c r="N82" s="34" t="s">
        <v>464</v>
      </c>
      <c r="O82" s="5" t="s">
        <v>2193</v>
      </c>
      <c r="P82" s="5" t="s">
        <v>2205</v>
      </c>
      <c r="Q82" s="5" t="s">
        <v>2206</v>
      </c>
      <c r="S82" s="5" t="s">
        <v>2293</v>
      </c>
      <c r="T82"/>
    </row>
    <row r="83" spans="3:20" ht="14">
      <c r="C83" s="34" t="s">
        <v>1857</v>
      </c>
      <c r="D83" s="214" t="s">
        <v>383</v>
      </c>
      <c r="E83" s="212" t="str">
        <f>+VLOOKUP(F83,Resumen_Base!$B$6:$F$69,5,0)</f>
        <v>Food &amp; Wine</v>
      </c>
      <c r="F83" s="36" t="s">
        <v>35</v>
      </c>
      <c r="G83" s="5" t="s">
        <v>34</v>
      </c>
      <c r="H83" s="5" t="str">
        <f t="shared" si="1"/>
        <v>DEL5250</v>
      </c>
      <c r="I83" s="62">
        <v>1802286</v>
      </c>
      <c r="J83" s="62">
        <v>1282.76583629893</v>
      </c>
      <c r="K83" s="62">
        <v>1405</v>
      </c>
      <c r="L83" s="100" t="s">
        <v>2192</v>
      </c>
      <c r="M83" s="5" t="s">
        <v>452</v>
      </c>
      <c r="N83" s="34" t="s">
        <v>464</v>
      </c>
      <c r="O83" s="5" t="s">
        <v>2193</v>
      </c>
      <c r="P83" s="5" t="s">
        <v>2300</v>
      </c>
      <c r="Q83" s="5" t="s">
        <v>2301</v>
      </c>
      <c r="S83" s="5" t="s">
        <v>2315</v>
      </c>
      <c r="T83"/>
    </row>
    <row r="84" spans="3:20" ht="14">
      <c r="C84" s="34" t="s">
        <v>1857</v>
      </c>
      <c r="D84" s="214" t="s">
        <v>383</v>
      </c>
      <c r="E84" s="212" t="str">
        <f>+VLOOKUP(F84,Resumen_Base!$B$6:$F$69,5,0)</f>
        <v>Food &amp; Wine</v>
      </c>
      <c r="F84" s="36" t="s">
        <v>35</v>
      </c>
      <c r="G84" s="5" t="s">
        <v>34</v>
      </c>
      <c r="H84" s="5" t="str">
        <f t="shared" si="1"/>
        <v>DEL5250</v>
      </c>
      <c r="I84" s="62">
        <v>1995459</v>
      </c>
      <c r="J84" s="62">
        <v>1425.32785714286</v>
      </c>
      <c r="K84" s="62">
        <v>1400</v>
      </c>
      <c r="L84" s="100" t="s">
        <v>2187</v>
      </c>
      <c r="M84" s="5" t="s">
        <v>452</v>
      </c>
      <c r="N84" s="34" t="s">
        <v>464</v>
      </c>
      <c r="O84" s="5" t="s">
        <v>2193</v>
      </c>
      <c r="P84" s="5" t="s">
        <v>2316</v>
      </c>
      <c r="Q84" s="5" t="s">
        <v>2317</v>
      </c>
      <c r="S84" s="5" t="s">
        <v>2318</v>
      </c>
      <c r="T84"/>
    </row>
    <row r="85" spans="3:20" ht="14">
      <c r="C85" s="34" t="s">
        <v>1857</v>
      </c>
      <c r="D85" s="214" t="s">
        <v>383</v>
      </c>
      <c r="E85" s="212" t="str">
        <f>+VLOOKUP(F85,Resumen_Base!$B$6:$F$69,5,0)</f>
        <v>Food &amp; Wine</v>
      </c>
      <c r="F85" s="36" t="s">
        <v>35</v>
      </c>
      <c r="G85" s="5" t="s">
        <v>34</v>
      </c>
      <c r="H85" s="5" t="str">
        <f t="shared" si="1"/>
        <v>DEL5250</v>
      </c>
      <c r="I85" s="62">
        <v>800000</v>
      </c>
      <c r="J85" s="62">
        <v>569.39501779359398</v>
      </c>
      <c r="K85" s="62">
        <v>1405</v>
      </c>
      <c r="L85" s="100" t="s">
        <v>2192</v>
      </c>
      <c r="M85" s="5" t="s">
        <v>452</v>
      </c>
      <c r="N85" s="34" t="s">
        <v>464</v>
      </c>
      <c r="O85" s="5" t="s">
        <v>2193</v>
      </c>
      <c r="P85" s="5" t="s">
        <v>2300</v>
      </c>
      <c r="Q85" s="5" t="s">
        <v>2301</v>
      </c>
      <c r="S85" s="5" t="s">
        <v>2321</v>
      </c>
      <c r="T85"/>
    </row>
    <row r="86" spans="3:20" ht="14">
      <c r="C86" s="34" t="s">
        <v>1857</v>
      </c>
      <c r="D86" s="214" t="s">
        <v>383</v>
      </c>
      <c r="E86" s="212" t="str">
        <f>+VLOOKUP(F86,Resumen_Base!$B$6:$F$69,5,0)</f>
        <v>Food &amp; Wine</v>
      </c>
      <c r="F86" s="36" t="s">
        <v>35</v>
      </c>
      <c r="G86" s="5" t="s">
        <v>34</v>
      </c>
      <c r="H86" s="5" t="str">
        <f t="shared" si="1"/>
        <v>DEL5250</v>
      </c>
      <c r="I86" s="62">
        <v>114018</v>
      </c>
      <c r="J86" s="62">
        <v>81.151601423487506</v>
      </c>
      <c r="K86" s="62">
        <v>1405</v>
      </c>
      <c r="L86" s="100" t="s">
        <v>2192</v>
      </c>
      <c r="M86" s="5" t="s">
        <v>452</v>
      </c>
      <c r="N86" s="34" t="s">
        <v>464</v>
      </c>
      <c r="O86" s="5" t="s">
        <v>2193</v>
      </c>
      <c r="P86" s="5" t="s">
        <v>2300</v>
      </c>
      <c r="Q86" s="5" t="s">
        <v>2301</v>
      </c>
      <c r="S86" s="5" t="s">
        <v>2325</v>
      </c>
      <c r="T86"/>
    </row>
    <row r="87" spans="3:20" ht="14">
      <c r="C87" s="34" t="s">
        <v>1857</v>
      </c>
      <c r="D87" s="214" t="s">
        <v>383</v>
      </c>
      <c r="E87" s="212" t="str">
        <f>+VLOOKUP(F87,Resumen_Base!$B$6:$F$69,5,0)</f>
        <v>Guides</v>
      </c>
      <c r="F87" s="36" t="s">
        <v>149</v>
      </c>
      <c r="G87" s="5" t="s">
        <v>284</v>
      </c>
      <c r="H87" s="5" t="str">
        <f t="shared" si="1"/>
        <v>DEL5227</v>
      </c>
      <c r="I87" s="62">
        <v>1638000</v>
      </c>
      <c r="J87" s="62">
        <v>1170</v>
      </c>
      <c r="K87" s="62">
        <v>1400</v>
      </c>
      <c r="L87" s="100" t="s">
        <v>2218</v>
      </c>
      <c r="M87" s="5" t="s">
        <v>452</v>
      </c>
      <c r="N87" s="34" t="s">
        <v>464</v>
      </c>
      <c r="O87" s="5" t="s">
        <v>2193</v>
      </c>
      <c r="P87" s="5" t="s">
        <v>2264</v>
      </c>
      <c r="Q87" s="5" t="s">
        <v>2265</v>
      </c>
      <c r="S87" s="5" t="s">
        <v>2266</v>
      </c>
      <c r="T87"/>
    </row>
    <row r="88" spans="3:20" ht="14">
      <c r="C88" s="34" t="s">
        <v>1857</v>
      </c>
      <c r="D88" s="214" t="s">
        <v>383</v>
      </c>
      <c r="E88" s="212" t="str">
        <f>+VLOOKUP(F88,Resumen_Base!$B$6:$F$69,5,0)</f>
        <v>Guides</v>
      </c>
      <c r="F88" s="36" t="s">
        <v>149</v>
      </c>
      <c r="G88" s="5" t="s">
        <v>284</v>
      </c>
      <c r="H88" s="5" t="str">
        <f t="shared" si="1"/>
        <v>DEL5227</v>
      </c>
      <c r="I88" s="62">
        <v>843000</v>
      </c>
      <c r="J88" s="62">
        <v>600</v>
      </c>
      <c r="K88" s="62">
        <v>1405</v>
      </c>
      <c r="L88" s="100" t="s">
        <v>2192</v>
      </c>
      <c r="M88" s="5" t="s">
        <v>452</v>
      </c>
      <c r="N88" s="34" t="s">
        <v>464</v>
      </c>
      <c r="O88" s="5" t="s">
        <v>2193</v>
      </c>
      <c r="P88" s="5" t="s">
        <v>2267</v>
      </c>
      <c r="Q88" s="5" t="s">
        <v>2268</v>
      </c>
      <c r="S88" s="5" t="s">
        <v>2270</v>
      </c>
      <c r="T88"/>
    </row>
    <row r="89" spans="3:20" ht="14">
      <c r="C89" s="34" t="s">
        <v>1857</v>
      </c>
      <c r="D89" s="214" t="s">
        <v>383</v>
      </c>
      <c r="E89" s="212" t="str">
        <f>+VLOOKUP(F89,Resumen_Base!$B$6:$F$69,5,0)</f>
        <v>Guides</v>
      </c>
      <c r="F89" s="36" t="s">
        <v>149</v>
      </c>
      <c r="G89" s="5" t="s">
        <v>284</v>
      </c>
      <c r="H89" s="5" t="str">
        <f t="shared" si="1"/>
        <v>DEL5227</v>
      </c>
      <c r="I89" s="62">
        <v>1974000</v>
      </c>
      <c r="J89" s="62">
        <v>1400</v>
      </c>
      <c r="K89" s="62">
        <v>1410</v>
      </c>
      <c r="L89" s="100" t="s">
        <v>2204</v>
      </c>
      <c r="M89" s="5" t="s">
        <v>452</v>
      </c>
      <c r="N89" s="34" t="s">
        <v>464</v>
      </c>
      <c r="O89" s="5" t="s">
        <v>2193</v>
      </c>
      <c r="P89" s="5" t="s">
        <v>2271</v>
      </c>
      <c r="Q89" s="5" t="s">
        <v>2272</v>
      </c>
      <c r="S89" s="5" t="s">
        <v>2273</v>
      </c>
      <c r="T89"/>
    </row>
    <row r="90" spans="3:20" ht="14">
      <c r="C90" s="34" t="s">
        <v>1857</v>
      </c>
      <c r="D90" s="214" t="s">
        <v>383</v>
      </c>
      <c r="E90" s="212" t="str">
        <f>+VLOOKUP(F90,Resumen_Base!$B$6:$F$69,5,0)</f>
        <v>Guides</v>
      </c>
      <c r="F90" s="36" t="s">
        <v>149</v>
      </c>
      <c r="G90" s="5" t="s">
        <v>284</v>
      </c>
      <c r="H90" s="5" t="str">
        <f t="shared" si="1"/>
        <v>DEL5227</v>
      </c>
      <c r="I90" s="62">
        <v>2458750</v>
      </c>
      <c r="J90" s="62">
        <v>1750</v>
      </c>
      <c r="K90" s="62">
        <v>1405</v>
      </c>
      <c r="L90" s="100" t="s">
        <v>2192</v>
      </c>
      <c r="M90" s="5" t="s">
        <v>452</v>
      </c>
      <c r="N90" s="34" t="s">
        <v>464</v>
      </c>
      <c r="O90" s="5" t="s">
        <v>2193</v>
      </c>
      <c r="P90" s="5" t="s">
        <v>2267</v>
      </c>
      <c r="Q90" s="5" t="s">
        <v>2268</v>
      </c>
      <c r="S90" s="5" t="s">
        <v>2274</v>
      </c>
      <c r="T90"/>
    </row>
    <row r="91" spans="3:20">
      <c r="C91" s="34" t="s">
        <v>1857</v>
      </c>
      <c r="D91" s="214" t="s">
        <v>383</v>
      </c>
      <c r="E91" s="212" t="str">
        <f>+VLOOKUP(F91,Resumen_Base!$B$6:$F$69,5,0)</f>
        <v>Guides</v>
      </c>
      <c r="F91" s="36" t="s">
        <v>149</v>
      </c>
      <c r="G91" s="5" t="s">
        <v>284</v>
      </c>
      <c r="H91" s="5" t="str">
        <f t="shared" si="1"/>
        <v>DEL5227</v>
      </c>
      <c r="I91" s="62">
        <v>2810000</v>
      </c>
      <c r="J91" s="62">
        <v>2000</v>
      </c>
      <c r="K91" s="62">
        <v>1405</v>
      </c>
      <c r="L91" s="100" t="s">
        <v>2192</v>
      </c>
      <c r="M91" s="5" t="s">
        <v>452</v>
      </c>
      <c r="N91" s="34" t="s">
        <v>464</v>
      </c>
      <c r="O91" s="5" t="s">
        <v>2193</v>
      </c>
      <c r="P91" s="5" t="s">
        <v>2194</v>
      </c>
      <c r="Q91" s="5" t="s">
        <v>2195</v>
      </c>
      <c r="S91" s="5" t="s">
        <v>2295</v>
      </c>
      <c r="T91"/>
    </row>
    <row r="92" spans="3:20">
      <c r="C92" s="34" t="s">
        <v>1857</v>
      </c>
      <c r="D92" s="214" t="s">
        <v>383</v>
      </c>
      <c r="E92" s="212" t="str">
        <f>+VLOOKUP(F92,Resumen_Base!$B$6:$F$69,5,0)</f>
        <v>Maintenance  Boats / Vehicles</v>
      </c>
      <c r="F92" s="36" t="s">
        <v>62</v>
      </c>
      <c r="G92" s="5" t="s">
        <v>63</v>
      </c>
      <c r="H92" s="5" t="str">
        <f t="shared" si="1"/>
        <v>DEL5253</v>
      </c>
      <c r="I92" s="62">
        <v>1100000</v>
      </c>
      <c r="J92" s="62">
        <v>782.91814946619195</v>
      </c>
      <c r="K92" s="62">
        <v>1405</v>
      </c>
      <c r="L92" s="100" t="s">
        <v>2192</v>
      </c>
      <c r="M92" s="5" t="s">
        <v>452</v>
      </c>
      <c r="N92" s="34" t="s">
        <v>464</v>
      </c>
      <c r="O92" s="5" t="s">
        <v>2193</v>
      </c>
      <c r="P92" s="5" t="s">
        <v>2300</v>
      </c>
      <c r="Q92" s="5" t="s">
        <v>2301</v>
      </c>
      <c r="S92" s="5" t="s">
        <v>2328</v>
      </c>
      <c r="T92"/>
    </row>
    <row r="93" spans="3:20">
      <c r="C93" s="34" t="s">
        <v>1857</v>
      </c>
      <c r="D93" s="214" t="s">
        <v>383</v>
      </c>
      <c r="E93" s="212" t="str">
        <f>+VLOOKUP(F93,Resumen_Base!$B$6:$F$69,5,0)</f>
        <v>Maintenance  Equipment</v>
      </c>
      <c r="F93" s="36" t="s">
        <v>29</v>
      </c>
      <c r="G93" s="5" t="s">
        <v>312</v>
      </c>
      <c r="H93" s="5" t="str">
        <f t="shared" si="1"/>
        <v>DEL5254</v>
      </c>
      <c r="I93" s="62">
        <v>144600</v>
      </c>
      <c r="J93" s="62">
        <v>102.190812720848</v>
      </c>
      <c r="K93" s="62">
        <v>1415</v>
      </c>
      <c r="L93" s="100" t="s">
        <v>2303</v>
      </c>
      <c r="M93" s="5" t="s">
        <v>452</v>
      </c>
      <c r="N93" s="34" t="s">
        <v>464</v>
      </c>
      <c r="O93" s="5" t="s">
        <v>2193</v>
      </c>
      <c r="P93" s="5" t="s">
        <v>2304</v>
      </c>
      <c r="Q93" s="5" t="s">
        <v>2305</v>
      </c>
      <c r="S93" s="5" t="s">
        <v>2322</v>
      </c>
      <c r="T93"/>
    </row>
    <row r="94" spans="3:20">
      <c r="C94" s="34" t="s">
        <v>1857</v>
      </c>
      <c r="D94" s="214" t="s">
        <v>383</v>
      </c>
      <c r="E94" s="212" t="str">
        <f>+VLOOKUP(F94,Resumen_Base!$B$6:$F$69,5,0)</f>
        <v>Maintenance Lodge</v>
      </c>
      <c r="F94" s="36" t="s">
        <v>31</v>
      </c>
      <c r="G94" s="5" t="s">
        <v>30</v>
      </c>
      <c r="H94" s="5" t="str">
        <f t="shared" si="1"/>
        <v>DEL5252</v>
      </c>
      <c r="I94" s="62">
        <v>49000</v>
      </c>
      <c r="J94" s="62">
        <v>34.628975265017701</v>
      </c>
      <c r="K94" s="62">
        <v>1415</v>
      </c>
      <c r="L94" s="100" t="s">
        <v>2214</v>
      </c>
      <c r="M94" s="5" t="s">
        <v>452</v>
      </c>
      <c r="N94" s="34" t="s">
        <v>464</v>
      </c>
      <c r="O94" s="5" t="s">
        <v>2193</v>
      </c>
      <c r="P94" s="5" t="s">
        <v>2215</v>
      </c>
      <c r="Q94" s="5" t="s">
        <v>2216</v>
      </c>
      <c r="S94" s="5" t="s">
        <v>2224</v>
      </c>
      <c r="T94"/>
    </row>
    <row r="95" spans="3:20">
      <c r="C95" s="34" t="s">
        <v>1857</v>
      </c>
      <c r="D95" s="214" t="s">
        <v>383</v>
      </c>
      <c r="E95" s="212" t="str">
        <f>+VLOOKUP(F95,Resumen_Base!$B$6:$F$69,5,0)</f>
        <v>Maintenance Lodge</v>
      </c>
      <c r="F95" s="36" t="s">
        <v>31</v>
      </c>
      <c r="G95" s="5" t="s">
        <v>30</v>
      </c>
      <c r="H95" s="5" t="str">
        <f t="shared" si="1"/>
        <v>DEL5252</v>
      </c>
      <c r="I95" s="62">
        <v>33000</v>
      </c>
      <c r="J95" s="62">
        <v>23.321554770317999</v>
      </c>
      <c r="K95" s="62">
        <v>1415</v>
      </c>
      <c r="L95" s="100" t="s">
        <v>2214</v>
      </c>
      <c r="M95" s="5" t="s">
        <v>452</v>
      </c>
      <c r="N95" s="34" t="s">
        <v>464</v>
      </c>
      <c r="O95" s="5" t="s">
        <v>2193</v>
      </c>
      <c r="P95" s="5" t="s">
        <v>2215</v>
      </c>
      <c r="Q95" s="5" t="s">
        <v>2216</v>
      </c>
      <c r="S95" s="5" t="s">
        <v>2228</v>
      </c>
      <c r="T95"/>
    </row>
    <row r="96" spans="3:20">
      <c r="C96" s="34" t="s">
        <v>1857</v>
      </c>
      <c r="D96" s="214" t="s">
        <v>383</v>
      </c>
      <c r="E96" s="212" t="str">
        <f>+VLOOKUP(F96,Resumen_Base!$B$6:$F$69,5,0)</f>
        <v>Maintenance Lodge</v>
      </c>
      <c r="F96" s="36" t="s">
        <v>31</v>
      </c>
      <c r="G96" s="5" t="s">
        <v>30</v>
      </c>
      <c r="H96" s="5" t="str">
        <f t="shared" si="1"/>
        <v>DEL5252</v>
      </c>
      <c r="I96" s="62">
        <v>180000</v>
      </c>
      <c r="J96" s="62">
        <v>128.57142857142901</v>
      </c>
      <c r="K96" s="62">
        <v>1400</v>
      </c>
      <c r="L96" s="100" t="s">
        <v>2218</v>
      </c>
      <c r="M96" s="5" t="s">
        <v>452</v>
      </c>
      <c r="N96" s="34" t="s">
        <v>464</v>
      </c>
      <c r="O96" s="5" t="s">
        <v>2193</v>
      </c>
      <c r="P96" s="5" t="s">
        <v>2219</v>
      </c>
      <c r="Q96" s="5" t="s">
        <v>2220</v>
      </c>
      <c r="S96" s="5" t="s">
        <v>2231</v>
      </c>
      <c r="T96"/>
    </row>
    <row r="97" spans="3:20">
      <c r="C97" s="34" t="s">
        <v>1857</v>
      </c>
      <c r="D97" s="214" t="s">
        <v>383</v>
      </c>
      <c r="E97" s="212" t="str">
        <f>+VLOOKUP(F97,Resumen_Base!$B$6:$F$69,5,0)</f>
        <v>Maintenance Lodge</v>
      </c>
      <c r="F97" s="36" t="s">
        <v>31</v>
      </c>
      <c r="G97" s="5" t="s">
        <v>30</v>
      </c>
      <c r="H97" s="5" t="str">
        <f t="shared" si="1"/>
        <v>DEL5252</v>
      </c>
      <c r="I97" s="62">
        <v>74000</v>
      </c>
      <c r="J97" s="62">
        <v>52.296819787985903</v>
      </c>
      <c r="K97" s="62">
        <v>1415</v>
      </c>
      <c r="L97" s="100" t="s">
        <v>2214</v>
      </c>
      <c r="M97" s="5" t="s">
        <v>452</v>
      </c>
      <c r="N97" s="34" t="s">
        <v>464</v>
      </c>
      <c r="O97" s="5" t="s">
        <v>2193</v>
      </c>
      <c r="P97" s="5" t="s">
        <v>2215</v>
      </c>
      <c r="Q97" s="5" t="s">
        <v>2216</v>
      </c>
      <c r="S97" s="5" t="s">
        <v>2251</v>
      </c>
      <c r="T97"/>
    </row>
    <row r="98" spans="3:20">
      <c r="C98" s="34" t="s">
        <v>1857</v>
      </c>
      <c r="D98" s="214" t="s">
        <v>383</v>
      </c>
      <c r="E98" s="212" t="str">
        <f>+VLOOKUP(F98,Resumen_Base!$B$6:$F$69,5,0)</f>
        <v>Maintenance Lodge</v>
      </c>
      <c r="F98" s="36" t="s">
        <v>31</v>
      </c>
      <c r="G98" s="5" t="s">
        <v>30</v>
      </c>
      <c r="H98" s="5" t="str">
        <f t="shared" si="1"/>
        <v>DEL5252</v>
      </c>
      <c r="I98" s="62">
        <v>20000</v>
      </c>
      <c r="J98" s="62">
        <v>14.234875444839901</v>
      </c>
      <c r="K98" s="62">
        <v>1405</v>
      </c>
      <c r="L98" s="100" t="s">
        <v>2192</v>
      </c>
      <c r="M98" s="5" t="s">
        <v>452</v>
      </c>
      <c r="N98" s="34" t="s">
        <v>464</v>
      </c>
      <c r="O98" s="5" t="s">
        <v>2193</v>
      </c>
      <c r="P98" s="5" t="s">
        <v>2207</v>
      </c>
      <c r="Q98" s="5" t="s">
        <v>2208</v>
      </c>
      <c r="S98" s="5" t="s">
        <v>2261</v>
      </c>
      <c r="T98"/>
    </row>
    <row r="99" spans="3:20">
      <c r="C99" s="34" t="s">
        <v>1857</v>
      </c>
      <c r="D99" s="214" t="s">
        <v>383</v>
      </c>
      <c r="E99" s="212" t="str">
        <f>+VLOOKUP(F99,Resumen_Base!$B$6:$F$69,5,0)</f>
        <v>Maintenance Lodge</v>
      </c>
      <c r="F99" s="36" t="s">
        <v>31</v>
      </c>
      <c r="G99" s="5" t="s">
        <v>30</v>
      </c>
      <c r="H99" s="5" t="str">
        <f t="shared" si="1"/>
        <v>DEL5252</v>
      </c>
      <c r="I99" s="62">
        <v>20000</v>
      </c>
      <c r="J99" s="62">
        <v>14.1342756183746</v>
      </c>
      <c r="K99" s="62">
        <v>1415</v>
      </c>
      <c r="L99" s="100" t="s">
        <v>2214</v>
      </c>
      <c r="M99" s="5" t="s">
        <v>452</v>
      </c>
      <c r="N99" s="34" t="s">
        <v>464</v>
      </c>
      <c r="O99" s="5" t="s">
        <v>2193</v>
      </c>
      <c r="P99" s="5" t="s">
        <v>2215</v>
      </c>
      <c r="Q99" s="5" t="s">
        <v>2216</v>
      </c>
      <c r="S99" s="5" t="s">
        <v>2262</v>
      </c>
      <c r="T99"/>
    </row>
    <row r="100" spans="3:20">
      <c r="C100" s="34" t="s">
        <v>1857</v>
      </c>
      <c r="D100" s="214" t="s">
        <v>383</v>
      </c>
      <c r="E100" s="212" t="str">
        <f>+VLOOKUP(F100,Resumen_Base!$B$6:$F$69,5,0)</f>
        <v>Maintenance Lodge</v>
      </c>
      <c r="F100" s="36" t="s">
        <v>31</v>
      </c>
      <c r="G100" s="5" t="s">
        <v>30</v>
      </c>
      <c r="H100" s="5" t="str">
        <f t="shared" si="1"/>
        <v>DEL5252</v>
      </c>
      <c r="I100" s="62">
        <v>40000</v>
      </c>
      <c r="J100" s="62">
        <v>28.571428571428601</v>
      </c>
      <c r="K100" s="62">
        <v>1400</v>
      </c>
      <c r="L100" s="100" t="s">
        <v>2218</v>
      </c>
      <c r="M100" s="5" t="s">
        <v>452</v>
      </c>
      <c r="N100" s="34" t="s">
        <v>464</v>
      </c>
      <c r="O100" s="5" t="s">
        <v>2193</v>
      </c>
      <c r="P100" s="5" t="s">
        <v>2219</v>
      </c>
      <c r="Q100" s="5" t="s">
        <v>2220</v>
      </c>
      <c r="S100" s="5" t="s">
        <v>2278</v>
      </c>
      <c r="T100"/>
    </row>
    <row r="101" spans="3:20">
      <c r="C101" s="34" t="s">
        <v>1857</v>
      </c>
      <c r="D101" s="214" t="s">
        <v>383</v>
      </c>
      <c r="E101" s="212" t="str">
        <f>+VLOOKUP(F101,Resumen_Base!$B$6:$F$69,5,0)</f>
        <v>Maintenance Lodge</v>
      </c>
      <c r="F101" s="36" t="s">
        <v>31</v>
      </c>
      <c r="G101" s="5" t="s">
        <v>30</v>
      </c>
      <c r="H101" s="5" t="str">
        <f t="shared" si="1"/>
        <v>DEL5252</v>
      </c>
      <c r="I101" s="62">
        <v>100000</v>
      </c>
      <c r="J101" s="62">
        <v>71.428571428571402</v>
      </c>
      <c r="K101" s="62">
        <v>1400</v>
      </c>
      <c r="L101" s="100" t="s">
        <v>2218</v>
      </c>
      <c r="M101" s="5" t="s">
        <v>452</v>
      </c>
      <c r="N101" s="34" t="s">
        <v>464</v>
      </c>
      <c r="O101" s="5" t="s">
        <v>2193</v>
      </c>
      <c r="P101" s="5" t="s">
        <v>2219</v>
      </c>
      <c r="Q101" s="5" t="s">
        <v>2220</v>
      </c>
      <c r="S101" s="5" t="s">
        <v>2280</v>
      </c>
      <c r="T101"/>
    </row>
    <row r="102" spans="3:20">
      <c r="C102" s="34" t="s">
        <v>1857</v>
      </c>
      <c r="D102" s="214" t="s">
        <v>383</v>
      </c>
      <c r="E102" s="212" t="str">
        <f>+VLOOKUP(F102,Resumen_Base!$B$6:$F$69,5,0)</f>
        <v>Maintenance Lodge</v>
      </c>
      <c r="F102" s="36" t="s">
        <v>31</v>
      </c>
      <c r="G102" s="5" t="s">
        <v>30</v>
      </c>
      <c r="H102" s="5" t="str">
        <f t="shared" si="1"/>
        <v>DEL5252</v>
      </c>
      <c r="I102" s="62">
        <v>16000</v>
      </c>
      <c r="J102" s="62">
        <v>11.307420494699601</v>
      </c>
      <c r="K102" s="62">
        <v>1415</v>
      </c>
      <c r="L102" s="100" t="s">
        <v>2214</v>
      </c>
      <c r="M102" s="5" t="s">
        <v>452</v>
      </c>
      <c r="N102" s="34" t="s">
        <v>464</v>
      </c>
      <c r="O102" s="5" t="s">
        <v>2193</v>
      </c>
      <c r="P102" s="5" t="s">
        <v>2215</v>
      </c>
      <c r="Q102" s="5" t="s">
        <v>2216</v>
      </c>
      <c r="S102" s="5" t="s">
        <v>2288</v>
      </c>
      <c r="T102"/>
    </row>
    <row r="103" spans="3:20">
      <c r="C103" s="34" t="s">
        <v>1857</v>
      </c>
      <c r="D103" s="214" t="s">
        <v>383</v>
      </c>
      <c r="E103" s="212" t="str">
        <f>+VLOOKUP(F103,Resumen_Base!$B$6:$F$69,5,0)</f>
        <v>Maintenance Lodge</v>
      </c>
      <c r="F103" s="36" t="s">
        <v>31</v>
      </c>
      <c r="G103" s="5" t="s">
        <v>30</v>
      </c>
      <c r="H103" s="5" t="str">
        <f t="shared" si="1"/>
        <v>DEL5252</v>
      </c>
      <c r="I103" s="62">
        <v>48000</v>
      </c>
      <c r="J103" s="62">
        <v>34.042553191489397</v>
      </c>
      <c r="K103" s="62">
        <v>1410</v>
      </c>
      <c r="L103" s="100" t="s">
        <v>2204</v>
      </c>
      <c r="M103" s="5" t="s">
        <v>452</v>
      </c>
      <c r="N103" s="34" t="s">
        <v>464</v>
      </c>
      <c r="O103" s="5" t="s">
        <v>2193</v>
      </c>
      <c r="P103" s="5" t="s">
        <v>2205</v>
      </c>
      <c r="Q103" s="5" t="s">
        <v>2206</v>
      </c>
      <c r="S103" s="5" t="s">
        <v>2290</v>
      </c>
      <c r="T103"/>
    </row>
    <row r="104" spans="3:20">
      <c r="C104" s="34" t="s">
        <v>1857</v>
      </c>
      <c r="D104" s="214" t="s">
        <v>383</v>
      </c>
      <c r="E104" s="212" t="str">
        <f>+VLOOKUP(F104,Resumen_Base!$B$6:$F$69,5,0)</f>
        <v>Maintenance Lodge</v>
      </c>
      <c r="F104" s="36" t="s">
        <v>31</v>
      </c>
      <c r="G104" s="5" t="s">
        <v>30</v>
      </c>
      <c r="H104" s="5" t="str">
        <f t="shared" si="1"/>
        <v>DEL5252</v>
      </c>
      <c r="I104" s="62">
        <v>286700</v>
      </c>
      <c r="J104" s="62">
        <v>202.614840989399</v>
      </c>
      <c r="K104" s="62">
        <v>1415</v>
      </c>
      <c r="L104" s="100" t="s">
        <v>2303</v>
      </c>
      <c r="M104" s="5" t="s">
        <v>452</v>
      </c>
      <c r="N104" s="34" t="s">
        <v>464</v>
      </c>
      <c r="O104" s="5" t="s">
        <v>2193</v>
      </c>
      <c r="P104" s="5" t="s">
        <v>2304</v>
      </c>
      <c r="Q104" s="5" t="s">
        <v>2305</v>
      </c>
      <c r="S104" s="5" t="s">
        <v>2329</v>
      </c>
      <c r="T104"/>
    </row>
    <row r="105" spans="3:20">
      <c r="C105" s="34" t="s">
        <v>1857</v>
      </c>
      <c r="D105" s="214" t="s">
        <v>383</v>
      </c>
      <c r="E105" s="212" t="str">
        <f>+VLOOKUP(F105,Resumen_Base!$B$6:$F$69,5,0)</f>
        <v>Maintenance Lodge</v>
      </c>
      <c r="F105" s="36" t="s">
        <v>31</v>
      </c>
      <c r="G105" s="5" t="s">
        <v>30</v>
      </c>
      <c r="H105" s="5" t="str">
        <f t="shared" si="1"/>
        <v>DEL5252</v>
      </c>
      <c r="I105" s="62">
        <v>164900</v>
      </c>
      <c r="J105" s="62">
        <v>117.36654804270501</v>
      </c>
      <c r="K105" s="62">
        <v>1405</v>
      </c>
      <c r="L105" s="100" t="s">
        <v>2192</v>
      </c>
      <c r="M105" s="5" t="s">
        <v>452</v>
      </c>
      <c r="N105" s="34" t="s">
        <v>464</v>
      </c>
      <c r="O105" s="5" t="s">
        <v>2193</v>
      </c>
      <c r="P105" s="5" t="s">
        <v>2300</v>
      </c>
      <c r="Q105" s="5" t="s">
        <v>2301</v>
      </c>
      <c r="S105" s="5" t="s">
        <v>2330</v>
      </c>
      <c r="T105"/>
    </row>
    <row r="106" spans="3:20">
      <c r="C106" s="34" t="s">
        <v>1857</v>
      </c>
      <c r="D106" s="214" t="s">
        <v>383</v>
      </c>
      <c r="E106" s="212" t="str">
        <f>+VLOOKUP(F106,Resumen_Base!$B$6:$F$69,5,0)</f>
        <v>Manager</v>
      </c>
      <c r="F106" s="36" t="s">
        <v>150</v>
      </c>
      <c r="G106" s="5" t="s">
        <v>285</v>
      </c>
      <c r="H106" s="5" t="str">
        <f t="shared" si="1"/>
        <v>DEL5228</v>
      </c>
      <c r="I106" s="62">
        <v>681425</v>
      </c>
      <c r="J106" s="62">
        <v>485</v>
      </c>
      <c r="K106" s="62">
        <v>1405</v>
      </c>
      <c r="L106" s="100" t="s">
        <v>2192</v>
      </c>
      <c r="M106" s="5" t="s">
        <v>452</v>
      </c>
      <c r="N106" s="34" t="s">
        <v>464</v>
      </c>
      <c r="O106" s="5" t="s">
        <v>2193</v>
      </c>
      <c r="P106" s="5" t="s">
        <v>2194</v>
      </c>
      <c r="Q106" s="5" t="s">
        <v>2195</v>
      </c>
      <c r="S106" s="5" t="s">
        <v>2198</v>
      </c>
      <c r="T106"/>
    </row>
    <row r="107" spans="3:20">
      <c r="C107" s="34" t="s">
        <v>1857</v>
      </c>
      <c r="D107" s="214" t="s">
        <v>383</v>
      </c>
      <c r="E107" s="212" t="str">
        <f>+VLOOKUP(F107,Resumen_Base!$B$6:$F$69,5,0)</f>
        <v>Manager</v>
      </c>
      <c r="F107" s="36" t="s">
        <v>150</v>
      </c>
      <c r="G107" s="5" t="s">
        <v>285</v>
      </c>
      <c r="H107" s="5" t="str">
        <f t="shared" si="1"/>
        <v>DEL5228</v>
      </c>
      <c r="I107" s="62">
        <v>2292300</v>
      </c>
      <c r="J107" s="62">
        <v>1620</v>
      </c>
      <c r="K107" s="62">
        <v>1415</v>
      </c>
      <c r="L107" s="100" t="s">
        <v>2214</v>
      </c>
      <c r="M107" s="5" t="s">
        <v>452</v>
      </c>
      <c r="N107" s="34" t="s">
        <v>464</v>
      </c>
      <c r="O107" s="5" t="s">
        <v>2193</v>
      </c>
      <c r="P107" s="5" t="s">
        <v>2283</v>
      </c>
      <c r="Q107" s="5" t="s">
        <v>2284</v>
      </c>
      <c r="S107" s="5" t="s">
        <v>2287</v>
      </c>
      <c r="T107"/>
    </row>
    <row r="108" spans="3:20">
      <c r="C108" s="34" t="s">
        <v>1857</v>
      </c>
      <c r="D108" s="214" t="s">
        <v>383</v>
      </c>
      <c r="E108" s="212" t="str">
        <f>+VLOOKUP(F108,Resumen_Base!$B$6:$F$69,5,0)</f>
        <v>Miscellaneous &amp; Shipping</v>
      </c>
      <c r="F108" s="36" t="s">
        <v>54</v>
      </c>
      <c r="G108" s="5" t="s">
        <v>55</v>
      </c>
      <c r="H108" s="5" t="str">
        <f t="shared" si="1"/>
        <v>DEL5219</v>
      </c>
      <c r="I108" s="62">
        <v>12000</v>
      </c>
      <c r="J108" s="62">
        <v>8.5714285714285694</v>
      </c>
      <c r="K108" s="62">
        <v>1400</v>
      </c>
      <c r="L108" s="100" t="s">
        <v>2218</v>
      </c>
      <c r="M108" s="5" t="s">
        <v>452</v>
      </c>
      <c r="N108" s="34" t="s">
        <v>464</v>
      </c>
      <c r="O108" s="5" t="s">
        <v>2193</v>
      </c>
      <c r="P108" s="5" t="s">
        <v>2219</v>
      </c>
      <c r="Q108" s="5" t="s">
        <v>2220</v>
      </c>
      <c r="S108" s="5" t="s">
        <v>2221</v>
      </c>
      <c r="T108"/>
    </row>
    <row r="109" spans="3:20">
      <c r="C109" s="34" t="s">
        <v>1857</v>
      </c>
      <c r="D109" s="214" t="s">
        <v>383</v>
      </c>
      <c r="E109" s="212" t="str">
        <f>+VLOOKUP(F109,Resumen_Base!$B$6:$F$69,5,0)</f>
        <v>Miscellaneous &amp; Shipping</v>
      </c>
      <c r="F109" s="36" t="s">
        <v>54</v>
      </c>
      <c r="G109" s="5" t="s">
        <v>55</v>
      </c>
      <c r="H109" s="5" t="str">
        <f t="shared" si="1"/>
        <v>DEL5219</v>
      </c>
      <c r="I109" s="62">
        <v>15609.55</v>
      </c>
      <c r="J109" s="62">
        <v>11.11</v>
      </c>
      <c r="K109" s="62">
        <v>1405</v>
      </c>
      <c r="L109" s="100" t="s">
        <v>2192</v>
      </c>
      <c r="M109" s="5" t="s">
        <v>452</v>
      </c>
      <c r="N109" s="34" t="s">
        <v>464</v>
      </c>
      <c r="O109" s="5" t="s">
        <v>2193</v>
      </c>
      <c r="P109" s="5" t="s">
        <v>2194</v>
      </c>
      <c r="Q109" s="5" t="s">
        <v>2195</v>
      </c>
      <c r="S109" s="5" t="s">
        <v>2320</v>
      </c>
      <c r="T109"/>
    </row>
    <row r="110" spans="3:20">
      <c r="C110" s="34" t="s">
        <v>1857</v>
      </c>
      <c r="D110" s="214" t="s">
        <v>383</v>
      </c>
      <c r="E110" s="212" t="str">
        <f>+VLOOKUP(F110,Resumen_Base!$B$6:$F$69,5,0)</f>
        <v>Miscellaneous &amp; Shipping</v>
      </c>
      <c r="F110" s="36" t="s">
        <v>26</v>
      </c>
      <c r="G110" s="5" t="s">
        <v>313</v>
      </c>
      <c r="H110" s="5" t="str">
        <f t="shared" si="1"/>
        <v>DEL5263</v>
      </c>
      <c r="I110" s="62">
        <v>216880</v>
      </c>
      <c r="J110" s="62">
        <v>153.272084805654</v>
      </c>
      <c r="K110" s="62">
        <v>1415</v>
      </c>
      <c r="L110" s="100" t="s">
        <v>2303</v>
      </c>
      <c r="M110" s="5" t="s">
        <v>452</v>
      </c>
      <c r="N110" s="34" t="s">
        <v>464</v>
      </c>
      <c r="O110" s="5" t="s">
        <v>2193</v>
      </c>
      <c r="P110" s="5" t="s">
        <v>2304</v>
      </c>
      <c r="Q110" s="5" t="s">
        <v>2305</v>
      </c>
      <c r="S110" s="5" t="s">
        <v>2331</v>
      </c>
      <c r="T110"/>
    </row>
    <row r="111" spans="3:20">
      <c r="C111" s="34" t="s">
        <v>1857</v>
      </c>
      <c r="D111" s="214" t="s">
        <v>383</v>
      </c>
      <c r="E111" s="212" t="str">
        <f>+VLOOKUP(F111,Resumen_Base!$B$6:$F$69,5,0)</f>
        <v>Propane</v>
      </c>
      <c r="F111" s="36" t="s">
        <v>37</v>
      </c>
      <c r="G111" s="5" t="s">
        <v>36</v>
      </c>
      <c r="H111" s="5" t="str">
        <f t="shared" si="1"/>
        <v>DEL5249</v>
      </c>
      <c r="I111" s="62">
        <v>87000</v>
      </c>
      <c r="J111" s="62">
        <v>61.921708185053397</v>
      </c>
      <c r="K111" s="62">
        <v>1405</v>
      </c>
      <c r="L111" s="100" t="s">
        <v>2192</v>
      </c>
      <c r="M111" s="5" t="s">
        <v>452</v>
      </c>
      <c r="N111" s="34" t="s">
        <v>464</v>
      </c>
      <c r="O111" s="5" t="s">
        <v>2193</v>
      </c>
      <c r="P111" s="5" t="s">
        <v>2207</v>
      </c>
      <c r="Q111" s="5" t="s">
        <v>2208</v>
      </c>
      <c r="S111" s="5" t="s">
        <v>2212</v>
      </c>
      <c r="T111"/>
    </row>
    <row r="112" spans="3:20">
      <c r="C112" s="34" t="s">
        <v>1857</v>
      </c>
      <c r="D112" s="214" t="s">
        <v>383</v>
      </c>
      <c r="E112" s="212" t="str">
        <f>+VLOOKUP(F112,Resumen_Base!$B$6:$F$69,5,0)</f>
        <v>Propane</v>
      </c>
      <c r="F112" s="36" t="s">
        <v>37</v>
      </c>
      <c r="G112" s="5" t="s">
        <v>36</v>
      </c>
      <c r="H112" s="5" t="str">
        <f t="shared" si="1"/>
        <v>DEL5249</v>
      </c>
      <c r="I112" s="62">
        <v>78000</v>
      </c>
      <c r="J112" s="62">
        <v>55.319148936170201</v>
      </c>
      <c r="K112" s="62">
        <v>1410</v>
      </c>
      <c r="L112" s="100" t="s">
        <v>2204</v>
      </c>
      <c r="M112" s="5" t="s">
        <v>452</v>
      </c>
      <c r="N112" s="34" t="s">
        <v>464</v>
      </c>
      <c r="O112" s="5" t="s">
        <v>2193</v>
      </c>
      <c r="P112" s="5" t="s">
        <v>2205</v>
      </c>
      <c r="Q112" s="5" t="s">
        <v>2206</v>
      </c>
      <c r="S112" s="5" t="s">
        <v>2213</v>
      </c>
      <c r="T112"/>
    </row>
    <row r="113" spans="3:20">
      <c r="C113" s="34" t="s">
        <v>1857</v>
      </c>
      <c r="D113" s="214" t="s">
        <v>383</v>
      </c>
      <c r="E113" s="212" t="str">
        <f>+VLOOKUP(F113,Resumen_Base!$B$6:$F$69,5,0)</f>
        <v>Propane</v>
      </c>
      <c r="F113" s="36" t="s">
        <v>37</v>
      </c>
      <c r="G113" s="5" t="s">
        <v>36</v>
      </c>
      <c r="H113" s="5" t="str">
        <f t="shared" si="1"/>
        <v>DEL5249</v>
      </c>
      <c r="I113" s="62">
        <v>116000</v>
      </c>
      <c r="J113" s="62">
        <v>81.978798586572395</v>
      </c>
      <c r="K113" s="62">
        <v>1415</v>
      </c>
      <c r="L113" s="100" t="s">
        <v>2214</v>
      </c>
      <c r="M113" s="5" t="s">
        <v>452</v>
      </c>
      <c r="N113" s="34" t="s">
        <v>464</v>
      </c>
      <c r="O113" s="5" t="s">
        <v>2193</v>
      </c>
      <c r="P113" s="5" t="s">
        <v>2215</v>
      </c>
      <c r="Q113" s="5" t="s">
        <v>2216</v>
      </c>
      <c r="S113" s="5" t="s">
        <v>2217</v>
      </c>
      <c r="T113"/>
    </row>
    <row r="114" spans="3:20">
      <c r="C114" s="34" t="s">
        <v>1857</v>
      </c>
      <c r="D114" s="214" t="s">
        <v>383</v>
      </c>
      <c r="E114" s="212" t="str">
        <f>+VLOOKUP(F114,Resumen_Base!$B$6:$F$69,5,0)</f>
        <v>Propane</v>
      </c>
      <c r="F114" s="36" t="s">
        <v>37</v>
      </c>
      <c r="G114" s="5" t="s">
        <v>36</v>
      </c>
      <c r="H114" s="5" t="str">
        <f t="shared" si="1"/>
        <v>DEL5249</v>
      </c>
      <c r="I114" s="62">
        <v>78000</v>
      </c>
      <c r="J114" s="62">
        <v>55.714285714285701</v>
      </c>
      <c r="K114" s="62">
        <v>1400</v>
      </c>
      <c r="L114" s="100" t="s">
        <v>2218</v>
      </c>
      <c r="M114" s="5" t="s">
        <v>452</v>
      </c>
      <c r="N114" s="34" t="s">
        <v>464</v>
      </c>
      <c r="O114" s="5" t="s">
        <v>2193</v>
      </c>
      <c r="P114" s="5" t="s">
        <v>2219</v>
      </c>
      <c r="Q114" s="5" t="s">
        <v>2220</v>
      </c>
      <c r="S114" s="5" t="s">
        <v>1671</v>
      </c>
      <c r="T114"/>
    </row>
    <row r="115" spans="3:20">
      <c r="C115" s="34" t="s">
        <v>1857</v>
      </c>
      <c r="D115" s="214" t="s">
        <v>383</v>
      </c>
      <c r="E115" s="212" t="str">
        <f>+VLOOKUP(F115,Resumen_Base!$B$6:$F$69,5,0)</f>
        <v>Propane</v>
      </c>
      <c r="F115" s="36" t="s">
        <v>37</v>
      </c>
      <c r="G115" s="5" t="s">
        <v>36</v>
      </c>
      <c r="H115" s="5" t="str">
        <f t="shared" si="1"/>
        <v>DEL5249</v>
      </c>
      <c r="I115" s="62">
        <v>104000</v>
      </c>
      <c r="J115" s="62">
        <v>74.285714285714306</v>
      </c>
      <c r="K115" s="62">
        <v>1400</v>
      </c>
      <c r="L115" s="100" t="s">
        <v>2218</v>
      </c>
      <c r="M115" s="5" t="s">
        <v>452</v>
      </c>
      <c r="N115" s="34" t="s">
        <v>464</v>
      </c>
      <c r="O115" s="5" t="s">
        <v>2193</v>
      </c>
      <c r="P115" s="5" t="s">
        <v>2219</v>
      </c>
      <c r="Q115" s="5" t="s">
        <v>2220</v>
      </c>
      <c r="S115" s="5" t="s">
        <v>1671</v>
      </c>
      <c r="T115"/>
    </row>
    <row r="116" spans="3:20">
      <c r="C116" s="34" t="s">
        <v>1857</v>
      </c>
      <c r="D116" s="214" t="s">
        <v>383</v>
      </c>
      <c r="E116" s="212" t="str">
        <f>+VLOOKUP(F116,Resumen_Base!$B$6:$F$69,5,0)</f>
        <v>Services/House</v>
      </c>
      <c r="F116" s="36" t="s">
        <v>148</v>
      </c>
      <c r="G116" s="5" t="s">
        <v>283</v>
      </c>
      <c r="H116" s="5" t="str">
        <f t="shared" si="1"/>
        <v>DEL5226</v>
      </c>
      <c r="I116" s="62">
        <v>1929065</v>
      </c>
      <c r="J116" s="62">
        <v>1373</v>
      </c>
      <c r="K116" s="62">
        <v>1405</v>
      </c>
      <c r="L116" s="100" t="s">
        <v>2192</v>
      </c>
      <c r="M116" s="5" t="s">
        <v>452</v>
      </c>
      <c r="N116" s="34" t="s">
        <v>464</v>
      </c>
      <c r="O116" s="5" t="s">
        <v>2193</v>
      </c>
      <c r="P116" s="5" t="s">
        <v>2194</v>
      </c>
      <c r="Q116" s="5" t="s">
        <v>2195</v>
      </c>
      <c r="S116" s="5" t="s">
        <v>2199</v>
      </c>
      <c r="T116"/>
    </row>
    <row r="117" spans="3:20">
      <c r="C117" s="34" t="s">
        <v>1857</v>
      </c>
      <c r="D117" s="214" t="s">
        <v>383</v>
      </c>
      <c r="E117" s="212" t="str">
        <f>+VLOOKUP(F117,Resumen_Base!$B$6:$F$69,5,0)</f>
        <v>Services/House</v>
      </c>
      <c r="F117" s="36" t="s">
        <v>148</v>
      </c>
      <c r="G117" s="5" t="s">
        <v>283</v>
      </c>
      <c r="H117" s="5" t="str">
        <f t="shared" si="1"/>
        <v>DEL5226</v>
      </c>
      <c r="I117" s="62">
        <v>1756250</v>
      </c>
      <c r="J117" s="62">
        <v>1250</v>
      </c>
      <c r="K117" s="62">
        <v>1405</v>
      </c>
      <c r="L117" s="100" t="s">
        <v>2192</v>
      </c>
      <c r="M117" s="5" t="s">
        <v>452</v>
      </c>
      <c r="N117" s="34" t="s">
        <v>464</v>
      </c>
      <c r="O117" s="5" t="s">
        <v>2193</v>
      </c>
      <c r="P117" s="5" t="s">
        <v>2267</v>
      </c>
      <c r="Q117" s="5" t="s">
        <v>2268</v>
      </c>
      <c r="S117" s="5" t="s">
        <v>2269</v>
      </c>
      <c r="T117"/>
    </row>
    <row r="118" spans="3:20">
      <c r="C118" s="34" t="s">
        <v>1857</v>
      </c>
      <c r="D118" s="214" t="s">
        <v>383</v>
      </c>
      <c r="E118" s="212" t="str">
        <f>+VLOOKUP(F118,Resumen_Base!$B$6:$F$69,5,0)</f>
        <v>Services/House</v>
      </c>
      <c r="F118" s="36" t="s">
        <v>148</v>
      </c>
      <c r="G118" s="5" t="s">
        <v>283</v>
      </c>
      <c r="H118" s="5" t="str">
        <f t="shared" si="1"/>
        <v>DEL5226</v>
      </c>
      <c r="I118" s="62">
        <v>1535275</v>
      </c>
      <c r="J118" s="62">
        <v>1085</v>
      </c>
      <c r="K118" s="62">
        <v>1415</v>
      </c>
      <c r="L118" s="100" t="s">
        <v>2214</v>
      </c>
      <c r="M118" s="5" t="s">
        <v>452</v>
      </c>
      <c r="N118" s="34" t="s">
        <v>464</v>
      </c>
      <c r="O118" s="5" t="s">
        <v>2193</v>
      </c>
      <c r="P118" s="5" t="s">
        <v>2283</v>
      </c>
      <c r="Q118" s="5" t="s">
        <v>2284</v>
      </c>
      <c r="S118" s="5" t="s">
        <v>2285</v>
      </c>
      <c r="T118"/>
    </row>
    <row r="119" spans="3:20">
      <c r="C119" s="34" t="s">
        <v>1857</v>
      </c>
      <c r="D119" s="214" t="s">
        <v>383</v>
      </c>
      <c r="E119" s="212" t="str">
        <f>+VLOOKUP(F119,Resumen_Base!$B$6:$F$69,5,0)</f>
        <v>Services/House</v>
      </c>
      <c r="F119" s="36" t="s">
        <v>148</v>
      </c>
      <c r="G119" s="5" t="s">
        <v>283</v>
      </c>
      <c r="H119" s="5" t="str">
        <f t="shared" si="1"/>
        <v>DEL5226</v>
      </c>
      <c r="I119" s="62">
        <v>1584800</v>
      </c>
      <c r="J119" s="62">
        <v>1120</v>
      </c>
      <c r="K119" s="62">
        <v>1415</v>
      </c>
      <c r="L119" s="100" t="s">
        <v>2214</v>
      </c>
      <c r="M119" s="5" t="s">
        <v>452</v>
      </c>
      <c r="N119" s="34" t="s">
        <v>464</v>
      </c>
      <c r="O119" s="5" t="s">
        <v>2193</v>
      </c>
      <c r="P119" s="5" t="s">
        <v>2283</v>
      </c>
      <c r="Q119" s="5" t="s">
        <v>2284</v>
      </c>
      <c r="S119" s="5" t="s">
        <v>2286</v>
      </c>
      <c r="T119"/>
    </row>
    <row r="120" spans="3:20">
      <c r="C120" s="34" t="s">
        <v>1857</v>
      </c>
      <c r="D120" s="214" t="s">
        <v>383</v>
      </c>
      <c r="E120" s="212" t="str">
        <f>+VLOOKUP(F120,Resumen_Base!$B$6:$F$69,5,0)</f>
        <v>Shop</v>
      </c>
      <c r="F120" s="36" t="s">
        <v>130</v>
      </c>
      <c r="G120" s="5" t="s">
        <v>131</v>
      </c>
      <c r="H120" s="5" t="str">
        <f t="shared" si="1"/>
        <v>DEL4104</v>
      </c>
      <c r="I120" s="62">
        <v>-91975</v>
      </c>
      <c r="J120" s="62">
        <v>-65</v>
      </c>
      <c r="K120" s="62">
        <v>1415</v>
      </c>
      <c r="L120" s="100" t="s">
        <v>2214</v>
      </c>
      <c r="M120" s="5" t="s">
        <v>1382</v>
      </c>
      <c r="N120" s="34" t="s">
        <v>464</v>
      </c>
      <c r="O120" s="5" t="s">
        <v>2332</v>
      </c>
      <c r="P120" s="5" t="s">
        <v>2337</v>
      </c>
      <c r="Q120" s="5" t="s">
        <v>2338</v>
      </c>
      <c r="S120" s="5" t="s">
        <v>2339</v>
      </c>
      <c r="T120" s="305" t="s">
        <v>2340</v>
      </c>
    </row>
    <row r="121" spans="3:20">
      <c r="C121" s="34" t="s">
        <v>1857</v>
      </c>
      <c r="D121" s="214" t="s">
        <v>383</v>
      </c>
      <c r="E121" s="212" t="str">
        <f>+VLOOKUP(F121,Resumen_Base!$B$6:$F$69,5,0)</f>
        <v>Shop</v>
      </c>
      <c r="F121" s="36" t="s">
        <v>130</v>
      </c>
      <c r="G121" s="5" t="s">
        <v>131</v>
      </c>
      <c r="H121" s="5" t="str">
        <f t="shared" si="1"/>
        <v>DEL4104</v>
      </c>
      <c r="I121" s="62">
        <v>-245000</v>
      </c>
      <c r="J121" s="62">
        <v>-175</v>
      </c>
      <c r="K121" s="62">
        <v>1400</v>
      </c>
      <c r="L121" s="100" t="s">
        <v>2218</v>
      </c>
      <c r="M121" s="5" t="s">
        <v>1382</v>
      </c>
      <c r="N121" s="34" t="s">
        <v>464</v>
      </c>
      <c r="O121" s="5" t="s">
        <v>2332</v>
      </c>
      <c r="P121" s="5" t="s">
        <v>2344</v>
      </c>
      <c r="Q121" s="5" t="s">
        <v>2345</v>
      </c>
      <c r="S121" s="5" t="s">
        <v>2346</v>
      </c>
      <c r="T121" s="305" t="s">
        <v>2347</v>
      </c>
    </row>
    <row r="122" spans="3:20">
      <c r="C122" s="34" t="s">
        <v>1857</v>
      </c>
      <c r="D122" s="214" t="s">
        <v>383</v>
      </c>
      <c r="E122" s="212" t="str">
        <f>+VLOOKUP(F122,Resumen_Base!$B$6:$F$69,5,0)</f>
        <v>Shop</v>
      </c>
      <c r="F122" s="36" t="s">
        <v>130</v>
      </c>
      <c r="G122" s="5" t="s">
        <v>131</v>
      </c>
      <c r="H122" s="5" t="str">
        <f t="shared" si="1"/>
        <v>DEL4104</v>
      </c>
      <c r="I122" s="62">
        <v>-133000</v>
      </c>
      <c r="J122" s="62">
        <v>-95</v>
      </c>
      <c r="K122" s="62">
        <v>1400</v>
      </c>
      <c r="L122" s="100" t="s">
        <v>2218</v>
      </c>
      <c r="M122" s="5" t="s">
        <v>1382</v>
      </c>
      <c r="N122" s="34" t="s">
        <v>464</v>
      </c>
      <c r="O122" s="5" t="s">
        <v>2332</v>
      </c>
      <c r="P122" s="5" t="s">
        <v>2344</v>
      </c>
      <c r="Q122" s="5" t="s">
        <v>2345</v>
      </c>
      <c r="S122" s="5" t="s">
        <v>2346</v>
      </c>
      <c r="T122" s="305" t="s">
        <v>2347</v>
      </c>
    </row>
    <row r="123" spans="3:20">
      <c r="C123" s="34" t="s">
        <v>1857</v>
      </c>
      <c r="D123" s="214" t="s">
        <v>383</v>
      </c>
      <c r="E123" s="212" t="str">
        <f>+VLOOKUP(F123,Resumen_Base!$B$6:$F$69,5,0)</f>
        <v>Shop</v>
      </c>
      <c r="F123" s="36" t="s">
        <v>130</v>
      </c>
      <c r="G123" s="5" t="s">
        <v>131</v>
      </c>
      <c r="H123" s="5" t="str">
        <f t="shared" si="1"/>
        <v>DEL4104</v>
      </c>
      <c r="I123" s="62">
        <v>-33600</v>
      </c>
      <c r="J123" s="62">
        <v>-24</v>
      </c>
      <c r="K123" s="62">
        <v>1400</v>
      </c>
      <c r="L123" s="100" t="s">
        <v>2218</v>
      </c>
      <c r="M123" s="5" t="s">
        <v>1382</v>
      </c>
      <c r="N123" s="34" t="s">
        <v>464</v>
      </c>
      <c r="O123" s="5" t="s">
        <v>2332</v>
      </c>
      <c r="P123" s="5" t="s">
        <v>2344</v>
      </c>
      <c r="Q123" s="5" t="s">
        <v>2345</v>
      </c>
      <c r="S123" s="5" t="s">
        <v>2346</v>
      </c>
      <c r="T123" s="305" t="s">
        <v>2347</v>
      </c>
    </row>
    <row r="124" spans="3:20">
      <c r="C124" s="34" t="s">
        <v>1857</v>
      </c>
      <c r="D124" s="214" t="s">
        <v>383</v>
      </c>
      <c r="E124" s="212" t="str">
        <f>+VLOOKUP(F124,Resumen_Base!$B$6:$F$69,5,0)</f>
        <v>Social Security Contributions</v>
      </c>
      <c r="F124" s="36" t="s">
        <v>157</v>
      </c>
      <c r="G124" s="5" t="s">
        <v>158</v>
      </c>
      <c r="H124" s="5" t="str">
        <f t="shared" si="1"/>
        <v>DEL5237</v>
      </c>
      <c r="I124" s="62">
        <v>276785</v>
      </c>
      <c r="J124" s="62">
        <v>197</v>
      </c>
      <c r="K124" s="62">
        <v>1405</v>
      </c>
      <c r="L124" s="100" t="s">
        <v>2192</v>
      </c>
      <c r="M124" s="5" t="s">
        <v>452</v>
      </c>
      <c r="N124" s="34" t="s">
        <v>464</v>
      </c>
      <c r="O124" s="5" t="s">
        <v>2193</v>
      </c>
      <c r="P124" s="5" t="s">
        <v>2194</v>
      </c>
      <c r="Q124" s="5" t="s">
        <v>2195</v>
      </c>
      <c r="S124" s="5" t="s">
        <v>2196</v>
      </c>
      <c r="T124"/>
    </row>
    <row r="125" spans="3:20">
      <c r="C125" s="34" t="s">
        <v>1857</v>
      </c>
      <c r="D125" s="214" t="s">
        <v>383</v>
      </c>
      <c r="E125" s="212" t="str">
        <f>+VLOOKUP(F125,Resumen_Base!$B$6:$F$69,5,0)</f>
        <v>Social Security Contributions</v>
      </c>
      <c r="F125" s="36" t="s">
        <v>153</v>
      </c>
      <c r="G125" s="5" t="s">
        <v>154</v>
      </c>
      <c r="H125" s="5" t="str">
        <f t="shared" si="1"/>
        <v>DEL5235</v>
      </c>
      <c r="I125" s="62">
        <v>783990</v>
      </c>
      <c r="J125" s="62">
        <v>558</v>
      </c>
      <c r="K125" s="62">
        <v>1405</v>
      </c>
      <c r="L125" s="100" t="s">
        <v>2192</v>
      </c>
      <c r="M125" s="5" t="s">
        <v>452</v>
      </c>
      <c r="N125" s="34" t="s">
        <v>464</v>
      </c>
      <c r="O125" s="5" t="s">
        <v>2193</v>
      </c>
      <c r="P125" s="5" t="s">
        <v>2194</v>
      </c>
      <c r="Q125" s="5" t="s">
        <v>2195</v>
      </c>
      <c r="S125" s="5" t="s">
        <v>2197</v>
      </c>
      <c r="T125"/>
    </row>
    <row r="126" spans="3:20">
      <c r="C126" s="34" t="s">
        <v>1857</v>
      </c>
      <c r="D126" s="214" t="s">
        <v>383</v>
      </c>
      <c r="E126" s="212" t="str">
        <f>+VLOOKUP(F126,Resumen_Base!$B$6:$F$69,5,0)</f>
        <v>Travel for personnel (employees)</v>
      </c>
      <c r="F126" s="36" t="s">
        <v>64</v>
      </c>
      <c r="G126" s="5" t="s">
        <v>65</v>
      </c>
      <c r="H126" s="5" t="str">
        <f t="shared" si="1"/>
        <v>DEL5255</v>
      </c>
      <c r="I126" s="62">
        <v>43200</v>
      </c>
      <c r="J126" s="62">
        <v>30.530035335689</v>
      </c>
      <c r="K126" s="62">
        <v>1415</v>
      </c>
      <c r="L126" s="100" t="s">
        <v>2214</v>
      </c>
      <c r="M126" s="5" t="s">
        <v>452</v>
      </c>
      <c r="N126" s="34" t="s">
        <v>464</v>
      </c>
      <c r="O126" s="5" t="s">
        <v>2193</v>
      </c>
      <c r="P126" s="5" t="s">
        <v>2215</v>
      </c>
      <c r="Q126" s="5" t="s">
        <v>2216</v>
      </c>
      <c r="S126" s="5" t="s">
        <v>2223</v>
      </c>
      <c r="T126"/>
    </row>
    <row r="127" spans="3:20">
      <c r="C127" s="34" t="s">
        <v>1857</v>
      </c>
      <c r="D127" s="214" t="s">
        <v>383</v>
      </c>
      <c r="E127" s="212" t="str">
        <f>+VLOOKUP(F127,Resumen_Base!$B$6:$F$69,5,0)</f>
        <v>Travel for personnel (employees)</v>
      </c>
      <c r="F127" s="36" t="s">
        <v>64</v>
      </c>
      <c r="G127" s="5" t="s">
        <v>65</v>
      </c>
      <c r="H127" s="5" t="str">
        <f t="shared" si="1"/>
        <v>DEL5255</v>
      </c>
      <c r="I127" s="62">
        <v>20000</v>
      </c>
      <c r="J127" s="62">
        <v>14.285714285714301</v>
      </c>
      <c r="K127" s="62">
        <v>1400</v>
      </c>
      <c r="L127" s="100" t="s">
        <v>2218</v>
      </c>
      <c r="M127" s="5" t="s">
        <v>452</v>
      </c>
      <c r="N127" s="34" t="s">
        <v>464</v>
      </c>
      <c r="O127" s="5" t="s">
        <v>2193</v>
      </c>
      <c r="P127" s="5" t="s">
        <v>2219</v>
      </c>
      <c r="Q127" s="5" t="s">
        <v>2220</v>
      </c>
      <c r="S127" s="5" t="s">
        <v>2279</v>
      </c>
      <c r="T127"/>
    </row>
    <row r="128" spans="3:20">
      <c r="C128" s="34" t="s">
        <v>1857</v>
      </c>
      <c r="D128" s="214" t="s">
        <v>383</v>
      </c>
      <c r="E128" s="212" t="str">
        <f>+VLOOKUP(F128,Resumen_Base!$B$6:$F$69,5,0)</f>
        <v>Travel for personnel (employees)</v>
      </c>
      <c r="F128" s="36" t="s">
        <v>64</v>
      </c>
      <c r="G128" s="5" t="s">
        <v>65</v>
      </c>
      <c r="H128" s="5" t="str">
        <f t="shared" si="1"/>
        <v>DEL5255</v>
      </c>
      <c r="I128" s="62">
        <v>900</v>
      </c>
      <c r="J128" s="62">
        <v>0.63604240282685498</v>
      </c>
      <c r="K128" s="62">
        <v>1415</v>
      </c>
      <c r="L128" s="100" t="s">
        <v>2214</v>
      </c>
      <c r="M128" s="5" t="s">
        <v>452</v>
      </c>
      <c r="N128" s="34" t="s">
        <v>464</v>
      </c>
      <c r="O128" s="5" t="s">
        <v>2193</v>
      </c>
      <c r="P128" s="5" t="s">
        <v>2215</v>
      </c>
      <c r="Q128" s="5" t="s">
        <v>2216</v>
      </c>
      <c r="S128" s="5" t="s">
        <v>637</v>
      </c>
      <c r="T128"/>
    </row>
    <row r="129" spans="1:256">
      <c r="C129" s="34" t="s">
        <v>1857</v>
      </c>
      <c r="D129" s="214" t="s">
        <v>383</v>
      </c>
      <c r="E129" s="212" t="str">
        <f>+VLOOKUP(F129,Resumen_Base!$B$6:$F$69,5,0)</f>
        <v>Travel for personnel (employees)</v>
      </c>
      <c r="F129" s="36" t="s">
        <v>64</v>
      </c>
      <c r="G129" s="5" t="s">
        <v>65</v>
      </c>
      <c r="H129" s="5" t="str">
        <f t="shared" si="1"/>
        <v>DEL5255</v>
      </c>
      <c r="I129" s="62">
        <v>48600</v>
      </c>
      <c r="J129" s="62">
        <v>34.714285714285701</v>
      </c>
      <c r="K129" s="62">
        <v>1400</v>
      </c>
      <c r="L129" s="100" t="s">
        <v>2218</v>
      </c>
      <c r="M129" s="5" t="s">
        <v>452</v>
      </c>
      <c r="N129" s="34" t="s">
        <v>464</v>
      </c>
      <c r="O129" s="5" t="s">
        <v>2193</v>
      </c>
      <c r="P129" s="5" t="s">
        <v>2219</v>
      </c>
      <c r="Q129" s="5" t="s">
        <v>2220</v>
      </c>
      <c r="S129" s="5" t="s">
        <v>2057</v>
      </c>
      <c r="T129"/>
    </row>
    <row r="130" spans="1:256">
      <c r="C130" s="34" t="s">
        <v>1857</v>
      </c>
      <c r="D130" s="214" t="s">
        <v>383</v>
      </c>
      <c r="E130" s="212" t="str">
        <f>+VLOOKUP(F130,Resumen_Base!$B$6:$F$69,5,0)</f>
        <v>Travel for personnel (employees)</v>
      </c>
      <c r="F130" s="36" t="s">
        <v>64</v>
      </c>
      <c r="G130" s="5" t="s">
        <v>65</v>
      </c>
      <c r="H130" s="5" t="str">
        <f t="shared" si="1"/>
        <v>DEL5255</v>
      </c>
      <c r="I130" s="62">
        <v>33600</v>
      </c>
      <c r="J130" s="62">
        <v>23.829787234042598</v>
      </c>
      <c r="K130" s="62">
        <v>1410</v>
      </c>
      <c r="L130" s="100" t="s">
        <v>2204</v>
      </c>
      <c r="M130" s="5" t="s">
        <v>452</v>
      </c>
      <c r="N130" s="34" t="s">
        <v>464</v>
      </c>
      <c r="O130" s="5" t="s">
        <v>2193</v>
      </c>
      <c r="P130" s="5" t="s">
        <v>2205</v>
      </c>
      <c r="Q130" s="5" t="s">
        <v>2206</v>
      </c>
      <c r="S130" s="5" t="s">
        <v>2294</v>
      </c>
      <c r="T130"/>
    </row>
    <row r="131" spans="1:256" ht="25">
      <c r="C131" s="34" t="s">
        <v>1857</v>
      </c>
      <c r="D131" s="214" t="s">
        <v>383</v>
      </c>
      <c r="E131" s="212" t="str">
        <f>+VLOOKUP(F131,Resumen_Base!$B$6:$F$69,5,0)</f>
        <v>Work uniforms for personnel (employees)</v>
      </c>
      <c r="F131" s="36" t="s">
        <v>56</v>
      </c>
      <c r="G131" s="5" t="s">
        <v>57</v>
      </c>
      <c r="H131" s="5" t="str">
        <f t="shared" si="1"/>
        <v>DEL5220</v>
      </c>
      <c r="I131" s="62">
        <v>155238.1</v>
      </c>
      <c r="J131" s="62">
        <v>110.48975088968</v>
      </c>
      <c r="K131" s="62">
        <v>1405</v>
      </c>
      <c r="L131" s="100" t="s">
        <v>2192</v>
      </c>
      <c r="M131" s="5" t="s">
        <v>452</v>
      </c>
      <c r="N131" s="34" t="s">
        <v>464</v>
      </c>
      <c r="O131" s="5" t="s">
        <v>2193</v>
      </c>
      <c r="P131" s="5" t="s">
        <v>2300</v>
      </c>
      <c r="Q131" s="5" t="s">
        <v>2301</v>
      </c>
      <c r="S131" s="5" t="s">
        <v>2302</v>
      </c>
      <c r="T131"/>
    </row>
    <row r="132" spans="1:256" ht="25">
      <c r="C132" s="34" t="s">
        <v>1857</v>
      </c>
      <c r="D132" s="214" t="s">
        <v>383</v>
      </c>
      <c r="E132" s="212" t="str">
        <f>+VLOOKUP(F132,Resumen_Base!$B$6:$F$69,5,0)</f>
        <v>Work uniforms for personnel (employees)</v>
      </c>
      <c r="F132" s="36" t="s">
        <v>56</v>
      </c>
      <c r="G132" s="5" t="s">
        <v>57</v>
      </c>
      <c r="H132" s="5" t="str">
        <f t="shared" si="1"/>
        <v>DEL5220</v>
      </c>
      <c r="I132" s="62">
        <v>44333.33</v>
      </c>
      <c r="J132" s="62">
        <v>31.5539715302491</v>
      </c>
      <c r="K132" s="62">
        <v>1405</v>
      </c>
      <c r="L132" s="100" t="s">
        <v>2192</v>
      </c>
      <c r="M132" s="5" t="s">
        <v>452</v>
      </c>
      <c r="N132" s="34" t="s">
        <v>464</v>
      </c>
      <c r="O132" s="5" t="s">
        <v>2193</v>
      </c>
      <c r="P132" s="5" t="s">
        <v>2300</v>
      </c>
      <c r="Q132" s="5" t="s">
        <v>2301</v>
      </c>
      <c r="S132" s="5" t="s">
        <v>2323</v>
      </c>
      <c r="T132"/>
    </row>
    <row r="133" spans="1:256" ht="25">
      <c r="C133" s="34" t="s">
        <v>1857</v>
      </c>
      <c r="D133" s="214" t="s">
        <v>383</v>
      </c>
      <c r="E133" s="212" t="str">
        <f>+VLOOKUP(F133,Resumen_Base!$B$6:$F$69,5,0)</f>
        <v>Work uniforms for personnel (employees)</v>
      </c>
      <c r="F133" s="36" t="s">
        <v>56</v>
      </c>
      <c r="G133" s="5" t="s">
        <v>57</v>
      </c>
      <c r="H133" s="5" t="str">
        <f t="shared" si="1"/>
        <v>DEL5220</v>
      </c>
      <c r="I133" s="62">
        <v>33142.86</v>
      </c>
      <c r="J133" s="62">
        <v>23.589224199288299</v>
      </c>
      <c r="K133" s="62">
        <v>1405</v>
      </c>
      <c r="L133" s="100" t="s">
        <v>2192</v>
      </c>
      <c r="M133" s="5" t="s">
        <v>452</v>
      </c>
      <c r="N133" s="34" t="s">
        <v>464</v>
      </c>
      <c r="O133" s="5" t="s">
        <v>2193</v>
      </c>
      <c r="P133" s="5" t="s">
        <v>2300</v>
      </c>
      <c r="Q133" s="5" t="s">
        <v>2301</v>
      </c>
      <c r="S133" s="5" t="s">
        <v>2324</v>
      </c>
      <c r="T133"/>
    </row>
    <row r="134" spans="1:256" ht="25">
      <c r="C134" s="34" t="s">
        <v>1857</v>
      </c>
      <c r="D134" s="214" t="s">
        <v>383</v>
      </c>
      <c r="E134" s="212" t="str">
        <f>+VLOOKUP(F134,Resumen_Base!$B$6:$F$69,5,0)</f>
        <v>Work uniforms for personnel (employees)</v>
      </c>
      <c r="F134" s="36" t="s">
        <v>56</v>
      </c>
      <c r="G134" s="5" t="s">
        <v>57</v>
      </c>
      <c r="H134" s="5" t="str">
        <f t="shared" si="1"/>
        <v>DEL5220</v>
      </c>
      <c r="I134" s="62">
        <v>41571.43</v>
      </c>
      <c r="J134" s="62">
        <v>29.588206405693899</v>
      </c>
      <c r="K134" s="62">
        <v>1405</v>
      </c>
      <c r="L134" s="100" t="s">
        <v>2192</v>
      </c>
      <c r="M134" s="5" t="s">
        <v>452</v>
      </c>
      <c r="N134" s="34" t="s">
        <v>464</v>
      </c>
      <c r="O134" s="5" t="s">
        <v>2193</v>
      </c>
      <c r="P134" s="5" t="s">
        <v>2300</v>
      </c>
      <c r="Q134" s="5" t="s">
        <v>2301</v>
      </c>
      <c r="S134" s="5" t="s">
        <v>2326</v>
      </c>
      <c r="T134"/>
    </row>
    <row r="135" spans="1:256" ht="25">
      <c r="C135" s="34" t="s">
        <v>1857</v>
      </c>
      <c r="D135" s="214" t="s">
        <v>383</v>
      </c>
      <c r="E135" s="212" t="str">
        <f>+VLOOKUP(F135,Resumen_Base!$B$6:$F$69,5,0)</f>
        <v>Work uniforms for personnel (employees)</v>
      </c>
      <c r="F135" s="36" t="s">
        <v>56</v>
      </c>
      <c r="G135" s="5" t="s">
        <v>57</v>
      </c>
      <c r="H135" s="5" t="str">
        <f t="shared" si="1"/>
        <v>DEL5220</v>
      </c>
      <c r="I135" s="62">
        <v>453227.14</v>
      </c>
      <c r="J135" s="62">
        <v>322.58159430605002</v>
      </c>
      <c r="K135" s="62">
        <v>1405</v>
      </c>
      <c r="L135" s="100" t="s">
        <v>2192</v>
      </c>
      <c r="M135" s="5" t="s">
        <v>452</v>
      </c>
      <c r="N135" s="34" t="s">
        <v>464</v>
      </c>
      <c r="O135" s="5" t="s">
        <v>2193</v>
      </c>
      <c r="P135" s="5" t="s">
        <v>2300</v>
      </c>
      <c r="Q135" s="5" t="s">
        <v>2301</v>
      </c>
      <c r="S135" s="5" t="s">
        <v>2327</v>
      </c>
      <c r="T135"/>
    </row>
    <row r="137" spans="1:256" ht="14.5">
      <c r="A137" s="194"/>
      <c r="B137" s="194"/>
      <c r="C137" s="103"/>
      <c r="D137" s="194"/>
      <c r="E137" s="194"/>
      <c r="F137" s="193"/>
      <c r="G137" s="194"/>
      <c r="H137" s="194"/>
      <c r="I137" s="195"/>
      <c r="J137" s="195"/>
      <c r="K137" s="195"/>
      <c r="L137" s="2"/>
      <c r="M137" s="2"/>
      <c r="N137"/>
      <c r="O137"/>
      <c r="P137"/>
      <c r="Q137"/>
      <c r="R137"/>
      <c r="S137"/>
      <c r="T137"/>
      <c r="U137"/>
      <c r="V137"/>
      <c r="W137"/>
      <c r="X137" s="1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  <c r="BO137" s="194"/>
      <c r="BP137" s="194"/>
      <c r="BQ137" s="194"/>
      <c r="BR137" s="194"/>
      <c r="BS137" s="194"/>
      <c r="BT137" s="194"/>
      <c r="BU137" s="194"/>
      <c r="BV137" s="194"/>
      <c r="BW137" s="194"/>
      <c r="BX137" s="194"/>
      <c r="BY137" s="194"/>
      <c r="BZ137" s="194"/>
      <c r="CA137" s="194"/>
      <c r="CB137" s="194"/>
      <c r="CC137" s="194"/>
      <c r="CD137" s="194"/>
      <c r="CE137" s="194"/>
      <c r="CF137" s="194"/>
      <c r="CG137" s="194"/>
      <c r="CH137" s="194"/>
      <c r="CI137" s="194"/>
      <c r="CJ137" s="194"/>
      <c r="CK137" s="194"/>
      <c r="CL137" s="194"/>
      <c r="CM137" s="194"/>
      <c r="CN137" s="194"/>
      <c r="CO137" s="194"/>
      <c r="CP137" s="194"/>
      <c r="CQ137" s="194"/>
      <c r="CR137" s="194"/>
      <c r="CS137" s="194"/>
      <c r="CT137" s="194"/>
      <c r="CU137" s="194"/>
      <c r="CV137" s="194"/>
      <c r="CW137" s="194"/>
      <c r="CX137" s="194"/>
      <c r="CY137" s="194"/>
      <c r="CZ137" s="194"/>
      <c r="DA137" s="194"/>
      <c r="DB137" s="194"/>
      <c r="DC137" s="194"/>
      <c r="DD137" s="194"/>
      <c r="DE137" s="194"/>
      <c r="DF137" s="194"/>
      <c r="DG137" s="194"/>
      <c r="DH137" s="194"/>
      <c r="DI137" s="194"/>
      <c r="DJ137" s="194"/>
      <c r="DK137" s="194"/>
      <c r="DL137" s="194"/>
      <c r="DM137" s="194"/>
      <c r="DN137" s="194"/>
      <c r="DO137" s="194"/>
      <c r="DP137" s="194"/>
      <c r="DQ137" s="194"/>
      <c r="DR137" s="194"/>
      <c r="DS137" s="194"/>
      <c r="DT137" s="194"/>
      <c r="DU137" s="194"/>
      <c r="DV137" s="194"/>
      <c r="DW137" s="194"/>
      <c r="DX137" s="194"/>
      <c r="DY137" s="194"/>
      <c r="DZ137" s="194"/>
      <c r="EA137" s="194"/>
      <c r="EB137" s="194"/>
      <c r="EC137" s="194"/>
      <c r="ED137" s="194"/>
      <c r="EE137" s="194"/>
      <c r="EF137" s="194"/>
      <c r="EG137" s="194"/>
      <c r="EH137" s="194"/>
      <c r="EI137" s="194"/>
      <c r="EJ137" s="194"/>
      <c r="EK137" s="194"/>
      <c r="EL137" s="194"/>
      <c r="EM137" s="194"/>
      <c r="EN137" s="194"/>
      <c r="EO137" s="194"/>
      <c r="EP137" s="194"/>
      <c r="EQ137" s="194"/>
      <c r="ER137" s="194"/>
      <c r="ES137" s="194"/>
      <c r="ET137" s="194"/>
      <c r="EU137" s="194"/>
      <c r="EV137" s="194"/>
      <c r="EW137" s="194"/>
      <c r="EX137" s="194"/>
      <c r="EY137" s="194"/>
      <c r="EZ137" s="194"/>
      <c r="FA137" s="194"/>
      <c r="FB137" s="194"/>
      <c r="FC137" s="194"/>
      <c r="FD137" s="194"/>
      <c r="FE137" s="194"/>
      <c r="FF137" s="194"/>
      <c r="FG137" s="194"/>
      <c r="FH137" s="194"/>
      <c r="FI137" s="194"/>
      <c r="FJ137" s="194"/>
      <c r="FK137" s="194"/>
      <c r="FL137" s="194"/>
      <c r="FM137" s="194"/>
      <c r="FN137" s="194"/>
      <c r="FO137" s="194"/>
      <c r="FP137" s="194"/>
      <c r="FQ137" s="194"/>
      <c r="FR137" s="194"/>
      <c r="FS137" s="194"/>
      <c r="FT137" s="194"/>
      <c r="FU137" s="194"/>
      <c r="FV137" s="194"/>
      <c r="FW137" s="194"/>
      <c r="FX137" s="194"/>
      <c r="FY137" s="194"/>
      <c r="FZ137" s="194"/>
      <c r="GA137" s="194"/>
      <c r="GB137" s="194"/>
      <c r="GC137" s="194"/>
      <c r="GD137" s="194"/>
      <c r="GE137" s="194"/>
      <c r="GF137" s="194"/>
      <c r="GG137" s="194"/>
      <c r="GH137" s="194"/>
      <c r="GI137" s="194"/>
      <c r="GJ137" s="194"/>
      <c r="GK137" s="194"/>
      <c r="GL137" s="194"/>
      <c r="GM137" s="194"/>
      <c r="GN137" s="194"/>
      <c r="GO137" s="194"/>
      <c r="GP137" s="194"/>
      <c r="GQ137" s="194"/>
      <c r="GR137" s="194"/>
      <c r="GS137" s="194"/>
      <c r="GT137" s="194"/>
      <c r="GU137" s="194"/>
      <c r="GV137" s="194"/>
      <c r="GW137" s="194"/>
      <c r="GX137" s="194"/>
      <c r="GY137" s="194"/>
      <c r="GZ137" s="194"/>
      <c r="HA137" s="194"/>
      <c r="HB137" s="194"/>
      <c r="HC137" s="194"/>
      <c r="HD137" s="194"/>
      <c r="HE137" s="194"/>
      <c r="HF137" s="194"/>
      <c r="HG137" s="194"/>
      <c r="HH137" s="194"/>
      <c r="HI137" s="194"/>
      <c r="HJ137" s="194"/>
      <c r="HK137" s="194"/>
      <c r="HL137" s="194"/>
      <c r="HM137" s="194"/>
      <c r="HN137" s="194"/>
      <c r="HO137" s="194"/>
      <c r="HP137" s="194"/>
      <c r="HQ137" s="194"/>
      <c r="HR137" s="194"/>
      <c r="HS137" s="194"/>
      <c r="HT137" s="194"/>
      <c r="HU137" s="194"/>
      <c r="HV137" s="194"/>
      <c r="HW137" s="194"/>
      <c r="HX137" s="194"/>
      <c r="HY137" s="194"/>
      <c r="HZ137" s="194"/>
      <c r="IA137" s="194"/>
      <c r="IB137" s="194"/>
      <c r="IC137" s="194"/>
      <c r="ID137" s="194"/>
      <c r="IE137" s="194"/>
      <c r="IF137" s="194"/>
      <c r="IG137" s="194"/>
      <c r="IH137" s="194"/>
      <c r="II137" s="194"/>
      <c r="IJ137" s="194"/>
      <c r="IK137" s="194"/>
      <c r="IL137" s="194"/>
      <c r="IM137" s="194"/>
      <c r="IN137" s="194"/>
      <c r="IO137" s="194"/>
      <c r="IP137" s="194"/>
      <c r="IQ137" s="194"/>
      <c r="IR137" s="194"/>
      <c r="IS137" s="194"/>
      <c r="IT137" s="194"/>
      <c r="IU137" s="194"/>
      <c r="IV137" s="194"/>
    </row>
    <row r="138" spans="1:256">
      <c r="A138" s="10" t="s">
        <v>75</v>
      </c>
      <c r="B138" s="10" t="s">
        <v>75</v>
      </c>
      <c r="C138" s="10" t="s">
        <v>75</v>
      </c>
      <c r="D138" s="10" t="s">
        <v>75</v>
      </c>
      <c r="E138" s="10" t="s">
        <v>75</v>
      </c>
      <c r="F138" s="11" t="s">
        <v>75</v>
      </c>
      <c r="G138" s="11" t="s">
        <v>75</v>
      </c>
      <c r="H138" s="11" t="s">
        <v>75</v>
      </c>
      <c r="I138" s="35" t="s">
        <v>75</v>
      </c>
      <c r="J138" s="35" t="s">
        <v>75</v>
      </c>
      <c r="K138" s="35" t="s">
        <v>75</v>
      </c>
      <c r="L138" s="102" t="s">
        <v>75</v>
      </c>
      <c r="M138" s="11" t="s">
        <v>75</v>
      </c>
      <c r="N138" s="11" t="s">
        <v>75</v>
      </c>
      <c r="O138" s="11" t="s">
        <v>75</v>
      </c>
      <c r="P138" s="11" t="s">
        <v>75</v>
      </c>
      <c r="Q138" s="11" t="s">
        <v>75</v>
      </c>
      <c r="R138" s="11" t="s">
        <v>75</v>
      </c>
      <c r="S138" s="11" t="s">
        <v>75</v>
      </c>
      <c r="T138" s="11" t="s">
        <v>75</v>
      </c>
      <c r="U138" s="11" t="s">
        <v>75</v>
      </c>
      <c r="V138" s="11" t="s">
        <v>75</v>
      </c>
      <c r="W138" s="11" t="s">
        <v>75</v>
      </c>
    </row>
    <row r="141" spans="1:256">
      <c r="D141" s="34" t="s">
        <v>1857</v>
      </c>
      <c r="F141" s="36" t="s">
        <v>291</v>
      </c>
      <c r="G141" s="5" t="s">
        <v>292</v>
      </c>
      <c r="I141" s="62">
        <v>2000000</v>
      </c>
      <c r="J141" s="62">
        <v>1428.57142857143</v>
      </c>
      <c r="K141" s="62">
        <v>1400</v>
      </c>
      <c r="L141" s="100" t="s">
        <v>2187</v>
      </c>
      <c r="M141" s="5" t="s">
        <v>452</v>
      </c>
      <c r="N141" s="34" t="s">
        <v>442</v>
      </c>
      <c r="O141" s="5" t="s">
        <v>2351</v>
      </c>
      <c r="P141" s="5" t="s">
        <v>2352</v>
      </c>
      <c r="Q141" s="5" t="s">
        <v>2353</v>
      </c>
      <c r="S141" s="5" t="s">
        <v>2353</v>
      </c>
      <c r="T141"/>
    </row>
    <row r="142" spans="1:256">
      <c r="D142" s="34" t="s">
        <v>1857</v>
      </c>
      <c r="F142" s="36" t="s">
        <v>291</v>
      </c>
      <c r="G142" s="5" t="s">
        <v>292</v>
      </c>
      <c r="I142" s="62">
        <v>2700000</v>
      </c>
      <c r="J142" s="62">
        <v>1908.1272084805701</v>
      </c>
      <c r="K142" s="62">
        <v>1415</v>
      </c>
      <c r="L142" s="100" t="s">
        <v>2303</v>
      </c>
      <c r="M142" s="5" t="s">
        <v>452</v>
      </c>
      <c r="N142" s="34" t="s">
        <v>442</v>
      </c>
      <c r="O142" s="5" t="s">
        <v>2351</v>
      </c>
      <c r="P142" s="5" t="s">
        <v>2356</v>
      </c>
      <c r="Q142" s="5" t="s">
        <v>2357</v>
      </c>
      <c r="S142" s="5" t="s">
        <v>2357</v>
      </c>
      <c r="T142"/>
    </row>
    <row r="143" spans="1:256">
      <c r="D143" s="34" t="s">
        <v>1857</v>
      </c>
      <c r="F143" s="36" t="s">
        <v>291</v>
      </c>
      <c r="G143" s="5" t="s">
        <v>292</v>
      </c>
      <c r="I143" s="62">
        <v>-155238.1</v>
      </c>
      <c r="J143" s="62">
        <v>-110.48975088968</v>
      </c>
      <c r="K143" s="62">
        <v>1405</v>
      </c>
      <c r="L143" s="100" t="s">
        <v>2192</v>
      </c>
      <c r="M143" s="5" t="s">
        <v>452</v>
      </c>
      <c r="N143" s="34" t="s">
        <v>464</v>
      </c>
      <c r="O143" s="5" t="s">
        <v>2193</v>
      </c>
      <c r="P143" s="5" t="s">
        <v>2300</v>
      </c>
      <c r="Q143" s="5" t="s">
        <v>2301</v>
      </c>
      <c r="S143" s="5" t="s">
        <v>2302</v>
      </c>
      <c r="T143"/>
    </row>
    <row r="144" spans="1:256">
      <c r="D144" s="34" t="s">
        <v>1857</v>
      </c>
      <c r="F144" s="36" t="s">
        <v>291</v>
      </c>
      <c r="G144" s="5" t="s">
        <v>292</v>
      </c>
      <c r="I144" s="62">
        <v>-2260000</v>
      </c>
      <c r="J144" s="62">
        <v>-1597.1731448763301</v>
      </c>
      <c r="K144" s="62">
        <v>1415</v>
      </c>
      <c r="L144" s="100" t="s">
        <v>2303</v>
      </c>
      <c r="M144" s="5" t="s">
        <v>452</v>
      </c>
      <c r="N144" s="34" t="s">
        <v>464</v>
      </c>
      <c r="O144" s="5" t="s">
        <v>2193</v>
      </c>
      <c r="P144" s="5" t="s">
        <v>2304</v>
      </c>
      <c r="Q144" s="5" t="s">
        <v>2305</v>
      </c>
      <c r="S144" s="5" t="s">
        <v>2306</v>
      </c>
      <c r="T144"/>
    </row>
    <row r="145" spans="4:20">
      <c r="D145" s="34" t="s">
        <v>1857</v>
      </c>
      <c r="F145" s="36" t="s">
        <v>291</v>
      </c>
      <c r="G145" s="5" t="s">
        <v>292</v>
      </c>
      <c r="I145" s="62">
        <v>-4730000</v>
      </c>
      <c r="J145" s="62">
        <v>-3366.54804270463</v>
      </c>
      <c r="K145" s="62">
        <v>1405</v>
      </c>
      <c r="L145" s="100" t="s">
        <v>2192</v>
      </c>
      <c r="M145" s="5" t="s">
        <v>452</v>
      </c>
      <c r="N145" s="34" t="s">
        <v>464</v>
      </c>
      <c r="O145" s="5" t="s">
        <v>2193</v>
      </c>
      <c r="P145" s="5" t="s">
        <v>2300</v>
      </c>
      <c r="Q145" s="5" t="s">
        <v>2301</v>
      </c>
      <c r="S145" s="5" t="s">
        <v>2314</v>
      </c>
      <c r="T145"/>
    </row>
    <row r="146" spans="4:20">
      <c r="D146" s="34" t="s">
        <v>1857</v>
      </c>
      <c r="F146" s="36" t="s">
        <v>291</v>
      </c>
      <c r="G146" s="5" t="s">
        <v>292</v>
      </c>
      <c r="I146" s="62">
        <v>-1802286</v>
      </c>
      <c r="J146" s="62">
        <v>-1282.76583629893</v>
      </c>
      <c r="K146" s="62">
        <v>1405</v>
      </c>
      <c r="L146" s="100" t="s">
        <v>2192</v>
      </c>
      <c r="M146" s="5" t="s">
        <v>452</v>
      </c>
      <c r="N146" s="34" t="s">
        <v>464</v>
      </c>
      <c r="O146" s="5" t="s">
        <v>2193</v>
      </c>
      <c r="P146" s="5" t="s">
        <v>2300</v>
      </c>
      <c r="Q146" s="5" t="s">
        <v>2301</v>
      </c>
      <c r="S146" s="5" t="s">
        <v>2315</v>
      </c>
      <c r="T146"/>
    </row>
    <row r="147" spans="4:20">
      <c r="D147" s="34" t="s">
        <v>1857</v>
      </c>
      <c r="F147" s="36" t="s">
        <v>291</v>
      </c>
      <c r="G147" s="5" t="s">
        <v>292</v>
      </c>
      <c r="I147" s="62">
        <v>-1995459</v>
      </c>
      <c r="J147" s="62">
        <v>-1425.32785714286</v>
      </c>
      <c r="K147" s="62">
        <v>1400</v>
      </c>
      <c r="L147" s="100" t="s">
        <v>2187</v>
      </c>
      <c r="M147" s="5" t="s">
        <v>452</v>
      </c>
      <c r="N147" s="34" t="s">
        <v>464</v>
      </c>
      <c r="O147" s="5" t="s">
        <v>2193</v>
      </c>
      <c r="P147" s="5" t="s">
        <v>2316</v>
      </c>
      <c r="Q147" s="5" t="s">
        <v>2317</v>
      </c>
      <c r="S147" s="5" t="s">
        <v>2318</v>
      </c>
      <c r="T147"/>
    </row>
    <row r="148" spans="4:20">
      <c r="D148" s="34" t="s">
        <v>1857</v>
      </c>
      <c r="F148" s="36" t="s">
        <v>291</v>
      </c>
      <c r="G148" s="5" t="s">
        <v>292</v>
      </c>
      <c r="I148" s="62">
        <v>-162499</v>
      </c>
      <c r="J148" s="62">
        <v>-115.657651245552</v>
      </c>
      <c r="K148" s="62">
        <v>1405</v>
      </c>
      <c r="L148" s="100" t="s">
        <v>2192</v>
      </c>
      <c r="M148" s="5" t="s">
        <v>452</v>
      </c>
      <c r="N148" s="34" t="s">
        <v>464</v>
      </c>
      <c r="O148" s="5" t="s">
        <v>2193</v>
      </c>
      <c r="P148" s="5" t="s">
        <v>2300</v>
      </c>
      <c r="Q148" s="5" t="s">
        <v>2301</v>
      </c>
      <c r="S148" s="5" t="s">
        <v>2319</v>
      </c>
      <c r="T148"/>
    </row>
    <row r="149" spans="4:20">
      <c r="D149" s="34" t="s">
        <v>1857</v>
      </c>
      <c r="F149" s="36" t="s">
        <v>291</v>
      </c>
      <c r="G149" s="5" t="s">
        <v>292</v>
      </c>
      <c r="I149" s="62">
        <v>-800000</v>
      </c>
      <c r="J149" s="62">
        <v>-569.39501779359398</v>
      </c>
      <c r="K149" s="62">
        <v>1405</v>
      </c>
      <c r="L149" s="100" t="s">
        <v>2192</v>
      </c>
      <c r="M149" s="5" t="s">
        <v>452</v>
      </c>
      <c r="N149" s="34" t="s">
        <v>464</v>
      </c>
      <c r="O149" s="5" t="s">
        <v>2193</v>
      </c>
      <c r="P149" s="5" t="s">
        <v>2300</v>
      </c>
      <c r="Q149" s="5" t="s">
        <v>2301</v>
      </c>
      <c r="S149" s="5" t="s">
        <v>2321</v>
      </c>
      <c r="T149"/>
    </row>
    <row r="150" spans="4:20">
      <c r="D150" s="34" t="s">
        <v>1857</v>
      </c>
      <c r="F150" s="36" t="s">
        <v>291</v>
      </c>
      <c r="G150" s="5" t="s">
        <v>292</v>
      </c>
      <c r="I150" s="62">
        <v>-144600</v>
      </c>
      <c r="J150" s="62">
        <v>-102.190812720848</v>
      </c>
      <c r="K150" s="62">
        <v>1415</v>
      </c>
      <c r="L150" s="100" t="s">
        <v>2303</v>
      </c>
      <c r="M150" s="5" t="s">
        <v>452</v>
      </c>
      <c r="N150" s="34" t="s">
        <v>464</v>
      </c>
      <c r="O150" s="5" t="s">
        <v>2193</v>
      </c>
      <c r="P150" s="5" t="s">
        <v>2304</v>
      </c>
      <c r="Q150" s="5" t="s">
        <v>2305</v>
      </c>
      <c r="S150" s="5" t="s">
        <v>2322</v>
      </c>
      <c r="T150"/>
    </row>
    <row r="151" spans="4:20">
      <c r="D151" s="34" t="s">
        <v>1857</v>
      </c>
      <c r="F151" s="36" t="s">
        <v>291</v>
      </c>
      <c r="G151" s="5" t="s">
        <v>292</v>
      </c>
      <c r="I151" s="62">
        <v>-44333.33</v>
      </c>
      <c r="J151" s="62">
        <v>-31.5539715302491</v>
      </c>
      <c r="K151" s="62">
        <v>1405</v>
      </c>
      <c r="L151" s="100" t="s">
        <v>2192</v>
      </c>
      <c r="M151" s="5" t="s">
        <v>452</v>
      </c>
      <c r="N151" s="34" t="s">
        <v>464</v>
      </c>
      <c r="O151" s="5" t="s">
        <v>2193</v>
      </c>
      <c r="P151" s="5" t="s">
        <v>2300</v>
      </c>
      <c r="Q151" s="5" t="s">
        <v>2301</v>
      </c>
      <c r="S151" s="5" t="s">
        <v>2323</v>
      </c>
      <c r="T151"/>
    </row>
    <row r="152" spans="4:20">
      <c r="D152" s="34" t="s">
        <v>1857</v>
      </c>
      <c r="F152" s="36" t="s">
        <v>291</v>
      </c>
      <c r="G152" s="5" t="s">
        <v>292</v>
      </c>
      <c r="I152" s="62">
        <v>-33142.86</v>
      </c>
      <c r="J152" s="62">
        <v>-23.589224199288299</v>
      </c>
      <c r="K152" s="62">
        <v>1405</v>
      </c>
      <c r="L152" s="100" t="s">
        <v>2192</v>
      </c>
      <c r="M152" s="5" t="s">
        <v>452</v>
      </c>
      <c r="N152" s="34" t="s">
        <v>464</v>
      </c>
      <c r="O152" s="5" t="s">
        <v>2193</v>
      </c>
      <c r="P152" s="5" t="s">
        <v>2300</v>
      </c>
      <c r="Q152" s="5" t="s">
        <v>2301</v>
      </c>
      <c r="S152" s="5" t="s">
        <v>2324</v>
      </c>
      <c r="T152"/>
    </row>
    <row r="153" spans="4:20">
      <c r="D153" s="34" t="s">
        <v>1857</v>
      </c>
      <c r="F153" s="36" t="s">
        <v>291</v>
      </c>
      <c r="G153" s="5" t="s">
        <v>292</v>
      </c>
      <c r="I153" s="62">
        <v>-114018</v>
      </c>
      <c r="J153" s="62">
        <v>-81.151601423487506</v>
      </c>
      <c r="K153" s="62">
        <v>1405</v>
      </c>
      <c r="L153" s="100" t="s">
        <v>2192</v>
      </c>
      <c r="M153" s="5" t="s">
        <v>452</v>
      </c>
      <c r="N153" s="34" t="s">
        <v>464</v>
      </c>
      <c r="O153" s="5" t="s">
        <v>2193</v>
      </c>
      <c r="P153" s="5" t="s">
        <v>2300</v>
      </c>
      <c r="Q153" s="5" t="s">
        <v>2301</v>
      </c>
      <c r="S153" s="5" t="s">
        <v>2325</v>
      </c>
      <c r="T153"/>
    </row>
    <row r="154" spans="4:20">
      <c r="D154" s="34" t="s">
        <v>1857</v>
      </c>
      <c r="F154" s="36" t="s">
        <v>291</v>
      </c>
      <c r="G154" s="5" t="s">
        <v>292</v>
      </c>
      <c r="I154" s="62">
        <v>-41571.43</v>
      </c>
      <c r="J154" s="62">
        <v>-29.588206405693899</v>
      </c>
      <c r="K154" s="62">
        <v>1405</v>
      </c>
      <c r="L154" s="100" t="s">
        <v>2192</v>
      </c>
      <c r="M154" s="5" t="s">
        <v>452</v>
      </c>
      <c r="N154" s="34" t="s">
        <v>464</v>
      </c>
      <c r="O154" s="5" t="s">
        <v>2193</v>
      </c>
      <c r="P154" s="5" t="s">
        <v>2300</v>
      </c>
      <c r="Q154" s="5" t="s">
        <v>2301</v>
      </c>
      <c r="S154" s="5" t="s">
        <v>2326</v>
      </c>
      <c r="T154"/>
    </row>
    <row r="155" spans="4:20">
      <c r="D155" s="34" t="s">
        <v>1857</v>
      </c>
      <c r="F155" s="36" t="s">
        <v>291</v>
      </c>
      <c r="G155" s="5" t="s">
        <v>292</v>
      </c>
      <c r="I155" s="62">
        <v>-453227.14</v>
      </c>
      <c r="J155" s="62">
        <v>-322.58159430605002</v>
      </c>
      <c r="K155" s="62">
        <v>1405</v>
      </c>
      <c r="L155" s="100" t="s">
        <v>2192</v>
      </c>
      <c r="M155" s="5" t="s">
        <v>452</v>
      </c>
      <c r="N155" s="34" t="s">
        <v>464</v>
      </c>
      <c r="O155" s="5" t="s">
        <v>2193</v>
      </c>
      <c r="P155" s="5" t="s">
        <v>2300</v>
      </c>
      <c r="Q155" s="5" t="s">
        <v>2301</v>
      </c>
      <c r="S155" s="5" t="s">
        <v>2327</v>
      </c>
      <c r="T155"/>
    </row>
    <row r="156" spans="4:20">
      <c r="D156" s="34" t="s">
        <v>1857</v>
      </c>
      <c r="F156" s="36" t="s">
        <v>291</v>
      </c>
      <c r="G156" s="5" t="s">
        <v>292</v>
      </c>
      <c r="I156" s="62">
        <v>-1100000</v>
      </c>
      <c r="J156" s="62">
        <v>-782.91814946619195</v>
      </c>
      <c r="K156" s="62">
        <v>1405</v>
      </c>
      <c r="L156" s="100" t="s">
        <v>2192</v>
      </c>
      <c r="M156" s="5" t="s">
        <v>452</v>
      </c>
      <c r="N156" s="34" t="s">
        <v>464</v>
      </c>
      <c r="O156" s="5" t="s">
        <v>2193</v>
      </c>
      <c r="P156" s="5" t="s">
        <v>2300</v>
      </c>
      <c r="Q156" s="5" t="s">
        <v>2301</v>
      </c>
      <c r="S156" s="5" t="s">
        <v>2328</v>
      </c>
      <c r="T156"/>
    </row>
    <row r="157" spans="4:20">
      <c r="D157" s="34" t="s">
        <v>1857</v>
      </c>
      <c r="F157" s="36" t="s">
        <v>291</v>
      </c>
      <c r="G157" s="5" t="s">
        <v>292</v>
      </c>
      <c r="I157" s="62">
        <v>-286700</v>
      </c>
      <c r="J157" s="62">
        <v>-202.614840989399</v>
      </c>
      <c r="K157" s="62">
        <v>1415</v>
      </c>
      <c r="L157" s="100" t="s">
        <v>2303</v>
      </c>
      <c r="M157" s="5" t="s">
        <v>452</v>
      </c>
      <c r="N157" s="34" t="s">
        <v>464</v>
      </c>
      <c r="O157" s="5" t="s">
        <v>2193</v>
      </c>
      <c r="P157" s="5" t="s">
        <v>2304</v>
      </c>
      <c r="Q157" s="5" t="s">
        <v>2305</v>
      </c>
      <c r="S157" s="5" t="s">
        <v>2329</v>
      </c>
      <c r="T157"/>
    </row>
    <row r="158" spans="4:20">
      <c r="D158" s="34" t="s">
        <v>1857</v>
      </c>
      <c r="F158" s="36" t="s">
        <v>291</v>
      </c>
      <c r="G158" s="5" t="s">
        <v>292</v>
      </c>
      <c r="I158" s="62">
        <v>-164900</v>
      </c>
      <c r="J158" s="62">
        <v>-117.36654804270501</v>
      </c>
      <c r="K158" s="62">
        <v>1405</v>
      </c>
      <c r="L158" s="100" t="s">
        <v>2192</v>
      </c>
      <c r="M158" s="5" t="s">
        <v>452</v>
      </c>
      <c r="N158" s="34" t="s">
        <v>464</v>
      </c>
      <c r="O158" s="5" t="s">
        <v>2193</v>
      </c>
      <c r="P158" s="5" t="s">
        <v>2300</v>
      </c>
      <c r="Q158" s="5" t="s">
        <v>2301</v>
      </c>
      <c r="S158" s="5" t="s">
        <v>2330</v>
      </c>
      <c r="T158"/>
    </row>
    <row r="159" spans="4:20">
      <c r="D159" s="34" t="s">
        <v>1857</v>
      </c>
      <c r="F159" s="36" t="s">
        <v>291</v>
      </c>
      <c r="G159" s="5" t="s">
        <v>292</v>
      </c>
      <c r="I159" s="62">
        <v>-216880</v>
      </c>
      <c r="J159" s="62">
        <v>-153.272084805654</v>
      </c>
      <c r="K159" s="62">
        <v>1415</v>
      </c>
      <c r="L159" s="100" t="s">
        <v>2303</v>
      </c>
      <c r="M159" s="5" t="s">
        <v>452</v>
      </c>
      <c r="N159" s="34" t="s">
        <v>464</v>
      </c>
      <c r="O159" s="5" t="s">
        <v>2193</v>
      </c>
      <c r="P159" s="5" t="s">
        <v>2304</v>
      </c>
      <c r="Q159" s="5" t="s">
        <v>2305</v>
      </c>
      <c r="S159" s="5" t="s">
        <v>2331</v>
      </c>
      <c r="T159"/>
    </row>
    <row r="160" spans="4:20">
      <c r="D160" s="34" t="s">
        <v>1857</v>
      </c>
      <c r="F160" s="36" t="s">
        <v>293</v>
      </c>
      <c r="G160" s="5" t="s">
        <v>294</v>
      </c>
      <c r="I160" s="62">
        <v>-1999998</v>
      </c>
      <c r="J160" s="62">
        <v>-1428.57</v>
      </c>
      <c r="K160" s="62">
        <v>1400</v>
      </c>
      <c r="L160" s="100" t="s">
        <v>2187</v>
      </c>
      <c r="M160" s="5" t="s">
        <v>452</v>
      </c>
      <c r="N160" s="34" t="s">
        <v>442</v>
      </c>
      <c r="O160" s="5" t="s">
        <v>2351</v>
      </c>
      <c r="P160" s="5" t="s">
        <v>2352</v>
      </c>
      <c r="Q160" s="5" t="s">
        <v>2353</v>
      </c>
      <c r="S160" s="5" t="s">
        <v>2353</v>
      </c>
      <c r="T160"/>
    </row>
    <row r="161" spans="4:20">
      <c r="D161" s="34" t="s">
        <v>1857</v>
      </c>
      <c r="F161" s="36" t="s">
        <v>293</v>
      </c>
      <c r="G161" s="5" t="s">
        <v>294</v>
      </c>
      <c r="I161" s="62">
        <v>-2700003.95</v>
      </c>
      <c r="J161" s="62">
        <v>-1908.13</v>
      </c>
      <c r="K161" s="62">
        <v>1415</v>
      </c>
      <c r="L161" s="100" t="s">
        <v>2303</v>
      </c>
      <c r="M161" s="5" t="s">
        <v>452</v>
      </c>
      <c r="N161" s="34" t="s">
        <v>442</v>
      </c>
      <c r="O161" s="5" t="s">
        <v>2351</v>
      </c>
      <c r="P161" s="5" t="s">
        <v>2356</v>
      </c>
      <c r="Q161" s="5" t="s">
        <v>2357</v>
      </c>
      <c r="S161" s="5" t="s">
        <v>2357</v>
      </c>
      <c r="T161"/>
    </row>
    <row r="162" spans="4:20">
      <c r="D162" s="34" t="s">
        <v>1857</v>
      </c>
      <c r="F162" s="36" t="s">
        <v>293</v>
      </c>
      <c r="G162" s="5" t="s">
        <v>294</v>
      </c>
      <c r="I162" s="62">
        <v>1172062.5</v>
      </c>
      <c r="J162" s="62">
        <v>831.25</v>
      </c>
      <c r="K162" s="62">
        <v>1410</v>
      </c>
      <c r="L162" s="100" t="s">
        <v>2187</v>
      </c>
      <c r="M162" s="5" t="s">
        <v>452</v>
      </c>
      <c r="N162" s="34" t="s">
        <v>464</v>
      </c>
      <c r="O162" s="5" t="s">
        <v>2188</v>
      </c>
      <c r="P162" s="5" t="s">
        <v>2189</v>
      </c>
      <c r="Q162" s="5" t="s">
        <v>2190</v>
      </c>
      <c r="S162" s="5" t="s">
        <v>2191</v>
      </c>
      <c r="T162"/>
    </row>
    <row r="163" spans="4:20">
      <c r="D163" s="34" t="s">
        <v>1857</v>
      </c>
      <c r="F163" s="36" t="s">
        <v>293</v>
      </c>
      <c r="G163" s="5" t="s">
        <v>294</v>
      </c>
      <c r="I163" s="62">
        <v>-276785</v>
      </c>
      <c r="J163" s="62">
        <v>-197</v>
      </c>
      <c r="K163" s="62">
        <v>1405</v>
      </c>
      <c r="L163" s="100" t="s">
        <v>2192</v>
      </c>
      <c r="M163" s="5" t="s">
        <v>452</v>
      </c>
      <c r="N163" s="34" t="s">
        <v>464</v>
      </c>
      <c r="O163" s="5" t="s">
        <v>2193</v>
      </c>
      <c r="P163" s="5" t="s">
        <v>2194</v>
      </c>
      <c r="Q163" s="5" t="s">
        <v>2195</v>
      </c>
      <c r="S163" s="5" t="s">
        <v>2196</v>
      </c>
      <c r="T163"/>
    </row>
    <row r="164" spans="4:20">
      <c r="D164" s="34" t="s">
        <v>1857</v>
      </c>
      <c r="F164" s="36" t="s">
        <v>293</v>
      </c>
      <c r="G164" s="5" t="s">
        <v>294</v>
      </c>
      <c r="I164" s="62">
        <v>-783990</v>
      </c>
      <c r="J164" s="62">
        <v>-558</v>
      </c>
      <c r="K164" s="62">
        <v>1405</v>
      </c>
      <c r="L164" s="100" t="s">
        <v>2192</v>
      </c>
      <c r="M164" s="5" t="s">
        <v>452</v>
      </c>
      <c r="N164" s="34" t="s">
        <v>464</v>
      </c>
      <c r="O164" s="5" t="s">
        <v>2193</v>
      </c>
      <c r="P164" s="5" t="s">
        <v>2194</v>
      </c>
      <c r="Q164" s="5" t="s">
        <v>2195</v>
      </c>
      <c r="S164" s="5" t="s">
        <v>2197</v>
      </c>
      <c r="T164"/>
    </row>
    <row r="165" spans="4:20">
      <c r="D165" s="34" t="s">
        <v>1857</v>
      </c>
      <c r="F165" s="36" t="s">
        <v>293</v>
      </c>
      <c r="G165" s="5" t="s">
        <v>294</v>
      </c>
      <c r="I165" s="62">
        <v>-681425</v>
      </c>
      <c r="J165" s="62">
        <v>-485</v>
      </c>
      <c r="K165" s="62">
        <v>1405</v>
      </c>
      <c r="L165" s="100" t="s">
        <v>2192</v>
      </c>
      <c r="M165" s="5" t="s">
        <v>452</v>
      </c>
      <c r="N165" s="34" t="s">
        <v>464</v>
      </c>
      <c r="O165" s="5" t="s">
        <v>2193</v>
      </c>
      <c r="P165" s="5" t="s">
        <v>2194</v>
      </c>
      <c r="Q165" s="5" t="s">
        <v>2195</v>
      </c>
      <c r="S165" s="5" t="s">
        <v>2198</v>
      </c>
      <c r="T165"/>
    </row>
    <row r="166" spans="4:20">
      <c r="D166" s="34" t="s">
        <v>1857</v>
      </c>
      <c r="F166" s="36" t="s">
        <v>293</v>
      </c>
      <c r="G166" s="5" t="s">
        <v>294</v>
      </c>
      <c r="I166" s="62">
        <v>-1929065</v>
      </c>
      <c r="J166" s="62">
        <v>-1373</v>
      </c>
      <c r="K166" s="62">
        <v>1405</v>
      </c>
      <c r="L166" s="100" t="s">
        <v>2192</v>
      </c>
      <c r="M166" s="5" t="s">
        <v>452</v>
      </c>
      <c r="N166" s="34" t="s">
        <v>464</v>
      </c>
      <c r="O166" s="5" t="s">
        <v>2193</v>
      </c>
      <c r="P166" s="5" t="s">
        <v>2194</v>
      </c>
      <c r="Q166" s="5" t="s">
        <v>2195</v>
      </c>
      <c r="S166" s="5" t="s">
        <v>2199</v>
      </c>
      <c r="T166"/>
    </row>
    <row r="167" spans="4:20">
      <c r="D167" s="34" t="s">
        <v>1857</v>
      </c>
      <c r="F167" s="36" t="s">
        <v>293</v>
      </c>
      <c r="G167" s="5" t="s">
        <v>294</v>
      </c>
      <c r="I167" s="62">
        <v>2679000</v>
      </c>
      <c r="J167" s="62">
        <v>1900</v>
      </c>
      <c r="K167" s="62">
        <v>1410</v>
      </c>
      <c r="L167" s="100" t="s">
        <v>2187</v>
      </c>
      <c r="M167" s="5" t="s">
        <v>452</v>
      </c>
      <c r="N167" s="34" t="s">
        <v>464</v>
      </c>
      <c r="O167" s="5" t="s">
        <v>2188</v>
      </c>
      <c r="P167" s="5" t="s">
        <v>2189</v>
      </c>
      <c r="Q167" s="5" t="s">
        <v>2190</v>
      </c>
      <c r="S167" s="5" t="s">
        <v>2200</v>
      </c>
      <c r="T167"/>
    </row>
    <row r="168" spans="4:20">
      <c r="D168" s="34" t="s">
        <v>1857</v>
      </c>
      <c r="F168" s="36" t="s">
        <v>293</v>
      </c>
      <c r="G168" s="5" t="s">
        <v>294</v>
      </c>
      <c r="I168" s="62">
        <v>566000</v>
      </c>
      <c r="J168" s="62">
        <v>400</v>
      </c>
      <c r="K168" s="62">
        <v>1415</v>
      </c>
      <c r="L168" s="100" t="s">
        <v>2192</v>
      </c>
      <c r="M168" s="5" t="s">
        <v>452</v>
      </c>
      <c r="N168" s="34" t="s">
        <v>464</v>
      </c>
      <c r="O168" s="5" t="s">
        <v>2188</v>
      </c>
      <c r="P168" s="5" t="s">
        <v>2201</v>
      </c>
      <c r="Q168" s="5" t="s">
        <v>2202</v>
      </c>
      <c r="S168" s="5" t="s">
        <v>2203</v>
      </c>
      <c r="T168"/>
    </row>
    <row r="169" spans="4:20">
      <c r="D169" s="34" t="s">
        <v>1857</v>
      </c>
      <c r="F169" s="36" t="s">
        <v>293</v>
      </c>
      <c r="G169" s="5" t="s">
        <v>294</v>
      </c>
      <c r="I169" s="62">
        <v>-2810000</v>
      </c>
      <c r="J169" s="62">
        <v>-2000</v>
      </c>
      <c r="K169" s="62">
        <v>1405</v>
      </c>
      <c r="L169" s="100" t="s">
        <v>2192</v>
      </c>
      <c r="M169" s="5" t="s">
        <v>452</v>
      </c>
      <c r="N169" s="34" t="s">
        <v>464</v>
      </c>
      <c r="O169" s="5" t="s">
        <v>2193</v>
      </c>
      <c r="P169" s="5" t="s">
        <v>2194</v>
      </c>
      <c r="Q169" s="5" t="s">
        <v>2195</v>
      </c>
      <c r="S169" s="5" t="s">
        <v>2295</v>
      </c>
      <c r="T169"/>
    </row>
    <row r="170" spans="4:20">
      <c r="D170" s="34" t="s">
        <v>1857</v>
      </c>
      <c r="F170" s="36" t="s">
        <v>293</v>
      </c>
      <c r="G170" s="5" t="s">
        <v>294</v>
      </c>
      <c r="I170" s="62">
        <v>-421500</v>
      </c>
      <c r="J170" s="62">
        <v>-300</v>
      </c>
      <c r="K170" s="62">
        <v>1405</v>
      </c>
      <c r="L170" s="100" t="s">
        <v>2192</v>
      </c>
      <c r="M170" s="5" t="s">
        <v>452</v>
      </c>
      <c r="N170" s="34" t="s">
        <v>464</v>
      </c>
      <c r="O170" s="5" t="s">
        <v>2193</v>
      </c>
      <c r="P170" s="5" t="s">
        <v>2194</v>
      </c>
      <c r="Q170" s="5" t="s">
        <v>2195</v>
      </c>
      <c r="S170" s="5" t="s">
        <v>2296</v>
      </c>
      <c r="T170"/>
    </row>
    <row r="171" spans="4:20">
      <c r="D171" s="34" t="s">
        <v>1857</v>
      </c>
      <c r="F171" s="36" t="s">
        <v>293</v>
      </c>
      <c r="G171" s="5" t="s">
        <v>294</v>
      </c>
      <c r="I171" s="62">
        <v>-4973.7</v>
      </c>
      <c r="J171" s="62">
        <v>-3.54</v>
      </c>
      <c r="K171" s="62">
        <v>1405</v>
      </c>
      <c r="L171" s="100" t="s">
        <v>2192</v>
      </c>
      <c r="M171" s="5" t="s">
        <v>452</v>
      </c>
      <c r="N171" s="34" t="s">
        <v>464</v>
      </c>
      <c r="O171" s="5" t="s">
        <v>2193</v>
      </c>
      <c r="P171" s="5" t="s">
        <v>2194</v>
      </c>
      <c r="Q171" s="5" t="s">
        <v>2195</v>
      </c>
      <c r="S171" s="5" t="s">
        <v>2297</v>
      </c>
      <c r="T171"/>
    </row>
    <row r="172" spans="4:20">
      <c r="D172" s="34" t="s">
        <v>1857</v>
      </c>
      <c r="F172" s="36" t="s">
        <v>293</v>
      </c>
      <c r="G172" s="5" t="s">
        <v>294</v>
      </c>
      <c r="I172" s="62">
        <v>-38567.25</v>
      </c>
      <c r="J172" s="62">
        <v>-27.45</v>
      </c>
      <c r="K172" s="62">
        <v>1405</v>
      </c>
      <c r="L172" s="100" t="s">
        <v>2192</v>
      </c>
      <c r="M172" s="5" t="s">
        <v>452</v>
      </c>
      <c r="N172" s="34" t="s">
        <v>464</v>
      </c>
      <c r="O172" s="5" t="s">
        <v>2193</v>
      </c>
      <c r="P172" s="5" t="s">
        <v>2194</v>
      </c>
      <c r="Q172" s="5" t="s">
        <v>2195</v>
      </c>
      <c r="S172" s="5" t="s">
        <v>2298</v>
      </c>
      <c r="T172"/>
    </row>
    <row r="173" spans="4:20">
      <c r="D173" s="34" t="s">
        <v>1857</v>
      </c>
      <c r="F173" s="36" t="s">
        <v>293</v>
      </c>
      <c r="G173" s="5" t="s">
        <v>294</v>
      </c>
      <c r="I173" s="62">
        <v>-491258.25</v>
      </c>
      <c r="J173" s="62">
        <v>-349.65</v>
      </c>
      <c r="K173" s="62">
        <v>1405</v>
      </c>
      <c r="L173" s="100" t="s">
        <v>2192</v>
      </c>
      <c r="M173" s="5" t="s">
        <v>452</v>
      </c>
      <c r="N173" s="34" t="s">
        <v>464</v>
      </c>
      <c r="O173" s="5" t="s">
        <v>2193</v>
      </c>
      <c r="P173" s="5" t="s">
        <v>2194</v>
      </c>
      <c r="Q173" s="5" t="s">
        <v>2195</v>
      </c>
      <c r="S173" s="5" t="s">
        <v>2299</v>
      </c>
      <c r="T173"/>
    </row>
    <row r="174" spans="4:20">
      <c r="D174" s="34" t="s">
        <v>1857</v>
      </c>
      <c r="F174" s="36" t="s">
        <v>293</v>
      </c>
      <c r="G174" s="5" t="s">
        <v>294</v>
      </c>
      <c r="I174" s="62">
        <v>-7032550</v>
      </c>
      <c r="J174" s="62">
        <v>-4970</v>
      </c>
      <c r="K174" s="62">
        <v>1415</v>
      </c>
      <c r="L174" s="100" t="s">
        <v>2307</v>
      </c>
      <c r="M174" s="5" t="s">
        <v>452</v>
      </c>
      <c r="N174" s="34" t="s">
        <v>464</v>
      </c>
      <c r="O174" s="5" t="s">
        <v>2193</v>
      </c>
      <c r="P174" s="5" t="s">
        <v>2308</v>
      </c>
      <c r="Q174" s="5" t="s">
        <v>2309</v>
      </c>
      <c r="S174" s="5" t="s">
        <v>2310</v>
      </c>
      <c r="T174"/>
    </row>
    <row r="175" spans="4:20">
      <c r="D175" s="34" t="s">
        <v>1857</v>
      </c>
      <c r="F175" s="36" t="s">
        <v>293</v>
      </c>
      <c r="G175" s="5" t="s">
        <v>294</v>
      </c>
      <c r="I175" s="62">
        <v>-6860000</v>
      </c>
      <c r="J175" s="62">
        <v>-4900</v>
      </c>
      <c r="K175" s="62">
        <v>1400</v>
      </c>
      <c r="L175" s="100" t="s">
        <v>2303</v>
      </c>
      <c r="M175" s="5" t="s">
        <v>452</v>
      </c>
      <c r="N175" s="34" t="s">
        <v>464</v>
      </c>
      <c r="O175" s="5" t="s">
        <v>2193</v>
      </c>
      <c r="P175" s="5" t="s">
        <v>2311</v>
      </c>
      <c r="Q175" s="5" t="s">
        <v>2312</v>
      </c>
      <c r="S175" s="5" t="s">
        <v>2313</v>
      </c>
      <c r="T175"/>
    </row>
    <row r="176" spans="4:20">
      <c r="D176" s="34" t="s">
        <v>1857</v>
      </c>
      <c r="F176" s="36" t="s">
        <v>293</v>
      </c>
      <c r="G176" s="5" t="s">
        <v>294</v>
      </c>
      <c r="I176" s="62">
        <v>-6744000</v>
      </c>
      <c r="J176" s="62">
        <v>-4800</v>
      </c>
      <c r="K176" s="62">
        <v>1405</v>
      </c>
      <c r="L176" s="100" t="s">
        <v>2192</v>
      </c>
      <c r="M176" s="5" t="s">
        <v>452</v>
      </c>
      <c r="N176" s="34" t="s">
        <v>464</v>
      </c>
      <c r="O176" s="5" t="s">
        <v>2193</v>
      </c>
      <c r="P176" s="5" t="s">
        <v>2194</v>
      </c>
      <c r="Q176" s="5" t="s">
        <v>2195</v>
      </c>
      <c r="S176" s="5" t="s">
        <v>2314</v>
      </c>
      <c r="T176"/>
    </row>
    <row r="177" spans="4:20">
      <c r="D177" s="34" t="s">
        <v>1857</v>
      </c>
      <c r="F177" s="36" t="s">
        <v>293</v>
      </c>
      <c r="G177" s="5" t="s">
        <v>294</v>
      </c>
      <c r="I177" s="62">
        <v>-15609.55</v>
      </c>
      <c r="J177" s="62">
        <v>-11.11</v>
      </c>
      <c r="K177" s="62">
        <v>1405</v>
      </c>
      <c r="L177" s="100" t="s">
        <v>2192</v>
      </c>
      <c r="M177" s="5" t="s">
        <v>452</v>
      </c>
      <c r="N177" s="34" t="s">
        <v>464</v>
      </c>
      <c r="O177" s="5" t="s">
        <v>2193</v>
      </c>
      <c r="P177" s="5" t="s">
        <v>2194</v>
      </c>
      <c r="Q177" s="5" t="s">
        <v>2195</v>
      </c>
      <c r="S177" s="5" t="s">
        <v>2320</v>
      </c>
      <c r="T177"/>
    </row>
    <row r="178" spans="4:20">
      <c r="D178" s="34" t="s">
        <v>1857</v>
      </c>
      <c r="F178" s="36" t="s">
        <v>295</v>
      </c>
      <c r="G178" s="5" t="s">
        <v>296</v>
      </c>
      <c r="I178" s="62">
        <v>-9950</v>
      </c>
      <c r="J178" s="62">
        <v>-7.0567375886524797</v>
      </c>
      <c r="K178" s="62">
        <v>1410</v>
      </c>
      <c r="L178" s="100" t="s">
        <v>2204</v>
      </c>
      <c r="M178" s="5" t="s">
        <v>452</v>
      </c>
      <c r="N178" s="34" t="s">
        <v>464</v>
      </c>
      <c r="O178" s="5" t="s">
        <v>2193</v>
      </c>
      <c r="P178" s="5" t="s">
        <v>2205</v>
      </c>
      <c r="Q178" s="5" t="s">
        <v>2206</v>
      </c>
      <c r="S178" s="5" t="s">
        <v>1028</v>
      </c>
      <c r="T178"/>
    </row>
    <row r="179" spans="4:20">
      <c r="D179" s="34" t="s">
        <v>1857</v>
      </c>
      <c r="F179" s="36" t="s">
        <v>295</v>
      </c>
      <c r="G179" s="5" t="s">
        <v>296</v>
      </c>
      <c r="I179" s="62">
        <v>-10500</v>
      </c>
      <c r="J179" s="62">
        <v>-7.4733096085409301</v>
      </c>
      <c r="K179" s="62">
        <v>1405</v>
      </c>
      <c r="L179" s="100" t="s">
        <v>2192</v>
      </c>
      <c r="M179" s="5" t="s">
        <v>452</v>
      </c>
      <c r="N179" s="34" t="s">
        <v>464</v>
      </c>
      <c r="O179" s="5" t="s">
        <v>2193</v>
      </c>
      <c r="P179" s="5" t="s">
        <v>2207</v>
      </c>
      <c r="Q179" s="5" t="s">
        <v>2208</v>
      </c>
      <c r="S179" s="5" t="s">
        <v>2209</v>
      </c>
      <c r="T179"/>
    </row>
    <row r="180" spans="4:20">
      <c r="D180" s="34" t="s">
        <v>1857</v>
      </c>
      <c r="F180" s="36" t="s">
        <v>295</v>
      </c>
      <c r="G180" s="5" t="s">
        <v>296</v>
      </c>
      <c r="I180" s="62">
        <v>-52500</v>
      </c>
      <c r="J180" s="62">
        <v>-37.366548042704601</v>
      </c>
      <c r="K180" s="62">
        <v>1405</v>
      </c>
      <c r="L180" s="100" t="s">
        <v>2192</v>
      </c>
      <c r="M180" s="5" t="s">
        <v>452</v>
      </c>
      <c r="N180" s="34" t="s">
        <v>464</v>
      </c>
      <c r="O180" s="5" t="s">
        <v>2193</v>
      </c>
      <c r="P180" s="5" t="s">
        <v>2207</v>
      </c>
      <c r="Q180" s="5" t="s">
        <v>2208</v>
      </c>
      <c r="S180" s="5" t="s">
        <v>2210</v>
      </c>
      <c r="T180"/>
    </row>
    <row r="181" spans="4:20">
      <c r="D181" s="34" t="s">
        <v>1857</v>
      </c>
      <c r="F181" s="36" t="s">
        <v>295</v>
      </c>
      <c r="G181" s="5" t="s">
        <v>296</v>
      </c>
      <c r="I181" s="62">
        <v>-52500</v>
      </c>
      <c r="J181" s="62">
        <v>-37.2340425531915</v>
      </c>
      <c r="K181" s="62">
        <v>1410</v>
      </c>
      <c r="L181" s="100" t="s">
        <v>2204</v>
      </c>
      <c r="M181" s="5" t="s">
        <v>452</v>
      </c>
      <c r="N181" s="34" t="s">
        <v>464</v>
      </c>
      <c r="O181" s="5" t="s">
        <v>2193</v>
      </c>
      <c r="P181" s="5" t="s">
        <v>2205</v>
      </c>
      <c r="Q181" s="5" t="s">
        <v>2206</v>
      </c>
      <c r="S181" s="5" t="s">
        <v>2211</v>
      </c>
      <c r="T181"/>
    </row>
    <row r="182" spans="4:20">
      <c r="D182" s="34" t="s">
        <v>1857</v>
      </c>
      <c r="F182" s="36" t="s">
        <v>295</v>
      </c>
      <c r="G182" s="5" t="s">
        <v>296</v>
      </c>
      <c r="I182" s="62">
        <v>-87000</v>
      </c>
      <c r="J182" s="62">
        <v>-61.921708185053397</v>
      </c>
      <c r="K182" s="62">
        <v>1405</v>
      </c>
      <c r="L182" s="100" t="s">
        <v>2192</v>
      </c>
      <c r="M182" s="5" t="s">
        <v>452</v>
      </c>
      <c r="N182" s="34" t="s">
        <v>464</v>
      </c>
      <c r="O182" s="5" t="s">
        <v>2193</v>
      </c>
      <c r="P182" s="5" t="s">
        <v>2207</v>
      </c>
      <c r="Q182" s="5" t="s">
        <v>2208</v>
      </c>
      <c r="S182" s="5" t="s">
        <v>2212</v>
      </c>
      <c r="T182"/>
    </row>
    <row r="183" spans="4:20">
      <c r="D183" s="34" t="s">
        <v>1857</v>
      </c>
      <c r="F183" s="36" t="s">
        <v>295</v>
      </c>
      <c r="G183" s="5" t="s">
        <v>296</v>
      </c>
      <c r="I183" s="62">
        <v>-78000</v>
      </c>
      <c r="J183" s="62">
        <v>-55.319148936170201</v>
      </c>
      <c r="K183" s="62">
        <v>1410</v>
      </c>
      <c r="L183" s="100" t="s">
        <v>2204</v>
      </c>
      <c r="M183" s="5" t="s">
        <v>452</v>
      </c>
      <c r="N183" s="34" t="s">
        <v>464</v>
      </c>
      <c r="O183" s="5" t="s">
        <v>2193</v>
      </c>
      <c r="P183" s="5" t="s">
        <v>2205</v>
      </c>
      <c r="Q183" s="5" t="s">
        <v>2206</v>
      </c>
      <c r="S183" s="5" t="s">
        <v>2213</v>
      </c>
      <c r="T183"/>
    </row>
    <row r="184" spans="4:20">
      <c r="D184" s="34" t="s">
        <v>1857</v>
      </c>
      <c r="F184" s="36" t="s">
        <v>295</v>
      </c>
      <c r="G184" s="5" t="s">
        <v>296</v>
      </c>
      <c r="I184" s="62">
        <v>-116000</v>
      </c>
      <c r="J184" s="62">
        <v>-81.978798586572395</v>
      </c>
      <c r="K184" s="62">
        <v>1415</v>
      </c>
      <c r="L184" s="100" t="s">
        <v>2214</v>
      </c>
      <c r="M184" s="5" t="s">
        <v>452</v>
      </c>
      <c r="N184" s="34" t="s">
        <v>464</v>
      </c>
      <c r="O184" s="5" t="s">
        <v>2193</v>
      </c>
      <c r="P184" s="5" t="s">
        <v>2215</v>
      </c>
      <c r="Q184" s="5" t="s">
        <v>2216</v>
      </c>
      <c r="S184" s="5" t="s">
        <v>2217</v>
      </c>
      <c r="T184"/>
    </row>
    <row r="185" spans="4:20">
      <c r="D185" s="34" t="s">
        <v>1857</v>
      </c>
      <c r="F185" s="36" t="s">
        <v>295</v>
      </c>
      <c r="G185" s="5" t="s">
        <v>296</v>
      </c>
      <c r="I185" s="62">
        <v>-12000</v>
      </c>
      <c r="J185" s="62">
        <v>-8.5714285714285694</v>
      </c>
      <c r="K185" s="62">
        <v>1400</v>
      </c>
      <c r="L185" s="100" t="s">
        <v>2218</v>
      </c>
      <c r="M185" s="5" t="s">
        <v>452</v>
      </c>
      <c r="N185" s="34" t="s">
        <v>464</v>
      </c>
      <c r="O185" s="5" t="s">
        <v>2193</v>
      </c>
      <c r="P185" s="5" t="s">
        <v>2219</v>
      </c>
      <c r="Q185" s="5" t="s">
        <v>2220</v>
      </c>
      <c r="S185" s="5" t="s">
        <v>2221</v>
      </c>
      <c r="T185"/>
    </row>
    <row r="186" spans="4:20">
      <c r="D186" s="34" t="s">
        <v>1857</v>
      </c>
      <c r="F186" s="36" t="s">
        <v>295</v>
      </c>
      <c r="G186" s="5" t="s">
        <v>296</v>
      </c>
      <c r="I186" s="62">
        <v>-45300</v>
      </c>
      <c r="J186" s="62">
        <v>-32.2419928825623</v>
      </c>
      <c r="K186" s="62">
        <v>1405</v>
      </c>
      <c r="L186" s="100" t="s">
        <v>2192</v>
      </c>
      <c r="M186" s="5" t="s">
        <v>452</v>
      </c>
      <c r="N186" s="34" t="s">
        <v>464</v>
      </c>
      <c r="O186" s="5" t="s">
        <v>2193</v>
      </c>
      <c r="P186" s="5" t="s">
        <v>2207</v>
      </c>
      <c r="Q186" s="5" t="s">
        <v>2208</v>
      </c>
      <c r="S186" s="5" t="s">
        <v>2222</v>
      </c>
      <c r="T186"/>
    </row>
    <row r="187" spans="4:20">
      <c r="D187" s="34" t="s">
        <v>1857</v>
      </c>
      <c r="F187" s="36" t="s">
        <v>295</v>
      </c>
      <c r="G187" s="5" t="s">
        <v>296</v>
      </c>
      <c r="I187" s="62">
        <v>-43200</v>
      </c>
      <c r="J187" s="62">
        <v>-30.530035335689</v>
      </c>
      <c r="K187" s="62">
        <v>1415</v>
      </c>
      <c r="L187" s="100" t="s">
        <v>2214</v>
      </c>
      <c r="M187" s="5" t="s">
        <v>452</v>
      </c>
      <c r="N187" s="34" t="s">
        <v>464</v>
      </c>
      <c r="O187" s="5" t="s">
        <v>2193</v>
      </c>
      <c r="P187" s="5" t="s">
        <v>2215</v>
      </c>
      <c r="Q187" s="5" t="s">
        <v>2216</v>
      </c>
      <c r="S187" s="5" t="s">
        <v>2223</v>
      </c>
      <c r="T187"/>
    </row>
    <row r="188" spans="4:20">
      <c r="D188" s="34" t="s">
        <v>1857</v>
      </c>
      <c r="F188" s="36" t="s">
        <v>295</v>
      </c>
      <c r="G188" s="5" t="s">
        <v>296</v>
      </c>
      <c r="I188" s="62">
        <v>-49000</v>
      </c>
      <c r="J188" s="62">
        <v>-34.628975265017701</v>
      </c>
      <c r="K188" s="62">
        <v>1415</v>
      </c>
      <c r="L188" s="100" t="s">
        <v>2214</v>
      </c>
      <c r="M188" s="5" t="s">
        <v>452</v>
      </c>
      <c r="N188" s="34" t="s">
        <v>464</v>
      </c>
      <c r="O188" s="5" t="s">
        <v>2193</v>
      </c>
      <c r="P188" s="5" t="s">
        <v>2215</v>
      </c>
      <c r="Q188" s="5" t="s">
        <v>2216</v>
      </c>
      <c r="S188" s="5" t="s">
        <v>2224</v>
      </c>
      <c r="T188"/>
    </row>
    <row r="189" spans="4:20">
      <c r="D189" s="34" t="s">
        <v>1857</v>
      </c>
      <c r="F189" s="36" t="s">
        <v>295</v>
      </c>
      <c r="G189" s="5" t="s">
        <v>296</v>
      </c>
      <c r="I189" s="62">
        <v>-20500</v>
      </c>
      <c r="J189" s="62">
        <v>-14.5907473309609</v>
      </c>
      <c r="K189" s="62">
        <v>1405</v>
      </c>
      <c r="L189" s="100" t="s">
        <v>2192</v>
      </c>
      <c r="M189" s="5" t="s">
        <v>452</v>
      </c>
      <c r="N189" s="34" t="s">
        <v>464</v>
      </c>
      <c r="O189" s="5" t="s">
        <v>2193</v>
      </c>
      <c r="P189" s="5" t="s">
        <v>2207</v>
      </c>
      <c r="Q189" s="5" t="s">
        <v>2208</v>
      </c>
      <c r="S189" s="5" t="s">
        <v>2225</v>
      </c>
      <c r="T189"/>
    </row>
    <row r="190" spans="4:20">
      <c r="D190" s="34" t="s">
        <v>1857</v>
      </c>
      <c r="F190" s="36" t="s">
        <v>295</v>
      </c>
      <c r="G190" s="5" t="s">
        <v>296</v>
      </c>
      <c r="I190" s="62">
        <v>-28000</v>
      </c>
      <c r="J190" s="62">
        <v>-20</v>
      </c>
      <c r="K190" s="62">
        <v>1400</v>
      </c>
      <c r="L190" s="100" t="s">
        <v>2218</v>
      </c>
      <c r="M190" s="5" t="s">
        <v>452</v>
      </c>
      <c r="N190" s="34" t="s">
        <v>464</v>
      </c>
      <c r="O190" s="5" t="s">
        <v>2193</v>
      </c>
      <c r="P190" s="5" t="s">
        <v>2219</v>
      </c>
      <c r="Q190" s="5" t="s">
        <v>2220</v>
      </c>
      <c r="S190" s="5" t="s">
        <v>837</v>
      </c>
      <c r="T190"/>
    </row>
    <row r="191" spans="4:20">
      <c r="D191" s="34" t="s">
        <v>1857</v>
      </c>
      <c r="F191" s="36" t="s">
        <v>295</v>
      </c>
      <c r="G191" s="5" t="s">
        <v>296</v>
      </c>
      <c r="I191" s="62">
        <v>-17500</v>
      </c>
      <c r="J191" s="62">
        <v>-12.5</v>
      </c>
      <c r="K191" s="62">
        <v>1400</v>
      </c>
      <c r="L191" s="100" t="s">
        <v>2218</v>
      </c>
      <c r="M191" s="5" t="s">
        <v>452</v>
      </c>
      <c r="N191" s="34" t="s">
        <v>464</v>
      </c>
      <c r="O191" s="5" t="s">
        <v>2193</v>
      </c>
      <c r="P191" s="5" t="s">
        <v>2219</v>
      </c>
      <c r="Q191" s="5" t="s">
        <v>2220</v>
      </c>
      <c r="S191" s="5" t="s">
        <v>837</v>
      </c>
      <c r="T191"/>
    </row>
    <row r="192" spans="4:20">
      <c r="D192" s="34" t="s">
        <v>1857</v>
      </c>
      <c r="F192" s="36" t="s">
        <v>295</v>
      </c>
      <c r="G192" s="5" t="s">
        <v>296</v>
      </c>
      <c r="I192" s="62">
        <v>-42000</v>
      </c>
      <c r="J192" s="62">
        <v>-30</v>
      </c>
      <c r="K192" s="62">
        <v>1400</v>
      </c>
      <c r="L192" s="100" t="s">
        <v>2218</v>
      </c>
      <c r="M192" s="5" t="s">
        <v>452</v>
      </c>
      <c r="N192" s="34" t="s">
        <v>464</v>
      </c>
      <c r="O192" s="5" t="s">
        <v>2193</v>
      </c>
      <c r="P192" s="5" t="s">
        <v>2219</v>
      </c>
      <c r="Q192" s="5" t="s">
        <v>2220</v>
      </c>
      <c r="S192" s="5" t="s">
        <v>2226</v>
      </c>
      <c r="T192"/>
    </row>
    <row r="193" spans="4:20">
      <c r="D193" s="34" t="s">
        <v>1857</v>
      </c>
      <c r="F193" s="36" t="s">
        <v>295</v>
      </c>
      <c r="G193" s="5" t="s">
        <v>296</v>
      </c>
      <c r="I193" s="62">
        <v>-8600</v>
      </c>
      <c r="J193" s="62">
        <v>-6.1428571428571397</v>
      </c>
      <c r="K193" s="62">
        <v>1400</v>
      </c>
      <c r="L193" s="100" t="s">
        <v>2218</v>
      </c>
      <c r="M193" s="5" t="s">
        <v>452</v>
      </c>
      <c r="N193" s="34" t="s">
        <v>464</v>
      </c>
      <c r="O193" s="5" t="s">
        <v>2193</v>
      </c>
      <c r="P193" s="5" t="s">
        <v>2219</v>
      </c>
      <c r="Q193" s="5" t="s">
        <v>2220</v>
      </c>
      <c r="S193" s="5" t="s">
        <v>2227</v>
      </c>
      <c r="T193"/>
    </row>
    <row r="194" spans="4:20">
      <c r="D194" s="34" t="s">
        <v>1857</v>
      </c>
      <c r="F194" s="36" t="s">
        <v>295</v>
      </c>
      <c r="G194" s="5" t="s">
        <v>296</v>
      </c>
      <c r="I194" s="62">
        <v>-33000</v>
      </c>
      <c r="J194" s="62">
        <v>-23.321554770317999</v>
      </c>
      <c r="K194" s="62">
        <v>1415</v>
      </c>
      <c r="L194" s="100" t="s">
        <v>2214</v>
      </c>
      <c r="M194" s="5" t="s">
        <v>452</v>
      </c>
      <c r="N194" s="34" t="s">
        <v>464</v>
      </c>
      <c r="O194" s="5" t="s">
        <v>2193</v>
      </c>
      <c r="P194" s="5" t="s">
        <v>2215</v>
      </c>
      <c r="Q194" s="5" t="s">
        <v>2216</v>
      </c>
      <c r="S194" s="5" t="s">
        <v>2228</v>
      </c>
      <c r="T194"/>
    </row>
    <row r="195" spans="4:20">
      <c r="D195" s="34" t="s">
        <v>1857</v>
      </c>
      <c r="F195" s="36" t="s">
        <v>295</v>
      </c>
      <c r="G195" s="5" t="s">
        <v>296</v>
      </c>
      <c r="I195" s="62">
        <v>-43000</v>
      </c>
      <c r="J195" s="62">
        <v>-30.3886925795053</v>
      </c>
      <c r="K195" s="62">
        <v>1415</v>
      </c>
      <c r="L195" s="100" t="s">
        <v>2214</v>
      </c>
      <c r="M195" s="5" t="s">
        <v>452</v>
      </c>
      <c r="N195" s="34" t="s">
        <v>464</v>
      </c>
      <c r="O195" s="5" t="s">
        <v>2193</v>
      </c>
      <c r="P195" s="5" t="s">
        <v>2215</v>
      </c>
      <c r="Q195" s="5" t="s">
        <v>2216</v>
      </c>
      <c r="S195" s="5" t="s">
        <v>2229</v>
      </c>
      <c r="T195"/>
    </row>
    <row r="196" spans="4:20">
      <c r="D196" s="34" t="s">
        <v>1857</v>
      </c>
      <c r="F196" s="36" t="s">
        <v>295</v>
      </c>
      <c r="G196" s="5" t="s">
        <v>296</v>
      </c>
      <c r="I196" s="62">
        <v>-9600</v>
      </c>
      <c r="J196" s="62">
        <v>-6.78445229681979</v>
      </c>
      <c r="K196" s="62">
        <v>1415</v>
      </c>
      <c r="L196" s="100" t="s">
        <v>2214</v>
      </c>
      <c r="M196" s="5" t="s">
        <v>452</v>
      </c>
      <c r="N196" s="34" t="s">
        <v>464</v>
      </c>
      <c r="O196" s="5" t="s">
        <v>2193</v>
      </c>
      <c r="P196" s="5" t="s">
        <v>2215</v>
      </c>
      <c r="Q196" s="5" t="s">
        <v>2216</v>
      </c>
      <c r="S196" s="5" t="s">
        <v>2230</v>
      </c>
      <c r="T196"/>
    </row>
    <row r="197" spans="4:20">
      <c r="D197" s="34" t="s">
        <v>1857</v>
      </c>
      <c r="F197" s="36" t="s">
        <v>295</v>
      </c>
      <c r="G197" s="5" t="s">
        <v>296</v>
      </c>
      <c r="I197" s="62">
        <v>-180000</v>
      </c>
      <c r="J197" s="62">
        <v>-128.57142857142901</v>
      </c>
      <c r="K197" s="62">
        <v>1400</v>
      </c>
      <c r="L197" s="100" t="s">
        <v>2218</v>
      </c>
      <c r="M197" s="5" t="s">
        <v>452</v>
      </c>
      <c r="N197" s="34" t="s">
        <v>464</v>
      </c>
      <c r="O197" s="5" t="s">
        <v>2193</v>
      </c>
      <c r="P197" s="5" t="s">
        <v>2219</v>
      </c>
      <c r="Q197" s="5" t="s">
        <v>2220</v>
      </c>
      <c r="S197" s="5" t="s">
        <v>2231</v>
      </c>
      <c r="T197"/>
    </row>
    <row r="198" spans="4:20">
      <c r="D198" s="34" t="s">
        <v>1857</v>
      </c>
      <c r="F198" s="36" t="s">
        <v>295</v>
      </c>
      <c r="G198" s="5" t="s">
        <v>296</v>
      </c>
      <c r="I198" s="62">
        <v>-20000</v>
      </c>
      <c r="J198" s="62">
        <v>-14.285714285714301</v>
      </c>
      <c r="K198" s="62">
        <v>1400</v>
      </c>
      <c r="L198" s="100" t="s">
        <v>2218</v>
      </c>
      <c r="M198" s="5" t="s">
        <v>452</v>
      </c>
      <c r="N198" s="34" t="s">
        <v>464</v>
      </c>
      <c r="O198" s="5" t="s">
        <v>2193</v>
      </c>
      <c r="P198" s="5" t="s">
        <v>2219</v>
      </c>
      <c r="Q198" s="5" t="s">
        <v>2220</v>
      </c>
      <c r="S198" s="5" t="s">
        <v>2232</v>
      </c>
      <c r="T198"/>
    </row>
    <row r="199" spans="4:20">
      <c r="D199" s="34" t="s">
        <v>1857</v>
      </c>
      <c r="F199" s="36" t="s">
        <v>295</v>
      </c>
      <c r="G199" s="5" t="s">
        <v>296</v>
      </c>
      <c r="I199" s="62">
        <v>-40000</v>
      </c>
      <c r="J199" s="62">
        <v>-28.368794326241101</v>
      </c>
      <c r="K199" s="62">
        <v>1410</v>
      </c>
      <c r="L199" s="100" t="s">
        <v>2204</v>
      </c>
      <c r="M199" s="5" t="s">
        <v>452</v>
      </c>
      <c r="N199" s="34" t="s">
        <v>464</v>
      </c>
      <c r="O199" s="5" t="s">
        <v>2193</v>
      </c>
      <c r="P199" s="5" t="s">
        <v>2205</v>
      </c>
      <c r="Q199" s="5" t="s">
        <v>2206</v>
      </c>
      <c r="S199" s="5" t="s">
        <v>2233</v>
      </c>
      <c r="T199"/>
    </row>
    <row r="200" spans="4:20">
      <c r="D200" s="34" t="s">
        <v>1857</v>
      </c>
      <c r="F200" s="36" t="s">
        <v>295</v>
      </c>
      <c r="G200" s="5" t="s">
        <v>296</v>
      </c>
      <c r="I200" s="62">
        <v>-42000</v>
      </c>
      <c r="J200" s="62">
        <v>-30</v>
      </c>
      <c r="K200" s="62">
        <v>1400</v>
      </c>
      <c r="L200" s="100" t="s">
        <v>2218</v>
      </c>
      <c r="M200" s="5" t="s">
        <v>452</v>
      </c>
      <c r="N200" s="34" t="s">
        <v>464</v>
      </c>
      <c r="O200" s="5" t="s">
        <v>2193</v>
      </c>
      <c r="P200" s="5" t="s">
        <v>2219</v>
      </c>
      <c r="Q200" s="5" t="s">
        <v>2220</v>
      </c>
      <c r="S200" s="5" t="s">
        <v>1591</v>
      </c>
      <c r="T200"/>
    </row>
    <row r="201" spans="4:20">
      <c r="D201" s="34" t="s">
        <v>1857</v>
      </c>
      <c r="F201" s="36" t="s">
        <v>295</v>
      </c>
      <c r="G201" s="5" t="s">
        <v>296</v>
      </c>
      <c r="I201" s="62">
        <v>-42000</v>
      </c>
      <c r="J201" s="62">
        <v>-29.681978798586599</v>
      </c>
      <c r="K201" s="62">
        <v>1415</v>
      </c>
      <c r="L201" s="100" t="s">
        <v>2214</v>
      </c>
      <c r="M201" s="5" t="s">
        <v>452</v>
      </c>
      <c r="N201" s="34" t="s">
        <v>464</v>
      </c>
      <c r="O201" s="5" t="s">
        <v>2193</v>
      </c>
      <c r="P201" s="5" t="s">
        <v>2215</v>
      </c>
      <c r="Q201" s="5" t="s">
        <v>2216</v>
      </c>
      <c r="S201" s="5" t="s">
        <v>1591</v>
      </c>
      <c r="T201"/>
    </row>
    <row r="202" spans="4:20">
      <c r="D202" s="34" t="s">
        <v>1857</v>
      </c>
      <c r="F202" s="36" t="s">
        <v>295</v>
      </c>
      <c r="G202" s="5" t="s">
        <v>296</v>
      </c>
      <c r="I202" s="62">
        <v>-19360</v>
      </c>
      <c r="J202" s="62">
        <v>-13.730496453900701</v>
      </c>
      <c r="K202" s="62">
        <v>1410</v>
      </c>
      <c r="L202" s="100" t="s">
        <v>2204</v>
      </c>
      <c r="M202" s="5" t="s">
        <v>452</v>
      </c>
      <c r="N202" s="34" t="s">
        <v>464</v>
      </c>
      <c r="O202" s="5" t="s">
        <v>2193</v>
      </c>
      <c r="P202" s="5" t="s">
        <v>2205</v>
      </c>
      <c r="Q202" s="5" t="s">
        <v>2206</v>
      </c>
      <c r="S202" s="5" t="s">
        <v>2234</v>
      </c>
      <c r="T202"/>
    </row>
    <row r="203" spans="4:20">
      <c r="D203" s="34" t="s">
        <v>1857</v>
      </c>
      <c r="F203" s="36" t="s">
        <v>295</v>
      </c>
      <c r="G203" s="5" t="s">
        <v>296</v>
      </c>
      <c r="I203" s="62">
        <v>-18830</v>
      </c>
      <c r="J203" s="62">
        <v>-13.354609929078</v>
      </c>
      <c r="K203" s="62">
        <v>1410</v>
      </c>
      <c r="L203" s="100" t="s">
        <v>2204</v>
      </c>
      <c r="M203" s="5" t="s">
        <v>452</v>
      </c>
      <c r="N203" s="34" t="s">
        <v>464</v>
      </c>
      <c r="O203" s="5" t="s">
        <v>2193</v>
      </c>
      <c r="P203" s="5" t="s">
        <v>2205</v>
      </c>
      <c r="Q203" s="5" t="s">
        <v>2206</v>
      </c>
      <c r="S203" s="5" t="s">
        <v>2235</v>
      </c>
      <c r="T203"/>
    </row>
    <row r="204" spans="4:20">
      <c r="D204" s="34" t="s">
        <v>1857</v>
      </c>
      <c r="F204" s="36" t="s">
        <v>295</v>
      </c>
      <c r="G204" s="5" t="s">
        <v>296</v>
      </c>
      <c r="I204" s="62">
        <v>-62678</v>
      </c>
      <c r="J204" s="62">
        <v>-44.452482269503498</v>
      </c>
      <c r="K204" s="62">
        <v>1410</v>
      </c>
      <c r="L204" s="100" t="s">
        <v>2204</v>
      </c>
      <c r="M204" s="5" t="s">
        <v>452</v>
      </c>
      <c r="N204" s="34" t="s">
        <v>464</v>
      </c>
      <c r="O204" s="5" t="s">
        <v>2193</v>
      </c>
      <c r="P204" s="5" t="s">
        <v>2205</v>
      </c>
      <c r="Q204" s="5" t="s">
        <v>2206</v>
      </c>
      <c r="S204" s="5" t="s">
        <v>2236</v>
      </c>
      <c r="T204"/>
    </row>
    <row r="205" spans="4:20">
      <c r="D205" s="34" t="s">
        <v>1857</v>
      </c>
      <c r="F205" s="36" t="s">
        <v>295</v>
      </c>
      <c r="G205" s="5" t="s">
        <v>296</v>
      </c>
      <c r="I205" s="62">
        <v>-49492</v>
      </c>
      <c r="J205" s="62">
        <v>-35.100709219858203</v>
      </c>
      <c r="K205" s="62">
        <v>1410</v>
      </c>
      <c r="L205" s="100" t="s">
        <v>2204</v>
      </c>
      <c r="M205" s="5" t="s">
        <v>452</v>
      </c>
      <c r="N205" s="34" t="s">
        <v>464</v>
      </c>
      <c r="O205" s="5" t="s">
        <v>2193</v>
      </c>
      <c r="P205" s="5" t="s">
        <v>2205</v>
      </c>
      <c r="Q205" s="5" t="s">
        <v>2206</v>
      </c>
      <c r="S205" s="5" t="s">
        <v>2237</v>
      </c>
      <c r="T205"/>
    </row>
    <row r="206" spans="4:20">
      <c r="D206" s="34" t="s">
        <v>1857</v>
      </c>
      <c r="F206" s="36" t="s">
        <v>295</v>
      </c>
      <c r="G206" s="5" t="s">
        <v>296</v>
      </c>
      <c r="I206" s="62">
        <v>-167663</v>
      </c>
      <c r="J206" s="62">
        <v>-119.75928571428599</v>
      </c>
      <c r="K206" s="62">
        <v>1400</v>
      </c>
      <c r="L206" s="100" t="s">
        <v>2218</v>
      </c>
      <c r="M206" s="5" t="s">
        <v>452</v>
      </c>
      <c r="N206" s="34" t="s">
        <v>464</v>
      </c>
      <c r="O206" s="5" t="s">
        <v>2193</v>
      </c>
      <c r="P206" s="5" t="s">
        <v>2219</v>
      </c>
      <c r="Q206" s="5" t="s">
        <v>2220</v>
      </c>
      <c r="S206" s="5" t="s">
        <v>2238</v>
      </c>
      <c r="T206"/>
    </row>
    <row r="207" spans="4:20">
      <c r="D207" s="34" t="s">
        <v>1857</v>
      </c>
      <c r="F207" s="36" t="s">
        <v>295</v>
      </c>
      <c r="G207" s="5" t="s">
        <v>296</v>
      </c>
      <c r="I207" s="62">
        <v>-42000</v>
      </c>
      <c r="J207" s="62">
        <v>-29.787234042553202</v>
      </c>
      <c r="K207" s="62">
        <v>1410</v>
      </c>
      <c r="L207" s="100" t="s">
        <v>2204</v>
      </c>
      <c r="M207" s="5" t="s">
        <v>452</v>
      </c>
      <c r="N207" s="34" t="s">
        <v>464</v>
      </c>
      <c r="O207" s="5" t="s">
        <v>2193</v>
      </c>
      <c r="P207" s="5" t="s">
        <v>2205</v>
      </c>
      <c r="Q207" s="5" t="s">
        <v>2206</v>
      </c>
      <c r="S207" s="5" t="s">
        <v>2239</v>
      </c>
      <c r="T207"/>
    </row>
    <row r="208" spans="4:20">
      <c r="D208" s="34" t="s">
        <v>1857</v>
      </c>
      <c r="F208" s="36" t="s">
        <v>295</v>
      </c>
      <c r="G208" s="5" t="s">
        <v>296</v>
      </c>
      <c r="I208" s="62">
        <v>-35000</v>
      </c>
      <c r="J208" s="62">
        <v>-25</v>
      </c>
      <c r="K208" s="62">
        <v>1400</v>
      </c>
      <c r="L208" s="100" t="s">
        <v>2218</v>
      </c>
      <c r="M208" s="5" t="s">
        <v>452</v>
      </c>
      <c r="N208" s="34" t="s">
        <v>464</v>
      </c>
      <c r="O208" s="5" t="s">
        <v>2193</v>
      </c>
      <c r="P208" s="5" t="s">
        <v>2219</v>
      </c>
      <c r="Q208" s="5" t="s">
        <v>2220</v>
      </c>
      <c r="S208" s="5" t="s">
        <v>1599</v>
      </c>
      <c r="T208"/>
    </row>
    <row r="209" spans="4:20">
      <c r="D209" s="34" t="s">
        <v>1857</v>
      </c>
      <c r="F209" s="36" t="s">
        <v>295</v>
      </c>
      <c r="G209" s="5" t="s">
        <v>296</v>
      </c>
      <c r="I209" s="62">
        <v>-28000</v>
      </c>
      <c r="J209" s="62">
        <v>-19.8581560283688</v>
      </c>
      <c r="K209" s="62">
        <v>1410</v>
      </c>
      <c r="L209" s="100" t="s">
        <v>2204</v>
      </c>
      <c r="M209" s="5" t="s">
        <v>452</v>
      </c>
      <c r="N209" s="34" t="s">
        <v>464</v>
      </c>
      <c r="O209" s="5" t="s">
        <v>2193</v>
      </c>
      <c r="P209" s="5" t="s">
        <v>2205</v>
      </c>
      <c r="Q209" s="5" t="s">
        <v>2206</v>
      </c>
      <c r="S209" s="5" t="s">
        <v>764</v>
      </c>
      <c r="T209"/>
    </row>
    <row r="210" spans="4:20">
      <c r="D210" s="34" t="s">
        <v>1857</v>
      </c>
      <c r="F210" s="36" t="s">
        <v>295</v>
      </c>
      <c r="G210" s="5" t="s">
        <v>296</v>
      </c>
      <c r="I210" s="62">
        <v>-9400</v>
      </c>
      <c r="J210" s="62">
        <v>-6.71428571428571</v>
      </c>
      <c r="K210" s="62">
        <v>1400</v>
      </c>
      <c r="L210" s="100" t="s">
        <v>2218</v>
      </c>
      <c r="M210" s="5" t="s">
        <v>452</v>
      </c>
      <c r="N210" s="34" t="s">
        <v>464</v>
      </c>
      <c r="O210" s="5" t="s">
        <v>2193</v>
      </c>
      <c r="P210" s="5" t="s">
        <v>2219</v>
      </c>
      <c r="Q210" s="5" t="s">
        <v>2220</v>
      </c>
      <c r="S210" s="5" t="s">
        <v>764</v>
      </c>
      <c r="T210"/>
    </row>
    <row r="211" spans="4:20">
      <c r="D211" s="34" t="s">
        <v>1857</v>
      </c>
      <c r="F211" s="36" t="s">
        <v>295</v>
      </c>
      <c r="G211" s="5" t="s">
        <v>296</v>
      </c>
      <c r="I211" s="62">
        <v>-35000</v>
      </c>
      <c r="J211" s="62">
        <v>-24.7349823321555</v>
      </c>
      <c r="K211" s="62">
        <v>1415</v>
      </c>
      <c r="L211" s="100" t="s">
        <v>2214</v>
      </c>
      <c r="M211" s="5" t="s">
        <v>452</v>
      </c>
      <c r="N211" s="34" t="s">
        <v>464</v>
      </c>
      <c r="O211" s="5" t="s">
        <v>2193</v>
      </c>
      <c r="P211" s="5" t="s">
        <v>2215</v>
      </c>
      <c r="Q211" s="5" t="s">
        <v>2216</v>
      </c>
      <c r="S211" s="5" t="s">
        <v>764</v>
      </c>
      <c r="T211"/>
    </row>
    <row r="212" spans="4:20">
      <c r="D212" s="34" t="s">
        <v>1857</v>
      </c>
      <c r="F212" s="36" t="s">
        <v>295</v>
      </c>
      <c r="G212" s="5" t="s">
        <v>296</v>
      </c>
      <c r="I212" s="62">
        <v>-28000</v>
      </c>
      <c r="J212" s="62">
        <v>-19.787985865724401</v>
      </c>
      <c r="K212" s="62">
        <v>1415</v>
      </c>
      <c r="L212" s="100" t="s">
        <v>2214</v>
      </c>
      <c r="M212" s="5" t="s">
        <v>452</v>
      </c>
      <c r="N212" s="34" t="s">
        <v>464</v>
      </c>
      <c r="O212" s="5" t="s">
        <v>2193</v>
      </c>
      <c r="P212" s="5" t="s">
        <v>2215</v>
      </c>
      <c r="Q212" s="5" t="s">
        <v>2216</v>
      </c>
      <c r="S212" s="5" t="s">
        <v>764</v>
      </c>
      <c r="T212"/>
    </row>
    <row r="213" spans="4:20">
      <c r="D213" s="34" t="s">
        <v>1857</v>
      </c>
      <c r="F213" s="36" t="s">
        <v>295</v>
      </c>
      <c r="G213" s="5" t="s">
        <v>296</v>
      </c>
      <c r="I213" s="62">
        <v>-6000</v>
      </c>
      <c r="J213" s="62">
        <v>-4.2402826855123701</v>
      </c>
      <c r="K213" s="62">
        <v>1415</v>
      </c>
      <c r="L213" s="100" t="s">
        <v>2214</v>
      </c>
      <c r="M213" s="5" t="s">
        <v>452</v>
      </c>
      <c r="N213" s="34" t="s">
        <v>464</v>
      </c>
      <c r="O213" s="5" t="s">
        <v>2193</v>
      </c>
      <c r="P213" s="5" t="s">
        <v>2215</v>
      </c>
      <c r="Q213" s="5" t="s">
        <v>2216</v>
      </c>
      <c r="S213" s="5" t="s">
        <v>764</v>
      </c>
      <c r="T213"/>
    </row>
    <row r="214" spans="4:20">
      <c r="D214" s="34" t="s">
        <v>1857</v>
      </c>
      <c r="F214" s="36" t="s">
        <v>295</v>
      </c>
      <c r="G214" s="5" t="s">
        <v>296</v>
      </c>
      <c r="I214" s="62">
        <v>-7000</v>
      </c>
      <c r="J214" s="62">
        <v>-4.9822064056939501</v>
      </c>
      <c r="K214" s="62">
        <v>1405</v>
      </c>
      <c r="L214" s="100" t="s">
        <v>2192</v>
      </c>
      <c r="M214" s="5" t="s">
        <v>452</v>
      </c>
      <c r="N214" s="34" t="s">
        <v>464</v>
      </c>
      <c r="O214" s="5" t="s">
        <v>2193</v>
      </c>
      <c r="P214" s="5" t="s">
        <v>2207</v>
      </c>
      <c r="Q214" s="5" t="s">
        <v>2208</v>
      </c>
      <c r="S214" s="5" t="s">
        <v>764</v>
      </c>
      <c r="T214"/>
    </row>
    <row r="215" spans="4:20">
      <c r="D215" s="34" t="s">
        <v>1857</v>
      </c>
      <c r="F215" s="36" t="s">
        <v>295</v>
      </c>
      <c r="G215" s="5" t="s">
        <v>296</v>
      </c>
      <c r="I215" s="62">
        <v>-21000</v>
      </c>
      <c r="J215" s="62">
        <v>-14.946619217081899</v>
      </c>
      <c r="K215" s="62">
        <v>1405</v>
      </c>
      <c r="L215" s="100" t="s">
        <v>2192</v>
      </c>
      <c r="M215" s="5" t="s">
        <v>452</v>
      </c>
      <c r="N215" s="34" t="s">
        <v>464</v>
      </c>
      <c r="O215" s="5" t="s">
        <v>2193</v>
      </c>
      <c r="P215" s="5" t="s">
        <v>2207</v>
      </c>
      <c r="Q215" s="5" t="s">
        <v>2208</v>
      </c>
      <c r="S215" s="5" t="s">
        <v>764</v>
      </c>
      <c r="T215"/>
    </row>
    <row r="216" spans="4:20">
      <c r="D216" s="34" t="s">
        <v>1857</v>
      </c>
      <c r="F216" s="36" t="s">
        <v>295</v>
      </c>
      <c r="G216" s="5" t="s">
        <v>296</v>
      </c>
      <c r="I216" s="62">
        <v>-70000</v>
      </c>
      <c r="J216" s="62">
        <v>-49.822064056939503</v>
      </c>
      <c r="K216" s="62">
        <v>1405</v>
      </c>
      <c r="L216" s="100" t="s">
        <v>2192</v>
      </c>
      <c r="M216" s="5" t="s">
        <v>452</v>
      </c>
      <c r="N216" s="34" t="s">
        <v>464</v>
      </c>
      <c r="O216" s="5" t="s">
        <v>2193</v>
      </c>
      <c r="P216" s="5" t="s">
        <v>2207</v>
      </c>
      <c r="Q216" s="5" t="s">
        <v>2208</v>
      </c>
      <c r="S216" s="5" t="s">
        <v>764</v>
      </c>
      <c r="T216"/>
    </row>
    <row r="217" spans="4:20">
      <c r="D217" s="34" t="s">
        <v>1857</v>
      </c>
      <c r="F217" s="36" t="s">
        <v>295</v>
      </c>
      <c r="G217" s="5" t="s">
        <v>296</v>
      </c>
      <c r="I217" s="62">
        <v>-7000</v>
      </c>
      <c r="J217" s="62">
        <v>-4.9645390070922</v>
      </c>
      <c r="K217" s="62">
        <v>1410</v>
      </c>
      <c r="L217" s="100" t="s">
        <v>2204</v>
      </c>
      <c r="M217" s="5" t="s">
        <v>452</v>
      </c>
      <c r="N217" s="34" t="s">
        <v>464</v>
      </c>
      <c r="O217" s="5" t="s">
        <v>2193</v>
      </c>
      <c r="P217" s="5" t="s">
        <v>2205</v>
      </c>
      <c r="Q217" s="5" t="s">
        <v>2206</v>
      </c>
      <c r="S217" s="5" t="s">
        <v>2240</v>
      </c>
      <c r="T217"/>
    </row>
    <row r="218" spans="4:20">
      <c r="D218" s="34" t="s">
        <v>1857</v>
      </c>
      <c r="F218" s="36" t="s">
        <v>295</v>
      </c>
      <c r="G218" s="5" t="s">
        <v>296</v>
      </c>
      <c r="I218" s="62">
        <v>-25600</v>
      </c>
      <c r="J218" s="62">
        <v>-18.285714285714299</v>
      </c>
      <c r="K218" s="62">
        <v>1400</v>
      </c>
      <c r="L218" s="100" t="s">
        <v>2218</v>
      </c>
      <c r="M218" s="5" t="s">
        <v>452</v>
      </c>
      <c r="N218" s="34" t="s">
        <v>464</v>
      </c>
      <c r="O218" s="5" t="s">
        <v>2193</v>
      </c>
      <c r="P218" s="5" t="s">
        <v>2219</v>
      </c>
      <c r="Q218" s="5" t="s">
        <v>2220</v>
      </c>
      <c r="S218" s="5" t="s">
        <v>2241</v>
      </c>
      <c r="T218"/>
    </row>
    <row r="219" spans="4:20">
      <c r="D219" s="34" t="s">
        <v>1857</v>
      </c>
      <c r="F219" s="36" t="s">
        <v>295</v>
      </c>
      <c r="G219" s="5" t="s">
        <v>296</v>
      </c>
      <c r="I219" s="62">
        <v>2000000</v>
      </c>
      <c r="J219" s="62">
        <v>1428.57142857143</v>
      </c>
      <c r="K219" s="62">
        <v>1400</v>
      </c>
      <c r="L219" s="100" t="s">
        <v>2218</v>
      </c>
      <c r="M219" s="5" t="s">
        <v>452</v>
      </c>
      <c r="N219" s="34" t="s">
        <v>464</v>
      </c>
      <c r="O219" s="5" t="s">
        <v>2188</v>
      </c>
      <c r="P219" s="5" t="s">
        <v>2242</v>
      </c>
      <c r="Q219" s="5" t="s">
        <v>2243</v>
      </c>
      <c r="S219" s="5" t="s">
        <v>563</v>
      </c>
      <c r="T219"/>
    </row>
    <row r="220" spans="4:20">
      <c r="D220" s="34" t="s">
        <v>1857</v>
      </c>
      <c r="F220" s="36" t="s">
        <v>295</v>
      </c>
      <c r="G220" s="5" t="s">
        <v>296</v>
      </c>
      <c r="I220" s="62">
        <v>4990000</v>
      </c>
      <c r="J220" s="62">
        <v>3551.6014234875402</v>
      </c>
      <c r="K220" s="62">
        <v>1405</v>
      </c>
      <c r="L220" s="100" t="s">
        <v>2192</v>
      </c>
      <c r="M220" s="5" t="s">
        <v>452</v>
      </c>
      <c r="N220" s="34" t="s">
        <v>464</v>
      </c>
      <c r="O220" s="5" t="s">
        <v>2188</v>
      </c>
      <c r="P220" s="5" t="s">
        <v>2248</v>
      </c>
      <c r="Q220" s="5" t="s">
        <v>2249</v>
      </c>
      <c r="S220" s="5" t="s">
        <v>563</v>
      </c>
      <c r="T220"/>
    </row>
    <row r="221" spans="4:20">
      <c r="D221" s="34" t="s">
        <v>1857</v>
      </c>
      <c r="F221" s="36" t="s">
        <v>295</v>
      </c>
      <c r="G221" s="5" t="s">
        <v>296</v>
      </c>
      <c r="I221" s="62">
        <v>-14400</v>
      </c>
      <c r="J221" s="62">
        <v>-10.285714285714301</v>
      </c>
      <c r="K221" s="62">
        <v>1400</v>
      </c>
      <c r="L221" s="100" t="s">
        <v>2218</v>
      </c>
      <c r="M221" s="5" t="s">
        <v>452</v>
      </c>
      <c r="N221" s="34" t="s">
        <v>464</v>
      </c>
      <c r="O221" s="5" t="s">
        <v>2193</v>
      </c>
      <c r="P221" s="5" t="s">
        <v>2219</v>
      </c>
      <c r="Q221" s="5" t="s">
        <v>2220</v>
      </c>
      <c r="S221" s="5" t="s">
        <v>2250</v>
      </c>
      <c r="T221"/>
    </row>
    <row r="222" spans="4:20">
      <c r="D222" s="34" t="s">
        <v>1857</v>
      </c>
      <c r="F222" s="36" t="s">
        <v>295</v>
      </c>
      <c r="G222" s="5" t="s">
        <v>296</v>
      </c>
      <c r="I222" s="62">
        <v>-74000</v>
      </c>
      <c r="J222" s="62">
        <v>-52.296819787985903</v>
      </c>
      <c r="K222" s="62">
        <v>1415</v>
      </c>
      <c r="L222" s="100" t="s">
        <v>2214</v>
      </c>
      <c r="M222" s="5" t="s">
        <v>452</v>
      </c>
      <c r="N222" s="34" t="s">
        <v>464</v>
      </c>
      <c r="O222" s="5" t="s">
        <v>2193</v>
      </c>
      <c r="P222" s="5" t="s">
        <v>2215</v>
      </c>
      <c r="Q222" s="5" t="s">
        <v>2216</v>
      </c>
      <c r="S222" s="5" t="s">
        <v>2251</v>
      </c>
      <c r="T222"/>
    </row>
    <row r="223" spans="4:20">
      <c r="D223" s="34" t="s">
        <v>1857</v>
      </c>
      <c r="F223" s="36" t="s">
        <v>295</v>
      </c>
      <c r="G223" s="5" t="s">
        <v>296</v>
      </c>
      <c r="I223" s="62">
        <v>-198000</v>
      </c>
      <c r="J223" s="62">
        <v>-140.42553191489401</v>
      </c>
      <c r="K223" s="62">
        <v>1410</v>
      </c>
      <c r="L223" s="100" t="s">
        <v>2204</v>
      </c>
      <c r="M223" s="5" t="s">
        <v>452</v>
      </c>
      <c r="N223" s="34" t="s">
        <v>464</v>
      </c>
      <c r="O223" s="5" t="s">
        <v>2193</v>
      </c>
      <c r="P223" s="5" t="s">
        <v>2205</v>
      </c>
      <c r="Q223" s="5" t="s">
        <v>2206</v>
      </c>
      <c r="S223" s="5" t="s">
        <v>2252</v>
      </c>
      <c r="T223"/>
    </row>
    <row r="224" spans="4:20">
      <c r="D224" s="34" t="s">
        <v>1857</v>
      </c>
      <c r="F224" s="36" t="s">
        <v>295</v>
      </c>
      <c r="G224" s="5" t="s">
        <v>296</v>
      </c>
      <c r="I224" s="62">
        <v>-229354</v>
      </c>
      <c r="J224" s="62">
        <v>-162.662411347518</v>
      </c>
      <c r="K224" s="62">
        <v>1410</v>
      </c>
      <c r="L224" s="100" t="s">
        <v>2204</v>
      </c>
      <c r="M224" s="5" t="s">
        <v>452</v>
      </c>
      <c r="N224" s="34" t="s">
        <v>464</v>
      </c>
      <c r="O224" s="5" t="s">
        <v>2193</v>
      </c>
      <c r="P224" s="5" t="s">
        <v>2205</v>
      </c>
      <c r="Q224" s="5" t="s">
        <v>2206</v>
      </c>
      <c r="S224" s="5" t="s">
        <v>2253</v>
      </c>
      <c r="T224"/>
    </row>
    <row r="225" spans="4:20">
      <c r="D225" s="34" t="s">
        <v>1857</v>
      </c>
      <c r="F225" s="36" t="s">
        <v>295</v>
      </c>
      <c r="G225" s="5" t="s">
        <v>296</v>
      </c>
      <c r="I225" s="62">
        <v>-167194</v>
      </c>
      <c r="J225" s="62">
        <v>-118.577304964539</v>
      </c>
      <c r="K225" s="62">
        <v>1410</v>
      </c>
      <c r="L225" s="100" t="s">
        <v>2204</v>
      </c>
      <c r="M225" s="5" t="s">
        <v>452</v>
      </c>
      <c r="N225" s="34" t="s">
        <v>464</v>
      </c>
      <c r="O225" s="5" t="s">
        <v>2193</v>
      </c>
      <c r="P225" s="5" t="s">
        <v>2205</v>
      </c>
      <c r="Q225" s="5" t="s">
        <v>2206</v>
      </c>
      <c r="S225" s="5" t="s">
        <v>2254</v>
      </c>
      <c r="T225"/>
    </row>
    <row r="226" spans="4:20">
      <c r="D226" s="34" t="s">
        <v>1857</v>
      </c>
      <c r="F226" s="36" t="s">
        <v>295</v>
      </c>
      <c r="G226" s="5" t="s">
        <v>296</v>
      </c>
      <c r="I226" s="62">
        <v>-79200</v>
      </c>
      <c r="J226" s="62">
        <v>-55.9717314487633</v>
      </c>
      <c r="K226" s="62">
        <v>1415</v>
      </c>
      <c r="L226" s="100" t="s">
        <v>2214</v>
      </c>
      <c r="M226" s="5" t="s">
        <v>452</v>
      </c>
      <c r="N226" s="34" t="s">
        <v>464</v>
      </c>
      <c r="O226" s="5" t="s">
        <v>2193</v>
      </c>
      <c r="P226" s="5" t="s">
        <v>2215</v>
      </c>
      <c r="Q226" s="5" t="s">
        <v>2216</v>
      </c>
      <c r="S226" s="5" t="s">
        <v>1293</v>
      </c>
      <c r="T226"/>
    </row>
    <row r="227" spans="4:20">
      <c r="D227" s="34" t="s">
        <v>1857</v>
      </c>
      <c r="F227" s="36" t="s">
        <v>295</v>
      </c>
      <c r="G227" s="5" t="s">
        <v>296</v>
      </c>
      <c r="I227" s="62">
        <v>-117000</v>
      </c>
      <c r="J227" s="62">
        <v>-83.274021352313198</v>
      </c>
      <c r="K227" s="62">
        <v>1405</v>
      </c>
      <c r="L227" s="100" t="s">
        <v>2192</v>
      </c>
      <c r="M227" s="5" t="s">
        <v>452</v>
      </c>
      <c r="N227" s="34" t="s">
        <v>464</v>
      </c>
      <c r="O227" s="5" t="s">
        <v>2193</v>
      </c>
      <c r="P227" s="5" t="s">
        <v>2207</v>
      </c>
      <c r="Q227" s="5" t="s">
        <v>2208</v>
      </c>
      <c r="S227" s="5" t="s">
        <v>1293</v>
      </c>
      <c r="T227"/>
    </row>
    <row r="228" spans="4:20">
      <c r="D228" s="34" t="s">
        <v>1857</v>
      </c>
      <c r="F228" s="36" t="s">
        <v>295</v>
      </c>
      <c r="G228" s="5" t="s">
        <v>296</v>
      </c>
      <c r="I228" s="62">
        <v>-77000</v>
      </c>
      <c r="J228" s="62">
        <v>-54.416961130742102</v>
      </c>
      <c r="K228" s="62">
        <v>1415</v>
      </c>
      <c r="L228" s="100" t="s">
        <v>2214</v>
      </c>
      <c r="M228" s="5" t="s">
        <v>452</v>
      </c>
      <c r="N228" s="34" t="s">
        <v>464</v>
      </c>
      <c r="O228" s="5" t="s">
        <v>2193</v>
      </c>
      <c r="P228" s="5" t="s">
        <v>2215</v>
      </c>
      <c r="Q228" s="5" t="s">
        <v>2216</v>
      </c>
      <c r="S228" s="5" t="s">
        <v>899</v>
      </c>
      <c r="T228"/>
    </row>
    <row r="229" spans="4:20">
      <c r="D229" s="34" t="s">
        <v>1857</v>
      </c>
      <c r="F229" s="36" t="s">
        <v>295</v>
      </c>
      <c r="G229" s="5" t="s">
        <v>296</v>
      </c>
      <c r="I229" s="62">
        <v>-40011</v>
      </c>
      <c r="J229" s="62">
        <v>-28.276325088339199</v>
      </c>
      <c r="K229" s="62">
        <v>1415</v>
      </c>
      <c r="L229" s="100" t="s">
        <v>2214</v>
      </c>
      <c r="M229" s="5" t="s">
        <v>452</v>
      </c>
      <c r="N229" s="34" t="s">
        <v>464</v>
      </c>
      <c r="O229" s="5" t="s">
        <v>2193</v>
      </c>
      <c r="P229" s="5" t="s">
        <v>2215</v>
      </c>
      <c r="Q229" s="5" t="s">
        <v>2216</v>
      </c>
      <c r="S229" s="5" t="s">
        <v>899</v>
      </c>
      <c r="T229"/>
    </row>
    <row r="230" spans="4:20">
      <c r="D230" s="34" t="s">
        <v>1857</v>
      </c>
      <c r="F230" s="36" t="s">
        <v>295</v>
      </c>
      <c r="G230" s="5" t="s">
        <v>296</v>
      </c>
      <c r="I230" s="62">
        <v>-167000</v>
      </c>
      <c r="J230" s="62">
        <v>-118.86120996441301</v>
      </c>
      <c r="K230" s="62">
        <v>1405</v>
      </c>
      <c r="L230" s="100" t="s">
        <v>2192</v>
      </c>
      <c r="M230" s="5" t="s">
        <v>452</v>
      </c>
      <c r="N230" s="34" t="s">
        <v>464</v>
      </c>
      <c r="O230" s="5" t="s">
        <v>2193</v>
      </c>
      <c r="P230" s="5" t="s">
        <v>2207</v>
      </c>
      <c r="Q230" s="5" t="s">
        <v>2208</v>
      </c>
      <c r="S230" s="5" t="s">
        <v>651</v>
      </c>
      <c r="T230"/>
    </row>
    <row r="231" spans="4:20">
      <c r="D231" s="34" t="s">
        <v>1857</v>
      </c>
      <c r="F231" s="36" t="s">
        <v>295</v>
      </c>
      <c r="G231" s="5" t="s">
        <v>296</v>
      </c>
      <c r="I231" s="62">
        <v>-110000</v>
      </c>
      <c r="J231" s="62">
        <v>-78.291814946619198</v>
      </c>
      <c r="K231" s="62">
        <v>1405</v>
      </c>
      <c r="L231" s="100" t="s">
        <v>2192</v>
      </c>
      <c r="M231" s="5" t="s">
        <v>452</v>
      </c>
      <c r="N231" s="34" t="s">
        <v>464</v>
      </c>
      <c r="O231" s="5" t="s">
        <v>2193</v>
      </c>
      <c r="P231" s="5" t="s">
        <v>2207</v>
      </c>
      <c r="Q231" s="5" t="s">
        <v>2208</v>
      </c>
      <c r="S231" s="5" t="s">
        <v>651</v>
      </c>
      <c r="T231"/>
    </row>
    <row r="232" spans="4:20">
      <c r="D232" s="34" t="s">
        <v>1857</v>
      </c>
      <c r="F232" s="36" t="s">
        <v>295</v>
      </c>
      <c r="G232" s="5" t="s">
        <v>296</v>
      </c>
      <c r="I232" s="62">
        <v>-179840</v>
      </c>
      <c r="J232" s="62">
        <v>-128</v>
      </c>
      <c r="K232" s="62">
        <v>1405</v>
      </c>
      <c r="L232" s="100" t="s">
        <v>2192</v>
      </c>
      <c r="M232" s="5" t="s">
        <v>452</v>
      </c>
      <c r="N232" s="34" t="s">
        <v>464</v>
      </c>
      <c r="O232" s="5" t="s">
        <v>2193</v>
      </c>
      <c r="P232" s="5" t="s">
        <v>2207</v>
      </c>
      <c r="Q232" s="5" t="s">
        <v>2208</v>
      </c>
      <c r="S232" s="5" t="s">
        <v>2255</v>
      </c>
      <c r="T232"/>
    </row>
    <row r="233" spans="4:20">
      <c r="D233" s="34" t="s">
        <v>1857</v>
      </c>
      <c r="F233" s="36" t="s">
        <v>295</v>
      </c>
      <c r="G233" s="5" t="s">
        <v>296</v>
      </c>
      <c r="I233" s="62">
        <v>-96666</v>
      </c>
      <c r="J233" s="62">
        <v>-68.3151943462898</v>
      </c>
      <c r="K233" s="62">
        <v>1415</v>
      </c>
      <c r="L233" s="100" t="s">
        <v>2214</v>
      </c>
      <c r="M233" s="5" t="s">
        <v>452</v>
      </c>
      <c r="N233" s="34" t="s">
        <v>464</v>
      </c>
      <c r="O233" s="5" t="s">
        <v>2193</v>
      </c>
      <c r="P233" s="5" t="s">
        <v>2215</v>
      </c>
      <c r="Q233" s="5" t="s">
        <v>2216</v>
      </c>
      <c r="S233" s="5" t="s">
        <v>757</v>
      </c>
      <c r="T233"/>
    </row>
    <row r="234" spans="4:20">
      <c r="D234" s="34" t="s">
        <v>1857</v>
      </c>
      <c r="F234" s="36" t="s">
        <v>295</v>
      </c>
      <c r="G234" s="5" t="s">
        <v>296</v>
      </c>
      <c r="I234" s="62">
        <v>-73000</v>
      </c>
      <c r="J234" s="62">
        <v>-51.590106007067099</v>
      </c>
      <c r="K234" s="62">
        <v>1415</v>
      </c>
      <c r="L234" s="100" t="s">
        <v>2214</v>
      </c>
      <c r="M234" s="5" t="s">
        <v>452</v>
      </c>
      <c r="N234" s="34" t="s">
        <v>464</v>
      </c>
      <c r="O234" s="5" t="s">
        <v>2193</v>
      </c>
      <c r="P234" s="5" t="s">
        <v>2215</v>
      </c>
      <c r="Q234" s="5" t="s">
        <v>2216</v>
      </c>
      <c r="S234" s="5" t="s">
        <v>2256</v>
      </c>
      <c r="T234"/>
    </row>
    <row r="235" spans="4:20">
      <c r="D235" s="34" t="s">
        <v>1857</v>
      </c>
      <c r="F235" s="36" t="s">
        <v>295</v>
      </c>
      <c r="G235" s="5" t="s">
        <v>296</v>
      </c>
      <c r="I235" s="62">
        <v>-166000</v>
      </c>
      <c r="J235" s="62">
        <v>-117.314487632509</v>
      </c>
      <c r="K235" s="62">
        <v>1415</v>
      </c>
      <c r="L235" s="100" t="s">
        <v>2214</v>
      </c>
      <c r="M235" s="5" t="s">
        <v>452</v>
      </c>
      <c r="N235" s="34" t="s">
        <v>464</v>
      </c>
      <c r="O235" s="5" t="s">
        <v>2193</v>
      </c>
      <c r="P235" s="5" t="s">
        <v>2215</v>
      </c>
      <c r="Q235" s="5" t="s">
        <v>2216</v>
      </c>
      <c r="S235" s="5" t="s">
        <v>2256</v>
      </c>
      <c r="T235"/>
    </row>
    <row r="236" spans="4:20">
      <c r="D236" s="34" t="s">
        <v>1857</v>
      </c>
      <c r="F236" s="36" t="s">
        <v>295</v>
      </c>
      <c r="G236" s="5" t="s">
        <v>296</v>
      </c>
      <c r="I236" s="62">
        <v>-179156</v>
      </c>
      <c r="J236" s="62">
        <v>-126.612014134276</v>
      </c>
      <c r="K236" s="62">
        <v>1415</v>
      </c>
      <c r="L236" s="100" t="s">
        <v>2214</v>
      </c>
      <c r="M236" s="5" t="s">
        <v>452</v>
      </c>
      <c r="N236" s="34" t="s">
        <v>464</v>
      </c>
      <c r="O236" s="5" t="s">
        <v>2193</v>
      </c>
      <c r="P236" s="5" t="s">
        <v>2215</v>
      </c>
      <c r="Q236" s="5" t="s">
        <v>2216</v>
      </c>
      <c r="S236" s="5" t="s">
        <v>2256</v>
      </c>
      <c r="T236"/>
    </row>
    <row r="237" spans="4:20">
      <c r="D237" s="34" t="s">
        <v>1857</v>
      </c>
      <c r="F237" s="36" t="s">
        <v>295</v>
      </c>
      <c r="G237" s="5" t="s">
        <v>296</v>
      </c>
      <c r="I237" s="62">
        <v>-151867</v>
      </c>
      <c r="J237" s="62">
        <v>-107.32650176678401</v>
      </c>
      <c r="K237" s="62">
        <v>1415</v>
      </c>
      <c r="L237" s="100" t="s">
        <v>2214</v>
      </c>
      <c r="M237" s="5" t="s">
        <v>452</v>
      </c>
      <c r="N237" s="34" t="s">
        <v>464</v>
      </c>
      <c r="O237" s="5" t="s">
        <v>2193</v>
      </c>
      <c r="P237" s="5" t="s">
        <v>2215</v>
      </c>
      <c r="Q237" s="5" t="s">
        <v>2216</v>
      </c>
      <c r="S237" s="5" t="s">
        <v>2256</v>
      </c>
      <c r="T237"/>
    </row>
    <row r="238" spans="4:20">
      <c r="D238" s="34" t="s">
        <v>1857</v>
      </c>
      <c r="F238" s="36" t="s">
        <v>295</v>
      </c>
      <c r="G238" s="5" t="s">
        <v>296</v>
      </c>
      <c r="I238" s="62">
        <v>-64000</v>
      </c>
      <c r="J238" s="62">
        <v>-45.229681978798602</v>
      </c>
      <c r="K238" s="62">
        <v>1415</v>
      </c>
      <c r="L238" s="100" t="s">
        <v>2214</v>
      </c>
      <c r="M238" s="5" t="s">
        <v>452</v>
      </c>
      <c r="N238" s="34" t="s">
        <v>464</v>
      </c>
      <c r="O238" s="5" t="s">
        <v>2193</v>
      </c>
      <c r="P238" s="5" t="s">
        <v>2215</v>
      </c>
      <c r="Q238" s="5" t="s">
        <v>2216</v>
      </c>
      <c r="S238" s="5" t="s">
        <v>2256</v>
      </c>
      <c r="T238"/>
    </row>
    <row r="239" spans="4:20">
      <c r="D239" s="34" t="s">
        <v>1857</v>
      </c>
      <c r="F239" s="36" t="s">
        <v>295</v>
      </c>
      <c r="G239" s="5" t="s">
        <v>296</v>
      </c>
      <c r="I239" s="62">
        <v>-92260</v>
      </c>
      <c r="J239" s="62">
        <v>-65.201413427561803</v>
      </c>
      <c r="K239" s="62">
        <v>1415</v>
      </c>
      <c r="L239" s="100" t="s">
        <v>2214</v>
      </c>
      <c r="M239" s="5" t="s">
        <v>452</v>
      </c>
      <c r="N239" s="34" t="s">
        <v>464</v>
      </c>
      <c r="O239" s="5" t="s">
        <v>2193</v>
      </c>
      <c r="P239" s="5" t="s">
        <v>2215</v>
      </c>
      <c r="Q239" s="5" t="s">
        <v>2216</v>
      </c>
      <c r="S239" s="5" t="s">
        <v>2256</v>
      </c>
      <c r="T239"/>
    </row>
    <row r="240" spans="4:20">
      <c r="D240" s="34" t="s">
        <v>1857</v>
      </c>
      <c r="F240" s="36" t="s">
        <v>295</v>
      </c>
      <c r="G240" s="5" t="s">
        <v>296</v>
      </c>
      <c r="I240" s="62">
        <v>-115000</v>
      </c>
      <c r="J240" s="62">
        <v>-81.850533807829194</v>
      </c>
      <c r="K240" s="62">
        <v>1405</v>
      </c>
      <c r="L240" s="100" t="s">
        <v>2192</v>
      </c>
      <c r="M240" s="5" t="s">
        <v>452</v>
      </c>
      <c r="N240" s="34" t="s">
        <v>464</v>
      </c>
      <c r="O240" s="5" t="s">
        <v>2193</v>
      </c>
      <c r="P240" s="5" t="s">
        <v>2207</v>
      </c>
      <c r="Q240" s="5" t="s">
        <v>2208</v>
      </c>
      <c r="S240" s="5" t="s">
        <v>2256</v>
      </c>
      <c r="T240"/>
    </row>
    <row r="241" spans="4:20">
      <c r="D241" s="34" t="s">
        <v>1857</v>
      </c>
      <c r="F241" s="36" t="s">
        <v>295</v>
      </c>
      <c r="G241" s="5" t="s">
        <v>296</v>
      </c>
      <c r="I241" s="62">
        <v>-67500</v>
      </c>
      <c r="J241" s="62">
        <v>-47.872340425531902</v>
      </c>
      <c r="K241" s="62">
        <v>1410</v>
      </c>
      <c r="L241" s="100" t="s">
        <v>2204</v>
      </c>
      <c r="M241" s="5" t="s">
        <v>452</v>
      </c>
      <c r="N241" s="34" t="s">
        <v>464</v>
      </c>
      <c r="O241" s="5" t="s">
        <v>2193</v>
      </c>
      <c r="P241" s="5" t="s">
        <v>2205</v>
      </c>
      <c r="Q241" s="5" t="s">
        <v>2206</v>
      </c>
      <c r="S241" s="5" t="s">
        <v>2257</v>
      </c>
      <c r="T241"/>
    </row>
    <row r="242" spans="4:20">
      <c r="D242" s="34" t="s">
        <v>1857</v>
      </c>
      <c r="F242" s="36" t="s">
        <v>295</v>
      </c>
      <c r="G242" s="5" t="s">
        <v>296</v>
      </c>
      <c r="I242" s="62">
        <v>-199500</v>
      </c>
      <c r="J242" s="62">
        <v>-142.5</v>
      </c>
      <c r="K242" s="62">
        <v>1400</v>
      </c>
      <c r="L242" s="100" t="s">
        <v>2218</v>
      </c>
      <c r="M242" s="5" t="s">
        <v>452</v>
      </c>
      <c r="N242" s="34" t="s">
        <v>464</v>
      </c>
      <c r="O242" s="5" t="s">
        <v>2193</v>
      </c>
      <c r="P242" s="5" t="s">
        <v>2219</v>
      </c>
      <c r="Q242" s="5" t="s">
        <v>2220</v>
      </c>
      <c r="S242" s="5" t="s">
        <v>1631</v>
      </c>
      <c r="T242"/>
    </row>
    <row r="243" spans="4:20">
      <c r="D243" s="34" t="s">
        <v>1857</v>
      </c>
      <c r="F243" s="36" t="s">
        <v>295</v>
      </c>
      <c r="G243" s="5" t="s">
        <v>296</v>
      </c>
      <c r="I243" s="62">
        <v>-60000</v>
      </c>
      <c r="J243" s="62">
        <v>-42.553191489361701</v>
      </c>
      <c r="K243" s="62">
        <v>1410</v>
      </c>
      <c r="L243" s="100" t="s">
        <v>2204</v>
      </c>
      <c r="M243" s="5" t="s">
        <v>452</v>
      </c>
      <c r="N243" s="34" t="s">
        <v>464</v>
      </c>
      <c r="O243" s="5" t="s">
        <v>2193</v>
      </c>
      <c r="P243" s="5" t="s">
        <v>2205</v>
      </c>
      <c r="Q243" s="5" t="s">
        <v>2206</v>
      </c>
      <c r="S243" s="5" t="s">
        <v>2258</v>
      </c>
      <c r="T243"/>
    </row>
    <row r="244" spans="4:20">
      <c r="D244" s="34" t="s">
        <v>1857</v>
      </c>
      <c r="F244" s="36" t="s">
        <v>295</v>
      </c>
      <c r="G244" s="5" t="s">
        <v>296</v>
      </c>
      <c r="I244" s="62">
        <v>-250000</v>
      </c>
      <c r="J244" s="62">
        <v>-177.30496453900699</v>
      </c>
      <c r="K244" s="62">
        <v>1410</v>
      </c>
      <c r="L244" s="100" t="s">
        <v>2204</v>
      </c>
      <c r="M244" s="5" t="s">
        <v>452</v>
      </c>
      <c r="N244" s="34" t="s">
        <v>464</v>
      </c>
      <c r="O244" s="5" t="s">
        <v>2193</v>
      </c>
      <c r="P244" s="5" t="s">
        <v>2205</v>
      </c>
      <c r="Q244" s="5" t="s">
        <v>2206</v>
      </c>
      <c r="S244" s="5" t="s">
        <v>2259</v>
      </c>
      <c r="T244"/>
    </row>
    <row r="245" spans="4:20">
      <c r="D245" s="34" t="s">
        <v>1857</v>
      </c>
      <c r="F245" s="36" t="s">
        <v>295</v>
      </c>
      <c r="G245" s="5" t="s">
        <v>296</v>
      </c>
      <c r="I245" s="62">
        <v>-20000</v>
      </c>
      <c r="J245" s="62">
        <v>-14.1843971631206</v>
      </c>
      <c r="K245" s="62">
        <v>1410</v>
      </c>
      <c r="L245" s="100" t="s">
        <v>2204</v>
      </c>
      <c r="M245" s="5" t="s">
        <v>452</v>
      </c>
      <c r="N245" s="34" t="s">
        <v>464</v>
      </c>
      <c r="O245" s="5" t="s">
        <v>2193</v>
      </c>
      <c r="P245" s="5" t="s">
        <v>2205</v>
      </c>
      <c r="Q245" s="5" t="s">
        <v>2206</v>
      </c>
      <c r="S245" s="5" t="s">
        <v>2260</v>
      </c>
      <c r="T245"/>
    </row>
    <row r="246" spans="4:20">
      <c r="D246" s="34" t="s">
        <v>1857</v>
      </c>
      <c r="F246" s="36" t="s">
        <v>295</v>
      </c>
      <c r="G246" s="5" t="s">
        <v>296</v>
      </c>
      <c r="I246" s="62">
        <v>-20000</v>
      </c>
      <c r="J246" s="62">
        <v>-14.234875444839901</v>
      </c>
      <c r="K246" s="62">
        <v>1405</v>
      </c>
      <c r="L246" s="100" t="s">
        <v>2192</v>
      </c>
      <c r="M246" s="5" t="s">
        <v>452</v>
      </c>
      <c r="N246" s="34" t="s">
        <v>464</v>
      </c>
      <c r="O246" s="5" t="s">
        <v>2193</v>
      </c>
      <c r="P246" s="5" t="s">
        <v>2207</v>
      </c>
      <c r="Q246" s="5" t="s">
        <v>2208</v>
      </c>
      <c r="S246" s="5" t="s">
        <v>2261</v>
      </c>
      <c r="T246"/>
    </row>
    <row r="247" spans="4:20">
      <c r="D247" s="34" t="s">
        <v>1857</v>
      </c>
      <c r="F247" s="36" t="s">
        <v>295</v>
      </c>
      <c r="G247" s="5" t="s">
        <v>296</v>
      </c>
      <c r="I247" s="62">
        <v>-20000</v>
      </c>
      <c r="J247" s="62">
        <v>-14.1342756183746</v>
      </c>
      <c r="K247" s="62">
        <v>1415</v>
      </c>
      <c r="L247" s="100" t="s">
        <v>2214</v>
      </c>
      <c r="M247" s="5" t="s">
        <v>452</v>
      </c>
      <c r="N247" s="34" t="s">
        <v>464</v>
      </c>
      <c r="O247" s="5" t="s">
        <v>2193</v>
      </c>
      <c r="P247" s="5" t="s">
        <v>2215</v>
      </c>
      <c r="Q247" s="5" t="s">
        <v>2216</v>
      </c>
      <c r="S247" s="5" t="s">
        <v>2262</v>
      </c>
      <c r="T247"/>
    </row>
    <row r="248" spans="4:20">
      <c r="D248" s="34" t="s">
        <v>1857</v>
      </c>
      <c r="F248" s="36" t="s">
        <v>295</v>
      </c>
      <c r="G248" s="5" t="s">
        <v>296</v>
      </c>
      <c r="I248" s="62">
        <v>-40000</v>
      </c>
      <c r="J248" s="62">
        <v>-28.469750889679698</v>
      </c>
      <c r="K248" s="62">
        <v>1405</v>
      </c>
      <c r="L248" s="100" t="s">
        <v>2192</v>
      </c>
      <c r="M248" s="5" t="s">
        <v>452</v>
      </c>
      <c r="N248" s="34" t="s">
        <v>464</v>
      </c>
      <c r="O248" s="5" t="s">
        <v>2193</v>
      </c>
      <c r="P248" s="5" t="s">
        <v>2207</v>
      </c>
      <c r="Q248" s="5" t="s">
        <v>2208</v>
      </c>
      <c r="S248" s="5" t="s">
        <v>2263</v>
      </c>
      <c r="T248"/>
    </row>
    <row r="249" spans="4:20">
      <c r="D249" s="34" t="s">
        <v>1857</v>
      </c>
      <c r="F249" s="36" t="s">
        <v>295</v>
      </c>
      <c r="G249" s="5" t="s">
        <v>296</v>
      </c>
      <c r="I249" s="62">
        <v>-40000</v>
      </c>
      <c r="J249" s="62">
        <v>-28.571428571428601</v>
      </c>
      <c r="K249" s="62">
        <v>1400</v>
      </c>
      <c r="L249" s="100" t="s">
        <v>2218</v>
      </c>
      <c r="M249" s="5" t="s">
        <v>452</v>
      </c>
      <c r="N249" s="34" t="s">
        <v>464</v>
      </c>
      <c r="O249" s="5" t="s">
        <v>2193</v>
      </c>
      <c r="P249" s="5" t="s">
        <v>2219</v>
      </c>
      <c r="Q249" s="5" t="s">
        <v>2220</v>
      </c>
      <c r="S249" s="5" t="s">
        <v>2278</v>
      </c>
      <c r="T249"/>
    </row>
    <row r="250" spans="4:20">
      <c r="D250" s="34" t="s">
        <v>1857</v>
      </c>
      <c r="F250" s="36" t="s">
        <v>295</v>
      </c>
      <c r="G250" s="5" t="s">
        <v>296</v>
      </c>
      <c r="I250" s="62">
        <v>-20000</v>
      </c>
      <c r="J250" s="62">
        <v>-14.285714285714301</v>
      </c>
      <c r="K250" s="62">
        <v>1400</v>
      </c>
      <c r="L250" s="100" t="s">
        <v>2218</v>
      </c>
      <c r="M250" s="5" t="s">
        <v>452</v>
      </c>
      <c r="N250" s="34" t="s">
        <v>464</v>
      </c>
      <c r="O250" s="5" t="s">
        <v>2193</v>
      </c>
      <c r="P250" s="5" t="s">
        <v>2219</v>
      </c>
      <c r="Q250" s="5" t="s">
        <v>2220</v>
      </c>
      <c r="S250" s="5" t="s">
        <v>2279</v>
      </c>
      <c r="T250"/>
    </row>
    <row r="251" spans="4:20">
      <c r="D251" s="34" t="s">
        <v>1857</v>
      </c>
      <c r="F251" s="36" t="s">
        <v>295</v>
      </c>
      <c r="G251" s="5" t="s">
        <v>296</v>
      </c>
      <c r="I251" s="62">
        <v>-100000</v>
      </c>
      <c r="J251" s="62">
        <v>-71.428571428571402</v>
      </c>
      <c r="K251" s="62">
        <v>1400</v>
      </c>
      <c r="L251" s="100" t="s">
        <v>2218</v>
      </c>
      <c r="M251" s="5" t="s">
        <v>452</v>
      </c>
      <c r="N251" s="34" t="s">
        <v>464</v>
      </c>
      <c r="O251" s="5" t="s">
        <v>2193</v>
      </c>
      <c r="P251" s="5" t="s">
        <v>2219</v>
      </c>
      <c r="Q251" s="5" t="s">
        <v>2220</v>
      </c>
      <c r="S251" s="5" t="s">
        <v>2280</v>
      </c>
      <c r="T251"/>
    </row>
    <row r="252" spans="4:20">
      <c r="D252" s="34" t="s">
        <v>1857</v>
      </c>
      <c r="F252" s="36" t="s">
        <v>295</v>
      </c>
      <c r="G252" s="5" t="s">
        <v>296</v>
      </c>
      <c r="I252" s="62">
        <v>-210750</v>
      </c>
      <c r="J252" s="62">
        <v>-150.53571428571399</v>
      </c>
      <c r="K252" s="62">
        <v>1400</v>
      </c>
      <c r="L252" s="100" t="s">
        <v>2218</v>
      </c>
      <c r="M252" s="5" t="s">
        <v>452</v>
      </c>
      <c r="N252" s="34" t="s">
        <v>464</v>
      </c>
      <c r="O252" s="5" t="s">
        <v>2193</v>
      </c>
      <c r="P252" s="5" t="s">
        <v>2219</v>
      </c>
      <c r="Q252" s="5" t="s">
        <v>2220</v>
      </c>
      <c r="S252" s="5" t="s">
        <v>2281</v>
      </c>
      <c r="T252"/>
    </row>
    <row r="253" spans="4:20">
      <c r="D253" s="34" t="s">
        <v>1857</v>
      </c>
      <c r="F253" s="36" t="s">
        <v>295</v>
      </c>
      <c r="G253" s="5" t="s">
        <v>296</v>
      </c>
      <c r="I253" s="62">
        <v>-57100</v>
      </c>
      <c r="J253" s="62">
        <v>-40.353356890459402</v>
      </c>
      <c r="K253" s="62">
        <v>1415</v>
      </c>
      <c r="L253" s="100" t="s">
        <v>2214</v>
      </c>
      <c r="M253" s="5" t="s">
        <v>452</v>
      </c>
      <c r="N253" s="34" t="s">
        <v>464</v>
      </c>
      <c r="O253" s="5" t="s">
        <v>2193</v>
      </c>
      <c r="P253" s="5" t="s">
        <v>2215</v>
      </c>
      <c r="Q253" s="5" t="s">
        <v>2216</v>
      </c>
      <c r="S253" s="5" t="s">
        <v>1327</v>
      </c>
      <c r="T253"/>
    </row>
    <row r="254" spans="4:20">
      <c r="D254" s="34" t="s">
        <v>1857</v>
      </c>
      <c r="F254" s="36" t="s">
        <v>295</v>
      </c>
      <c r="G254" s="5" t="s">
        <v>296</v>
      </c>
      <c r="I254" s="62">
        <v>-900</v>
      </c>
      <c r="J254" s="62">
        <v>-0.63604240282685498</v>
      </c>
      <c r="K254" s="62">
        <v>1415</v>
      </c>
      <c r="L254" s="100" t="s">
        <v>2214</v>
      </c>
      <c r="M254" s="5" t="s">
        <v>452</v>
      </c>
      <c r="N254" s="34" t="s">
        <v>464</v>
      </c>
      <c r="O254" s="5" t="s">
        <v>2193</v>
      </c>
      <c r="P254" s="5" t="s">
        <v>2215</v>
      </c>
      <c r="Q254" s="5" t="s">
        <v>2216</v>
      </c>
      <c r="S254" s="5" t="s">
        <v>637</v>
      </c>
      <c r="T254"/>
    </row>
    <row r="255" spans="4:20">
      <c r="D255" s="34" t="s">
        <v>1857</v>
      </c>
      <c r="F255" s="36" t="s">
        <v>295</v>
      </c>
      <c r="G255" s="5" t="s">
        <v>296</v>
      </c>
      <c r="I255" s="62">
        <v>-78000</v>
      </c>
      <c r="J255" s="62">
        <v>-55.714285714285701</v>
      </c>
      <c r="K255" s="62">
        <v>1400</v>
      </c>
      <c r="L255" s="100" t="s">
        <v>2218</v>
      </c>
      <c r="M255" s="5" t="s">
        <v>452</v>
      </c>
      <c r="N255" s="34" t="s">
        <v>464</v>
      </c>
      <c r="O255" s="5" t="s">
        <v>2193</v>
      </c>
      <c r="P255" s="5" t="s">
        <v>2219</v>
      </c>
      <c r="Q255" s="5" t="s">
        <v>2220</v>
      </c>
      <c r="S255" s="5" t="s">
        <v>1671</v>
      </c>
      <c r="T255"/>
    </row>
    <row r="256" spans="4:20">
      <c r="D256" s="34" t="s">
        <v>1857</v>
      </c>
      <c r="F256" s="36" t="s">
        <v>295</v>
      </c>
      <c r="G256" s="5" t="s">
        <v>296</v>
      </c>
      <c r="I256" s="62">
        <v>-104000</v>
      </c>
      <c r="J256" s="62">
        <v>-74.285714285714306</v>
      </c>
      <c r="K256" s="62">
        <v>1400</v>
      </c>
      <c r="L256" s="100" t="s">
        <v>2218</v>
      </c>
      <c r="M256" s="5" t="s">
        <v>452</v>
      </c>
      <c r="N256" s="34" t="s">
        <v>464</v>
      </c>
      <c r="O256" s="5" t="s">
        <v>2193</v>
      </c>
      <c r="P256" s="5" t="s">
        <v>2219</v>
      </c>
      <c r="Q256" s="5" t="s">
        <v>2220</v>
      </c>
      <c r="S256" s="5" t="s">
        <v>1671</v>
      </c>
      <c r="T256"/>
    </row>
    <row r="257" spans="4:20">
      <c r="D257" s="34" t="s">
        <v>1857</v>
      </c>
      <c r="F257" s="36" t="s">
        <v>295</v>
      </c>
      <c r="G257" s="5" t="s">
        <v>296</v>
      </c>
      <c r="I257" s="62">
        <v>-16000</v>
      </c>
      <c r="J257" s="62">
        <v>-11.307420494699601</v>
      </c>
      <c r="K257" s="62">
        <v>1415</v>
      </c>
      <c r="L257" s="100" t="s">
        <v>2214</v>
      </c>
      <c r="M257" s="5" t="s">
        <v>452</v>
      </c>
      <c r="N257" s="34" t="s">
        <v>464</v>
      </c>
      <c r="O257" s="5" t="s">
        <v>2193</v>
      </c>
      <c r="P257" s="5" t="s">
        <v>2215</v>
      </c>
      <c r="Q257" s="5" t="s">
        <v>2216</v>
      </c>
      <c r="S257" s="5" t="s">
        <v>2288</v>
      </c>
      <c r="T257"/>
    </row>
    <row r="258" spans="4:20">
      <c r="D258" s="34" t="s">
        <v>1857</v>
      </c>
      <c r="F258" s="36" t="s">
        <v>295</v>
      </c>
      <c r="G258" s="5" t="s">
        <v>296</v>
      </c>
      <c r="I258" s="62">
        <v>-10400</v>
      </c>
      <c r="J258" s="62">
        <v>-7.3498233215547701</v>
      </c>
      <c r="K258" s="62">
        <v>1415</v>
      </c>
      <c r="L258" s="100" t="s">
        <v>2214</v>
      </c>
      <c r="M258" s="5" t="s">
        <v>452</v>
      </c>
      <c r="N258" s="34" t="s">
        <v>464</v>
      </c>
      <c r="O258" s="5" t="s">
        <v>2193</v>
      </c>
      <c r="P258" s="5" t="s">
        <v>2215</v>
      </c>
      <c r="Q258" s="5" t="s">
        <v>2216</v>
      </c>
      <c r="S258" s="5" t="s">
        <v>634</v>
      </c>
      <c r="T258"/>
    </row>
    <row r="259" spans="4:20">
      <c r="D259" s="34" t="s">
        <v>1857</v>
      </c>
      <c r="F259" s="36" t="s">
        <v>295</v>
      </c>
      <c r="G259" s="5" t="s">
        <v>296</v>
      </c>
      <c r="I259" s="62">
        <v>-165334</v>
      </c>
      <c r="J259" s="62">
        <v>-116.84381625441701</v>
      </c>
      <c r="K259" s="62">
        <v>1415</v>
      </c>
      <c r="L259" s="100" t="s">
        <v>2214</v>
      </c>
      <c r="M259" s="5" t="s">
        <v>452</v>
      </c>
      <c r="N259" s="34" t="s">
        <v>464</v>
      </c>
      <c r="O259" s="5" t="s">
        <v>2193</v>
      </c>
      <c r="P259" s="5" t="s">
        <v>2215</v>
      </c>
      <c r="Q259" s="5" t="s">
        <v>2216</v>
      </c>
      <c r="S259" s="5" t="s">
        <v>634</v>
      </c>
      <c r="T259"/>
    </row>
    <row r="260" spans="4:20">
      <c r="D260" s="34" t="s">
        <v>1857</v>
      </c>
      <c r="F260" s="36" t="s">
        <v>295</v>
      </c>
      <c r="G260" s="5" t="s">
        <v>296</v>
      </c>
      <c r="I260" s="62">
        <v>-117150</v>
      </c>
      <c r="J260" s="62">
        <v>-82.791519434628995</v>
      </c>
      <c r="K260" s="62">
        <v>1415</v>
      </c>
      <c r="L260" s="100" t="s">
        <v>2214</v>
      </c>
      <c r="M260" s="5" t="s">
        <v>452</v>
      </c>
      <c r="N260" s="34" t="s">
        <v>464</v>
      </c>
      <c r="O260" s="5" t="s">
        <v>2193</v>
      </c>
      <c r="P260" s="5" t="s">
        <v>2215</v>
      </c>
      <c r="Q260" s="5" t="s">
        <v>2216</v>
      </c>
      <c r="S260" s="5" t="s">
        <v>2289</v>
      </c>
      <c r="T260"/>
    </row>
    <row r="261" spans="4:20">
      <c r="D261" s="34" t="s">
        <v>1857</v>
      </c>
      <c r="F261" s="36" t="s">
        <v>295</v>
      </c>
      <c r="G261" s="5" t="s">
        <v>296</v>
      </c>
      <c r="I261" s="62">
        <v>-48000</v>
      </c>
      <c r="J261" s="62">
        <v>-34.042553191489397</v>
      </c>
      <c r="K261" s="62">
        <v>1410</v>
      </c>
      <c r="L261" s="100" t="s">
        <v>2204</v>
      </c>
      <c r="M261" s="5" t="s">
        <v>452</v>
      </c>
      <c r="N261" s="34" t="s">
        <v>464</v>
      </c>
      <c r="O261" s="5" t="s">
        <v>2193</v>
      </c>
      <c r="P261" s="5" t="s">
        <v>2205</v>
      </c>
      <c r="Q261" s="5" t="s">
        <v>2206</v>
      </c>
      <c r="S261" s="5" t="s">
        <v>2290</v>
      </c>
      <c r="T261"/>
    </row>
    <row r="262" spans="4:20">
      <c r="D262" s="34" t="s">
        <v>1857</v>
      </c>
      <c r="F262" s="36" t="s">
        <v>295</v>
      </c>
      <c r="G262" s="5" t="s">
        <v>296</v>
      </c>
      <c r="I262" s="62">
        <v>-15700</v>
      </c>
      <c r="J262" s="62">
        <v>-11.095406360424001</v>
      </c>
      <c r="K262" s="62">
        <v>1415</v>
      </c>
      <c r="L262" s="100" t="s">
        <v>2214</v>
      </c>
      <c r="M262" s="5" t="s">
        <v>452</v>
      </c>
      <c r="N262" s="34" t="s">
        <v>464</v>
      </c>
      <c r="O262" s="5" t="s">
        <v>2193</v>
      </c>
      <c r="P262" s="5" t="s">
        <v>2215</v>
      </c>
      <c r="Q262" s="5" t="s">
        <v>2216</v>
      </c>
      <c r="S262" s="5" t="s">
        <v>2291</v>
      </c>
      <c r="T262"/>
    </row>
    <row r="263" spans="4:20">
      <c r="D263" s="34" t="s">
        <v>1857</v>
      </c>
      <c r="F263" s="36" t="s">
        <v>295</v>
      </c>
      <c r="G263" s="5" t="s">
        <v>296</v>
      </c>
      <c r="I263" s="62">
        <v>-15500</v>
      </c>
      <c r="J263" s="62">
        <v>-10.992907801418401</v>
      </c>
      <c r="K263" s="62">
        <v>1410</v>
      </c>
      <c r="L263" s="100" t="s">
        <v>2204</v>
      </c>
      <c r="M263" s="5" t="s">
        <v>452</v>
      </c>
      <c r="N263" s="34" t="s">
        <v>464</v>
      </c>
      <c r="O263" s="5" t="s">
        <v>2193</v>
      </c>
      <c r="P263" s="5" t="s">
        <v>2205</v>
      </c>
      <c r="Q263" s="5" t="s">
        <v>2206</v>
      </c>
      <c r="S263" s="5" t="s">
        <v>2292</v>
      </c>
      <c r="T263"/>
    </row>
    <row r="264" spans="4:20">
      <c r="D264" s="34" t="s">
        <v>1857</v>
      </c>
      <c r="F264" s="36" t="s">
        <v>295</v>
      </c>
      <c r="G264" s="5" t="s">
        <v>296</v>
      </c>
      <c r="I264" s="62">
        <v>-4700</v>
      </c>
      <c r="J264" s="62">
        <v>-3.3333333333333299</v>
      </c>
      <c r="K264" s="62">
        <v>1410</v>
      </c>
      <c r="L264" s="100" t="s">
        <v>2204</v>
      </c>
      <c r="M264" s="5" t="s">
        <v>452</v>
      </c>
      <c r="N264" s="34" t="s">
        <v>464</v>
      </c>
      <c r="O264" s="5" t="s">
        <v>2193</v>
      </c>
      <c r="P264" s="5" t="s">
        <v>2205</v>
      </c>
      <c r="Q264" s="5" t="s">
        <v>2206</v>
      </c>
      <c r="S264" s="5" t="s">
        <v>2293</v>
      </c>
      <c r="T264"/>
    </row>
    <row r="265" spans="4:20">
      <c r="D265" s="34" t="s">
        <v>1857</v>
      </c>
      <c r="F265" s="36" t="s">
        <v>295</v>
      </c>
      <c r="G265" s="5" t="s">
        <v>296</v>
      </c>
      <c r="I265" s="62">
        <v>-48600</v>
      </c>
      <c r="J265" s="62">
        <v>-34.714285714285701</v>
      </c>
      <c r="K265" s="62">
        <v>1400</v>
      </c>
      <c r="L265" s="100" t="s">
        <v>2218</v>
      </c>
      <c r="M265" s="5" t="s">
        <v>452</v>
      </c>
      <c r="N265" s="34" t="s">
        <v>464</v>
      </c>
      <c r="O265" s="5" t="s">
        <v>2193</v>
      </c>
      <c r="P265" s="5" t="s">
        <v>2219</v>
      </c>
      <c r="Q265" s="5" t="s">
        <v>2220</v>
      </c>
      <c r="S265" s="5" t="s">
        <v>2057</v>
      </c>
      <c r="T265"/>
    </row>
    <row r="266" spans="4:20">
      <c r="D266" s="34" t="s">
        <v>1857</v>
      </c>
      <c r="F266" s="36" t="s">
        <v>295</v>
      </c>
      <c r="G266" s="5" t="s">
        <v>296</v>
      </c>
      <c r="I266" s="62">
        <v>-33600</v>
      </c>
      <c r="J266" s="62">
        <v>-23.829787234042598</v>
      </c>
      <c r="K266" s="62">
        <v>1410</v>
      </c>
      <c r="L266" s="100" t="s">
        <v>2204</v>
      </c>
      <c r="M266" s="5" t="s">
        <v>452</v>
      </c>
      <c r="N266" s="34" t="s">
        <v>464</v>
      </c>
      <c r="O266" s="5" t="s">
        <v>2193</v>
      </c>
      <c r="P266" s="5" t="s">
        <v>2205</v>
      </c>
      <c r="Q266" s="5" t="s">
        <v>2206</v>
      </c>
      <c r="S266" s="5" t="s">
        <v>2294</v>
      </c>
      <c r="T266"/>
    </row>
    <row r="267" spans="4:20">
      <c r="D267" s="34" t="s">
        <v>1857</v>
      </c>
      <c r="F267" s="36" t="s">
        <v>295</v>
      </c>
      <c r="G267" s="5" t="s">
        <v>296</v>
      </c>
      <c r="I267" s="62">
        <v>700000</v>
      </c>
      <c r="J267" s="62">
        <v>500</v>
      </c>
      <c r="K267" s="62">
        <v>1400</v>
      </c>
      <c r="L267" s="100" t="s">
        <v>2358</v>
      </c>
      <c r="M267" s="5" t="s">
        <v>452</v>
      </c>
      <c r="N267" s="34" t="s">
        <v>464</v>
      </c>
      <c r="O267" s="5" t="s">
        <v>2351</v>
      </c>
      <c r="P267" s="5" t="s">
        <v>2359</v>
      </c>
      <c r="Q267" s="5" t="s">
        <v>2360</v>
      </c>
      <c r="S267" s="5" t="s">
        <v>2360</v>
      </c>
      <c r="T267"/>
    </row>
    <row r="268" spans="4:20">
      <c r="D268" s="34" t="s">
        <v>1857</v>
      </c>
      <c r="F268" s="36" t="s">
        <v>297</v>
      </c>
      <c r="G268" s="5" t="s">
        <v>298</v>
      </c>
      <c r="I268" s="62">
        <v>9646000</v>
      </c>
      <c r="J268" s="62">
        <v>6890</v>
      </c>
      <c r="K268" s="62">
        <v>1400</v>
      </c>
      <c r="L268" s="100" t="s">
        <v>2218</v>
      </c>
      <c r="M268" s="5" t="s">
        <v>452</v>
      </c>
      <c r="N268" s="34" t="s">
        <v>464</v>
      </c>
      <c r="O268" s="5" t="s">
        <v>2188</v>
      </c>
      <c r="P268" s="5" t="s">
        <v>2244</v>
      </c>
      <c r="Q268" s="5" t="s">
        <v>2245</v>
      </c>
      <c r="S268" s="5" t="s">
        <v>563</v>
      </c>
      <c r="T268"/>
    </row>
    <row r="269" spans="4:20">
      <c r="D269" s="34" t="s">
        <v>1857</v>
      </c>
      <c r="F269" s="36" t="s">
        <v>297</v>
      </c>
      <c r="G269" s="5" t="s">
        <v>298</v>
      </c>
      <c r="I269" s="62">
        <v>13628500</v>
      </c>
      <c r="J269" s="62">
        <v>9700</v>
      </c>
      <c r="K269" s="62">
        <v>1405</v>
      </c>
      <c r="L269" s="100" t="s">
        <v>2192</v>
      </c>
      <c r="M269" s="5" t="s">
        <v>452</v>
      </c>
      <c r="N269" s="34" t="s">
        <v>464</v>
      </c>
      <c r="O269" s="5" t="s">
        <v>2188</v>
      </c>
      <c r="P269" s="5" t="s">
        <v>2246</v>
      </c>
      <c r="Q269" s="5" t="s">
        <v>2247</v>
      </c>
      <c r="S269" s="5" t="s">
        <v>563</v>
      </c>
      <c r="T269"/>
    </row>
    <row r="270" spans="4:20">
      <c r="D270" s="34" t="s">
        <v>1857</v>
      </c>
      <c r="F270" s="36" t="s">
        <v>297</v>
      </c>
      <c r="G270" s="5" t="s">
        <v>298</v>
      </c>
      <c r="I270" s="62">
        <v>-1638000</v>
      </c>
      <c r="J270" s="62">
        <v>-1170</v>
      </c>
      <c r="K270" s="62">
        <v>1400</v>
      </c>
      <c r="L270" s="100" t="s">
        <v>2218</v>
      </c>
      <c r="M270" s="5" t="s">
        <v>452</v>
      </c>
      <c r="N270" s="34" t="s">
        <v>464</v>
      </c>
      <c r="O270" s="5" t="s">
        <v>2193</v>
      </c>
      <c r="P270" s="5" t="s">
        <v>2264</v>
      </c>
      <c r="Q270" s="5" t="s">
        <v>2265</v>
      </c>
      <c r="S270" s="5" t="s">
        <v>2266</v>
      </c>
      <c r="T270"/>
    </row>
    <row r="271" spans="4:20">
      <c r="D271" s="34" t="s">
        <v>1857</v>
      </c>
      <c r="F271" s="36" t="s">
        <v>297</v>
      </c>
      <c r="G271" s="5" t="s">
        <v>298</v>
      </c>
      <c r="I271" s="62">
        <v>-1756250</v>
      </c>
      <c r="J271" s="62">
        <v>-1250</v>
      </c>
      <c r="K271" s="62">
        <v>1405</v>
      </c>
      <c r="L271" s="100" t="s">
        <v>2192</v>
      </c>
      <c r="M271" s="5" t="s">
        <v>452</v>
      </c>
      <c r="N271" s="34" t="s">
        <v>464</v>
      </c>
      <c r="O271" s="5" t="s">
        <v>2193</v>
      </c>
      <c r="P271" s="5" t="s">
        <v>2267</v>
      </c>
      <c r="Q271" s="5" t="s">
        <v>2268</v>
      </c>
      <c r="S271" s="5" t="s">
        <v>2269</v>
      </c>
      <c r="T271"/>
    </row>
    <row r="272" spans="4:20">
      <c r="D272" s="34" t="s">
        <v>1857</v>
      </c>
      <c r="F272" s="36" t="s">
        <v>297</v>
      </c>
      <c r="G272" s="5" t="s">
        <v>298</v>
      </c>
      <c r="I272" s="62">
        <v>-843000</v>
      </c>
      <c r="J272" s="62">
        <v>-600</v>
      </c>
      <c r="K272" s="62">
        <v>1405</v>
      </c>
      <c r="L272" s="100" t="s">
        <v>2192</v>
      </c>
      <c r="M272" s="5" t="s">
        <v>452</v>
      </c>
      <c r="N272" s="34" t="s">
        <v>464</v>
      </c>
      <c r="O272" s="5" t="s">
        <v>2193</v>
      </c>
      <c r="P272" s="5" t="s">
        <v>2267</v>
      </c>
      <c r="Q272" s="5" t="s">
        <v>2268</v>
      </c>
      <c r="S272" s="5" t="s">
        <v>2270</v>
      </c>
      <c r="T272"/>
    </row>
    <row r="273" spans="4:20">
      <c r="D273" s="34" t="s">
        <v>1857</v>
      </c>
      <c r="F273" s="36" t="s">
        <v>297</v>
      </c>
      <c r="G273" s="5" t="s">
        <v>298</v>
      </c>
      <c r="I273" s="62">
        <v>-1974000</v>
      </c>
      <c r="J273" s="62">
        <v>-1400</v>
      </c>
      <c r="K273" s="62">
        <v>1410</v>
      </c>
      <c r="L273" s="100" t="s">
        <v>2204</v>
      </c>
      <c r="M273" s="5" t="s">
        <v>452</v>
      </c>
      <c r="N273" s="34" t="s">
        <v>464</v>
      </c>
      <c r="O273" s="5" t="s">
        <v>2193</v>
      </c>
      <c r="P273" s="5" t="s">
        <v>2271</v>
      </c>
      <c r="Q273" s="5" t="s">
        <v>2272</v>
      </c>
      <c r="S273" s="5" t="s">
        <v>2273</v>
      </c>
      <c r="T273"/>
    </row>
    <row r="274" spans="4:20">
      <c r="D274" s="34" t="s">
        <v>1857</v>
      </c>
      <c r="F274" s="36" t="s">
        <v>297</v>
      </c>
      <c r="G274" s="5" t="s">
        <v>298</v>
      </c>
      <c r="I274" s="62">
        <v>-2458750</v>
      </c>
      <c r="J274" s="62">
        <v>-1750</v>
      </c>
      <c r="K274" s="62">
        <v>1405</v>
      </c>
      <c r="L274" s="100" t="s">
        <v>2192</v>
      </c>
      <c r="M274" s="5" t="s">
        <v>452</v>
      </c>
      <c r="N274" s="34" t="s">
        <v>464</v>
      </c>
      <c r="O274" s="5" t="s">
        <v>2193</v>
      </c>
      <c r="P274" s="5" t="s">
        <v>2267</v>
      </c>
      <c r="Q274" s="5" t="s">
        <v>2268</v>
      </c>
      <c r="S274" s="5" t="s">
        <v>2274</v>
      </c>
      <c r="T274"/>
    </row>
    <row r="275" spans="4:20">
      <c r="D275" s="34" t="s">
        <v>1857</v>
      </c>
      <c r="F275" s="36" t="s">
        <v>297</v>
      </c>
      <c r="G275" s="5" t="s">
        <v>298</v>
      </c>
      <c r="I275" s="62">
        <v>-1615750</v>
      </c>
      <c r="J275" s="62">
        <v>-1150</v>
      </c>
      <c r="K275" s="62">
        <v>1405</v>
      </c>
      <c r="L275" s="100" t="s">
        <v>2192</v>
      </c>
      <c r="M275" s="5" t="s">
        <v>452</v>
      </c>
      <c r="N275" s="34" t="s">
        <v>464</v>
      </c>
      <c r="O275" s="5" t="s">
        <v>2193</v>
      </c>
      <c r="P275" s="5" t="s">
        <v>2267</v>
      </c>
      <c r="Q275" s="5" t="s">
        <v>2268</v>
      </c>
      <c r="S275" s="5" t="s">
        <v>2275</v>
      </c>
      <c r="T275"/>
    </row>
    <row r="276" spans="4:20">
      <c r="D276" s="34" t="s">
        <v>1857</v>
      </c>
      <c r="F276" s="36" t="s">
        <v>297</v>
      </c>
      <c r="G276" s="5" t="s">
        <v>298</v>
      </c>
      <c r="I276" s="62">
        <v>-1903500</v>
      </c>
      <c r="J276" s="62">
        <v>-1350</v>
      </c>
      <c r="K276" s="62">
        <v>1410</v>
      </c>
      <c r="L276" s="100" t="s">
        <v>2204</v>
      </c>
      <c r="M276" s="5" t="s">
        <v>452</v>
      </c>
      <c r="N276" s="34" t="s">
        <v>464</v>
      </c>
      <c r="O276" s="5" t="s">
        <v>2193</v>
      </c>
      <c r="P276" s="5" t="s">
        <v>2271</v>
      </c>
      <c r="Q276" s="5" t="s">
        <v>2272</v>
      </c>
      <c r="S276" s="5" t="s">
        <v>2276</v>
      </c>
      <c r="T276"/>
    </row>
    <row r="277" spans="4:20">
      <c r="D277" s="34" t="s">
        <v>1857</v>
      </c>
      <c r="F277" s="36" t="s">
        <v>297</v>
      </c>
      <c r="G277" s="5" t="s">
        <v>298</v>
      </c>
      <c r="I277" s="62">
        <v>-1405000</v>
      </c>
      <c r="J277" s="62">
        <v>-1000</v>
      </c>
      <c r="K277" s="62">
        <v>1405</v>
      </c>
      <c r="L277" s="100" t="s">
        <v>2192</v>
      </c>
      <c r="M277" s="5" t="s">
        <v>452</v>
      </c>
      <c r="N277" s="34" t="s">
        <v>464</v>
      </c>
      <c r="O277" s="5" t="s">
        <v>2193</v>
      </c>
      <c r="P277" s="5" t="s">
        <v>2267</v>
      </c>
      <c r="Q277" s="5" t="s">
        <v>2268</v>
      </c>
      <c r="S277" s="5" t="s">
        <v>2277</v>
      </c>
      <c r="T277"/>
    </row>
    <row r="278" spans="4:20">
      <c r="D278" s="34" t="s">
        <v>1857</v>
      </c>
      <c r="F278" s="36" t="s">
        <v>297</v>
      </c>
      <c r="G278" s="5" t="s">
        <v>298</v>
      </c>
      <c r="I278" s="62">
        <v>-2688000</v>
      </c>
      <c r="J278" s="62">
        <v>-1920</v>
      </c>
      <c r="K278" s="62">
        <v>1400</v>
      </c>
      <c r="L278" s="100" t="s">
        <v>2218</v>
      </c>
      <c r="M278" s="5" t="s">
        <v>452</v>
      </c>
      <c r="N278" s="34" t="s">
        <v>464</v>
      </c>
      <c r="O278" s="5" t="s">
        <v>2193</v>
      </c>
      <c r="P278" s="5" t="s">
        <v>2264</v>
      </c>
      <c r="Q278" s="5" t="s">
        <v>2265</v>
      </c>
      <c r="S278" s="5" t="s">
        <v>2282</v>
      </c>
      <c r="T278"/>
    </row>
    <row r="279" spans="4:20">
      <c r="D279" s="34" t="s">
        <v>1857</v>
      </c>
      <c r="F279" s="36" t="s">
        <v>297</v>
      </c>
      <c r="G279" s="5" t="s">
        <v>298</v>
      </c>
      <c r="I279" s="62">
        <v>-1535275</v>
      </c>
      <c r="J279" s="62">
        <v>-1085</v>
      </c>
      <c r="K279" s="62">
        <v>1415</v>
      </c>
      <c r="L279" s="100" t="s">
        <v>2214</v>
      </c>
      <c r="M279" s="5" t="s">
        <v>452</v>
      </c>
      <c r="N279" s="34" t="s">
        <v>464</v>
      </c>
      <c r="O279" s="5" t="s">
        <v>2193</v>
      </c>
      <c r="P279" s="5" t="s">
        <v>2283</v>
      </c>
      <c r="Q279" s="5" t="s">
        <v>2284</v>
      </c>
      <c r="S279" s="5" t="s">
        <v>2285</v>
      </c>
      <c r="T279"/>
    </row>
    <row r="280" spans="4:20">
      <c r="D280" s="34" t="s">
        <v>1857</v>
      </c>
      <c r="F280" s="36" t="s">
        <v>297</v>
      </c>
      <c r="G280" s="5" t="s">
        <v>298</v>
      </c>
      <c r="I280" s="62">
        <v>-1584800</v>
      </c>
      <c r="J280" s="62">
        <v>-1120</v>
      </c>
      <c r="K280" s="62">
        <v>1415</v>
      </c>
      <c r="L280" s="100" t="s">
        <v>2214</v>
      </c>
      <c r="M280" s="5" t="s">
        <v>452</v>
      </c>
      <c r="N280" s="34" t="s">
        <v>464</v>
      </c>
      <c r="O280" s="5" t="s">
        <v>2193</v>
      </c>
      <c r="P280" s="5" t="s">
        <v>2283</v>
      </c>
      <c r="Q280" s="5" t="s">
        <v>2284</v>
      </c>
      <c r="S280" s="5" t="s">
        <v>2286</v>
      </c>
      <c r="T280"/>
    </row>
    <row r="281" spans="4:20">
      <c r="D281" s="34" t="s">
        <v>1857</v>
      </c>
      <c r="F281" s="36" t="s">
        <v>297</v>
      </c>
      <c r="G281" s="5" t="s">
        <v>298</v>
      </c>
      <c r="I281" s="62">
        <v>-2292300</v>
      </c>
      <c r="J281" s="62">
        <v>-1620</v>
      </c>
      <c r="K281" s="62">
        <v>1415</v>
      </c>
      <c r="L281" s="100" t="s">
        <v>2214</v>
      </c>
      <c r="M281" s="5" t="s">
        <v>452</v>
      </c>
      <c r="N281" s="34" t="s">
        <v>464</v>
      </c>
      <c r="O281" s="5" t="s">
        <v>2193</v>
      </c>
      <c r="P281" s="5" t="s">
        <v>2283</v>
      </c>
      <c r="Q281" s="5" t="s">
        <v>2284</v>
      </c>
      <c r="S281" s="5" t="s">
        <v>2287</v>
      </c>
      <c r="T281"/>
    </row>
    <row r="282" spans="4:20">
      <c r="D282" s="34" t="s">
        <v>1857</v>
      </c>
      <c r="F282" s="36" t="s">
        <v>297</v>
      </c>
      <c r="G282" s="5" t="s">
        <v>298</v>
      </c>
      <c r="I282" s="62">
        <v>169200</v>
      </c>
      <c r="J282" s="62">
        <v>120</v>
      </c>
      <c r="K282" s="62">
        <v>1410</v>
      </c>
      <c r="L282" s="100" t="s">
        <v>2204</v>
      </c>
      <c r="M282" s="5" t="s">
        <v>1416</v>
      </c>
      <c r="N282" s="34" t="s">
        <v>464</v>
      </c>
      <c r="O282" s="5" t="s">
        <v>2348</v>
      </c>
      <c r="P282" s="5" t="s">
        <v>560</v>
      </c>
      <c r="Q282" s="5" t="s">
        <v>2349</v>
      </c>
      <c r="S282" s="5" t="s">
        <v>2349</v>
      </c>
      <c r="T282" s="305" t="s">
        <v>2350</v>
      </c>
    </row>
    <row r="283" spans="4:20">
      <c r="D283" s="34" t="s">
        <v>1857</v>
      </c>
      <c r="F283" s="36" t="s">
        <v>297</v>
      </c>
      <c r="G283" s="5" t="s">
        <v>298</v>
      </c>
      <c r="I283" s="62">
        <v>411600</v>
      </c>
      <c r="J283" s="62">
        <v>294</v>
      </c>
      <c r="K283" s="62">
        <v>1400</v>
      </c>
      <c r="L283" s="100" t="s">
        <v>2218</v>
      </c>
      <c r="M283" s="5" t="s">
        <v>1416</v>
      </c>
      <c r="N283" s="34" t="s">
        <v>464</v>
      </c>
      <c r="O283" s="5" t="s">
        <v>2348</v>
      </c>
      <c r="P283" s="5" t="s">
        <v>581</v>
      </c>
      <c r="Q283" s="5" t="s">
        <v>2354</v>
      </c>
      <c r="S283" s="5" t="s">
        <v>2354</v>
      </c>
      <c r="T283" s="305" t="s">
        <v>2355</v>
      </c>
    </row>
    <row r="284" spans="4:20">
      <c r="D284" s="34" t="s">
        <v>1857</v>
      </c>
      <c r="F284" s="36" t="s">
        <v>297</v>
      </c>
      <c r="G284" s="5" t="s">
        <v>298</v>
      </c>
      <c r="I284" s="62">
        <v>-700000</v>
      </c>
      <c r="J284" s="62">
        <v>-500</v>
      </c>
      <c r="K284" s="62">
        <v>1400</v>
      </c>
      <c r="L284" s="100" t="s">
        <v>2358</v>
      </c>
      <c r="M284" s="5" t="s">
        <v>452</v>
      </c>
      <c r="N284" s="34" t="s">
        <v>464</v>
      </c>
      <c r="O284" s="5" t="s">
        <v>2351</v>
      </c>
      <c r="P284" s="5" t="s">
        <v>2359</v>
      </c>
      <c r="Q284" s="5" t="s">
        <v>2360</v>
      </c>
      <c r="S284" s="5" t="s">
        <v>2360</v>
      </c>
      <c r="T284"/>
    </row>
    <row r="285" spans="4:20">
      <c r="D285" s="34" t="s">
        <v>1857</v>
      </c>
      <c r="F285" s="36" t="s">
        <v>297</v>
      </c>
      <c r="G285" s="5" t="s">
        <v>298</v>
      </c>
      <c r="I285" s="62">
        <v>91975</v>
      </c>
      <c r="J285" s="62">
        <v>65</v>
      </c>
      <c r="K285" s="62">
        <v>1415</v>
      </c>
      <c r="L285" s="100" t="s">
        <v>2214</v>
      </c>
      <c r="M285" s="5" t="s">
        <v>1416</v>
      </c>
      <c r="N285" s="34" t="s">
        <v>464</v>
      </c>
      <c r="O285" s="5" t="s">
        <v>2348</v>
      </c>
      <c r="P285" s="5" t="s">
        <v>590</v>
      </c>
      <c r="Q285" s="5" t="s">
        <v>2361</v>
      </c>
      <c r="S285" s="5" t="s">
        <v>2361</v>
      </c>
      <c r="T285" s="305" t="s">
        <v>2362</v>
      </c>
    </row>
    <row r="286" spans="4:20">
      <c r="D286" s="34" t="s">
        <v>1857</v>
      </c>
      <c r="F286" s="36" t="s">
        <v>297</v>
      </c>
      <c r="G286" s="5" t="s">
        <v>298</v>
      </c>
      <c r="I286" s="62">
        <v>283000</v>
      </c>
      <c r="J286" s="62">
        <v>200</v>
      </c>
      <c r="K286" s="62">
        <v>1415</v>
      </c>
      <c r="L286" s="100" t="s">
        <v>2214</v>
      </c>
      <c r="M286" s="5" t="s">
        <v>1416</v>
      </c>
      <c r="N286" s="34" t="s">
        <v>464</v>
      </c>
      <c r="O286" s="5" t="s">
        <v>2348</v>
      </c>
      <c r="P286" s="5" t="s">
        <v>592</v>
      </c>
      <c r="Q286" s="5" t="s">
        <v>2363</v>
      </c>
      <c r="S286" s="5" t="s">
        <v>2363</v>
      </c>
      <c r="T286" s="305" t="s">
        <v>2364</v>
      </c>
    </row>
    <row r="287" spans="4:20">
      <c r="D287" s="34" t="s">
        <v>1857</v>
      </c>
      <c r="F287" s="36" t="s">
        <v>1380</v>
      </c>
      <c r="G287" s="5" t="s">
        <v>1381</v>
      </c>
      <c r="I287" s="62">
        <v>169200</v>
      </c>
      <c r="J287" s="62">
        <v>120</v>
      </c>
      <c r="K287" s="62">
        <v>1410</v>
      </c>
      <c r="L287" s="100" t="s">
        <v>2204</v>
      </c>
      <c r="M287" s="5" t="s">
        <v>1382</v>
      </c>
      <c r="N287" s="34" t="s">
        <v>464</v>
      </c>
      <c r="O287" s="5" t="s">
        <v>2332</v>
      </c>
      <c r="P287" s="5" t="s">
        <v>2333</v>
      </c>
      <c r="Q287" s="5" t="s">
        <v>2334</v>
      </c>
      <c r="S287" s="5" t="s">
        <v>2335</v>
      </c>
      <c r="T287" s="305" t="s">
        <v>2336</v>
      </c>
    </row>
    <row r="288" spans="4:20">
      <c r="D288" s="34" t="s">
        <v>1857</v>
      </c>
      <c r="F288" s="36" t="s">
        <v>1380</v>
      </c>
      <c r="G288" s="5" t="s">
        <v>1381</v>
      </c>
      <c r="I288" s="62">
        <v>91975</v>
      </c>
      <c r="J288" s="62">
        <v>65</v>
      </c>
      <c r="K288" s="62">
        <v>1415</v>
      </c>
      <c r="L288" s="100" t="s">
        <v>2214</v>
      </c>
      <c r="M288" s="5" t="s">
        <v>1382</v>
      </c>
      <c r="N288" s="34" t="s">
        <v>464</v>
      </c>
      <c r="O288" s="5" t="s">
        <v>2332</v>
      </c>
      <c r="P288" s="5" t="s">
        <v>2337</v>
      </c>
      <c r="Q288" s="5" t="s">
        <v>2338</v>
      </c>
      <c r="S288" s="5" t="s">
        <v>2339</v>
      </c>
      <c r="T288" s="305" t="s">
        <v>2340</v>
      </c>
    </row>
    <row r="289" spans="4:20">
      <c r="D289" s="34" t="s">
        <v>1857</v>
      </c>
      <c r="F289" s="36" t="s">
        <v>1380</v>
      </c>
      <c r="G289" s="5" t="s">
        <v>1381</v>
      </c>
      <c r="I289" s="62">
        <v>283000</v>
      </c>
      <c r="J289" s="62">
        <v>200</v>
      </c>
      <c r="K289" s="62">
        <v>1415</v>
      </c>
      <c r="L289" s="100" t="s">
        <v>2214</v>
      </c>
      <c r="M289" s="5" t="s">
        <v>1382</v>
      </c>
      <c r="N289" s="34" t="s">
        <v>464</v>
      </c>
      <c r="O289" s="5" t="s">
        <v>2332</v>
      </c>
      <c r="P289" s="5" t="s">
        <v>2341</v>
      </c>
      <c r="Q289" s="5" t="s">
        <v>2342</v>
      </c>
      <c r="S289" s="5" t="s">
        <v>2339</v>
      </c>
      <c r="T289" s="305" t="s">
        <v>2343</v>
      </c>
    </row>
    <row r="290" spans="4:20">
      <c r="D290" s="34" t="s">
        <v>1857</v>
      </c>
      <c r="F290" s="36" t="s">
        <v>1380</v>
      </c>
      <c r="G290" s="5" t="s">
        <v>1381</v>
      </c>
      <c r="I290" s="62">
        <v>411600</v>
      </c>
      <c r="J290" s="62">
        <v>294</v>
      </c>
      <c r="K290" s="62">
        <v>1400</v>
      </c>
      <c r="L290" s="100" t="s">
        <v>2218</v>
      </c>
      <c r="M290" s="5" t="s">
        <v>1382</v>
      </c>
      <c r="N290" s="34" t="s">
        <v>464</v>
      </c>
      <c r="O290" s="5" t="s">
        <v>2332</v>
      </c>
      <c r="P290" s="5" t="s">
        <v>2344</v>
      </c>
      <c r="Q290" s="5" t="s">
        <v>2345</v>
      </c>
      <c r="S290" s="5" t="s">
        <v>2346</v>
      </c>
      <c r="T290" s="305" t="s">
        <v>2347</v>
      </c>
    </row>
    <row r="291" spans="4:20">
      <c r="D291" s="34" t="s">
        <v>1857</v>
      </c>
      <c r="F291" s="36" t="s">
        <v>1380</v>
      </c>
      <c r="G291" s="5" t="s">
        <v>1381</v>
      </c>
      <c r="I291" s="62">
        <v>-169200</v>
      </c>
      <c r="J291" s="62">
        <v>-120</v>
      </c>
      <c r="K291" s="62">
        <v>1410</v>
      </c>
      <c r="L291" s="100" t="s">
        <v>2204</v>
      </c>
      <c r="M291" s="5" t="s">
        <v>1416</v>
      </c>
      <c r="N291" s="34" t="s">
        <v>464</v>
      </c>
      <c r="O291" s="5" t="s">
        <v>2348</v>
      </c>
      <c r="P291" s="5" t="s">
        <v>560</v>
      </c>
      <c r="Q291" s="5" t="s">
        <v>2349</v>
      </c>
      <c r="S291" s="5" t="s">
        <v>2349</v>
      </c>
      <c r="T291" s="305" t="s">
        <v>2350</v>
      </c>
    </row>
    <row r="292" spans="4:20">
      <c r="D292" s="34" t="s">
        <v>1857</v>
      </c>
      <c r="F292" s="36" t="s">
        <v>1380</v>
      </c>
      <c r="G292" s="5" t="s">
        <v>1381</v>
      </c>
      <c r="I292" s="62">
        <v>-411600</v>
      </c>
      <c r="J292" s="62">
        <v>-294</v>
      </c>
      <c r="K292" s="62">
        <v>1400</v>
      </c>
      <c r="L292" s="100" t="s">
        <v>2218</v>
      </c>
      <c r="M292" s="5" t="s">
        <v>1416</v>
      </c>
      <c r="N292" s="34" t="s">
        <v>464</v>
      </c>
      <c r="O292" s="5" t="s">
        <v>2348</v>
      </c>
      <c r="P292" s="5" t="s">
        <v>581</v>
      </c>
      <c r="Q292" s="5" t="s">
        <v>2354</v>
      </c>
      <c r="S292" s="5" t="s">
        <v>2354</v>
      </c>
      <c r="T292" s="305" t="s">
        <v>2355</v>
      </c>
    </row>
    <row r="293" spans="4:20">
      <c r="D293" s="34" t="s">
        <v>1857</v>
      </c>
      <c r="F293" s="36" t="s">
        <v>1380</v>
      </c>
      <c r="G293" s="5" t="s">
        <v>1381</v>
      </c>
      <c r="I293" s="62">
        <v>-91975</v>
      </c>
      <c r="J293" s="62">
        <v>-65</v>
      </c>
      <c r="K293" s="62">
        <v>1415</v>
      </c>
      <c r="L293" s="100" t="s">
        <v>2214</v>
      </c>
      <c r="M293" s="5" t="s">
        <v>1416</v>
      </c>
      <c r="N293" s="34" t="s">
        <v>464</v>
      </c>
      <c r="O293" s="5" t="s">
        <v>2348</v>
      </c>
      <c r="P293" s="5" t="s">
        <v>590</v>
      </c>
      <c r="Q293" s="5" t="s">
        <v>2361</v>
      </c>
      <c r="S293" s="5" t="s">
        <v>2361</v>
      </c>
      <c r="T293" s="305" t="s">
        <v>2362</v>
      </c>
    </row>
    <row r="294" spans="4:20">
      <c r="D294" s="34" t="s">
        <v>1857</v>
      </c>
      <c r="F294" s="36" t="s">
        <v>1380</v>
      </c>
      <c r="G294" s="5" t="s">
        <v>1381</v>
      </c>
      <c r="I294" s="62">
        <v>-283000</v>
      </c>
      <c r="J294" s="62">
        <v>-200</v>
      </c>
      <c r="K294" s="62">
        <v>1415</v>
      </c>
      <c r="L294" s="100" t="s">
        <v>2214</v>
      </c>
      <c r="M294" s="5" t="s">
        <v>1416</v>
      </c>
      <c r="N294" s="34" t="s">
        <v>464</v>
      </c>
      <c r="O294" s="5" t="s">
        <v>2348</v>
      </c>
      <c r="P294" s="5" t="s">
        <v>592</v>
      </c>
      <c r="Q294" s="5" t="s">
        <v>2363</v>
      </c>
      <c r="S294" s="5" t="s">
        <v>2363</v>
      </c>
      <c r="T294" s="305" t="s">
        <v>2364</v>
      </c>
    </row>
    <row r="295" spans="4:20">
      <c r="D295" s="34" t="s">
        <v>1857</v>
      </c>
      <c r="F295" s="36" t="s">
        <v>1679</v>
      </c>
      <c r="G295" s="5" t="s">
        <v>1680</v>
      </c>
      <c r="I295" s="62">
        <v>2688000</v>
      </c>
      <c r="J295" s="62">
        <v>1920</v>
      </c>
      <c r="K295" s="62">
        <v>1400</v>
      </c>
      <c r="L295" s="100" t="s">
        <v>2218</v>
      </c>
      <c r="M295" s="5" t="s">
        <v>452</v>
      </c>
      <c r="N295" s="34" t="s">
        <v>464</v>
      </c>
      <c r="O295" s="5" t="s">
        <v>2193</v>
      </c>
      <c r="P295" s="5" t="s">
        <v>2264</v>
      </c>
      <c r="Q295" s="5" t="s">
        <v>2265</v>
      </c>
      <c r="S295" s="5" t="s">
        <v>2282</v>
      </c>
      <c r="T295"/>
    </row>
    <row r="296" spans="4:20">
      <c r="D296" s="34" t="s">
        <v>1857</v>
      </c>
      <c r="F296" s="36" t="s">
        <v>309</v>
      </c>
      <c r="G296" s="5" t="s">
        <v>310</v>
      </c>
      <c r="I296" s="62">
        <v>-1172062.5</v>
      </c>
      <c r="J296" s="62">
        <v>-831.25</v>
      </c>
      <c r="K296" s="62">
        <v>1410</v>
      </c>
      <c r="L296" s="100" t="s">
        <v>2187</v>
      </c>
      <c r="M296" s="5" t="s">
        <v>452</v>
      </c>
      <c r="N296" s="34" t="s">
        <v>464</v>
      </c>
      <c r="O296" s="5" t="s">
        <v>2188</v>
      </c>
      <c r="P296" s="5" t="s">
        <v>2189</v>
      </c>
      <c r="Q296" s="5" t="s">
        <v>2190</v>
      </c>
      <c r="S296" s="5" t="s">
        <v>2191</v>
      </c>
      <c r="T296"/>
    </row>
    <row r="297" spans="4:20">
      <c r="D297" s="34" t="s">
        <v>1857</v>
      </c>
      <c r="F297" s="36" t="s">
        <v>309</v>
      </c>
      <c r="G297" s="5" t="s">
        <v>310</v>
      </c>
      <c r="I297" s="62">
        <v>-2679000</v>
      </c>
      <c r="J297" s="62">
        <v>-1900</v>
      </c>
      <c r="K297" s="62">
        <v>1410</v>
      </c>
      <c r="L297" s="100" t="s">
        <v>2187</v>
      </c>
      <c r="M297" s="5" t="s">
        <v>452</v>
      </c>
      <c r="N297" s="34" t="s">
        <v>464</v>
      </c>
      <c r="O297" s="5" t="s">
        <v>2188</v>
      </c>
      <c r="P297" s="5" t="s">
        <v>2189</v>
      </c>
      <c r="Q297" s="5" t="s">
        <v>2190</v>
      </c>
      <c r="S297" s="5" t="s">
        <v>2200</v>
      </c>
      <c r="T297"/>
    </row>
    <row r="298" spans="4:20">
      <c r="D298" s="34" t="s">
        <v>1857</v>
      </c>
      <c r="F298" s="36" t="s">
        <v>309</v>
      </c>
      <c r="G298" s="5" t="s">
        <v>310</v>
      </c>
      <c r="I298" s="62">
        <v>-566000</v>
      </c>
      <c r="J298" s="62">
        <v>-400</v>
      </c>
      <c r="K298" s="62">
        <v>1415</v>
      </c>
      <c r="L298" s="100" t="s">
        <v>2192</v>
      </c>
      <c r="M298" s="5" t="s">
        <v>452</v>
      </c>
      <c r="N298" s="34" t="s">
        <v>464</v>
      </c>
      <c r="O298" s="5" t="s">
        <v>2188</v>
      </c>
      <c r="P298" s="5" t="s">
        <v>2201</v>
      </c>
      <c r="Q298" s="5" t="s">
        <v>2202</v>
      </c>
      <c r="S298" s="5" t="s">
        <v>2203</v>
      </c>
      <c r="T298"/>
    </row>
    <row r="299" spans="4:20">
      <c r="D299" s="34" t="s">
        <v>1857</v>
      </c>
      <c r="F299" s="36" t="s">
        <v>1392</v>
      </c>
      <c r="G299" s="5" t="s">
        <v>1393</v>
      </c>
      <c r="I299" s="62">
        <v>-169200</v>
      </c>
      <c r="J299" s="62">
        <v>-120</v>
      </c>
      <c r="K299" s="62">
        <v>1410</v>
      </c>
      <c r="L299" s="100" t="s">
        <v>2204</v>
      </c>
      <c r="M299" s="5" t="s">
        <v>1382</v>
      </c>
      <c r="N299" s="34" t="s">
        <v>464</v>
      </c>
      <c r="O299" s="5" t="s">
        <v>2332</v>
      </c>
      <c r="P299" s="5" t="s">
        <v>2333</v>
      </c>
      <c r="Q299" s="5" t="s">
        <v>2334</v>
      </c>
      <c r="S299" s="5" t="s">
        <v>2335</v>
      </c>
      <c r="T299" s="305" t="s">
        <v>2336</v>
      </c>
    </row>
    <row r="300" spans="4:20">
      <c r="D300" s="34" t="s">
        <v>1857</v>
      </c>
      <c r="F300" s="36" t="s">
        <v>1392</v>
      </c>
      <c r="G300" s="5" t="s">
        <v>1393</v>
      </c>
      <c r="I300" s="62">
        <v>-283000</v>
      </c>
      <c r="J300" s="62">
        <v>-200</v>
      </c>
      <c r="K300" s="62">
        <v>1415</v>
      </c>
      <c r="L300" s="100" t="s">
        <v>2214</v>
      </c>
      <c r="M300" s="5" t="s">
        <v>1382</v>
      </c>
      <c r="N300" s="34" t="s">
        <v>464</v>
      </c>
      <c r="O300" s="5" t="s">
        <v>2332</v>
      </c>
      <c r="P300" s="5" t="s">
        <v>2341</v>
      </c>
      <c r="Q300" s="5" t="s">
        <v>2342</v>
      </c>
      <c r="S300" s="5" t="s">
        <v>2339</v>
      </c>
      <c r="T300" s="305" t="s">
        <v>2343</v>
      </c>
    </row>
    <row r="301" spans="4:20">
      <c r="D301" s="34" t="s">
        <v>1857</v>
      </c>
      <c r="F301" s="36" t="s">
        <v>45</v>
      </c>
      <c r="G301" s="5" t="s">
        <v>44</v>
      </c>
      <c r="I301" s="62">
        <v>1615750</v>
      </c>
      <c r="J301" s="62">
        <v>1150</v>
      </c>
      <c r="K301" s="62">
        <v>1405</v>
      </c>
      <c r="L301" s="100" t="s">
        <v>2192</v>
      </c>
      <c r="M301" s="5" t="s">
        <v>452</v>
      </c>
      <c r="N301" s="34" t="s">
        <v>464</v>
      </c>
      <c r="O301" s="5" t="s">
        <v>2193</v>
      </c>
      <c r="P301" s="5" t="s">
        <v>2267</v>
      </c>
      <c r="Q301" s="5" t="s">
        <v>2268</v>
      </c>
      <c r="S301" s="5" t="s">
        <v>2275</v>
      </c>
      <c r="T301"/>
    </row>
    <row r="302" spans="4:20">
      <c r="D302" s="34" t="s">
        <v>1857</v>
      </c>
      <c r="F302" s="36" t="s">
        <v>45</v>
      </c>
      <c r="G302" s="5" t="s">
        <v>44</v>
      </c>
      <c r="I302" s="62">
        <v>1903500</v>
      </c>
      <c r="J302" s="62">
        <v>1350</v>
      </c>
      <c r="K302" s="62">
        <v>1410</v>
      </c>
      <c r="L302" s="100" t="s">
        <v>2204</v>
      </c>
      <c r="M302" s="5" t="s">
        <v>452</v>
      </c>
      <c r="N302" s="34" t="s">
        <v>464</v>
      </c>
      <c r="O302" s="5" t="s">
        <v>2193</v>
      </c>
      <c r="P302" s="5" t="s">
        <v>2271</v>
      </c>
      <c r="Q302" s="5" t="s">
        <v>2272</v>
      </c>
      <c r="S302" s="5" t="s">
        <v>2276</v>
      </c>
      <c r="T302"/>
    </row>
    <row r="303" spans="4:20">
      <c r="D303" s="34" t="s">
        <v>1857</v>
      </c>
      <c r="F303" s="36" t="s">
        <v>45</v>
      </c>
      <c r="G303" s="5" t="s">
        <v>44</v>
      </c>
      <c r="I303" s="62">
        <v>1405000</v>
      </c>
      <c r="J303" s="62">
        <v>1000</v>
      </c>
      <c r="K303" s="62">
        <v>1405</v>
      </c>
      <c r="L303" s="100" t="s">
        <v>2192</v>
      </c>
      <c r="M303" s="5" t="s">
        <v>452</v>
      </c>
      <c r="N303" s="34" t="s">
        <v>464</v>
      </c>
      <c r="O303" s="5" t="s">
        <v>2193</v>
      </c>
      <c r="P303" s="5" t="s">
        <v>2267</v>
      </c>
      <c r="Q303" s="5" t="s">
        <v>2268</v>
      </c>
      <c r="S303" s="5" t="s">
        <v>2277</v>
      </c>
      <c r="T303"/>
    </row>
    <row r="304" spans="4:20">
      <c r="D304" s="34" t="s">
        <v>1857</v>
      </c>
      <c r="F304" s="36" t="s">
        <v>320</v>
      </c>
      <c r="G304" s="5" t="s">
        <v>321</v>
      </c>
      <c r="I304" s="62">
        <v>421500</v>
      </c>
      <c r="J304" s="62">
        <v>300</v>
      </c>
      <c r="K304" s="62">
        <v>1405</v>
      </c>
      <c r="L304" s="100" t="s">
        <v>2192</v>
      </c>
      <c r="M304" s="5" t="s">
        <v>452</v>
      </c>
      <c r="N304" s="34" t="s">
        <v>464</v>
      </c>
      <c r="O304" s="5" t="s">
        <v>2193</v>
      </c>
      <c r="P304" s="5" t="s">
        <v>2194</v>
      </c>
      <c r="Q304" s="5" t="s">
        <v>2195</v>
      </c>
      <c r="S304" s="5" t="s">
        <v>2296</v>
      </c>
      <c r="T304"/>
    </row>
    <row r="305" spans="1:256">
      <c r="D305" s="34" t="s">
        <v>1857</v>
      </c>
      <c r="F305" s="36" t="s">
        <v>324</v>
      </c>
      <c r="G305" s="5" t="s">
        <v>325</v>
      </c>
      <c r="I305" s="62">
        <v>-2000000</v>
      </c>
      <c r="J305" s="62">
        <v>-1428.57142857143</v>
      </c>
      <c r="K305" s="62">
        <v>1400</v>
      </c>
      <c r="L305" s="100" t="s">
        <v>2218</v>
      </c>
      <c r="M305" s="5" t="s">
        <v>452</v>
      </c>
      <c r="N305" s="34" t="s">
        <v>464</v>
      </c>
      <c r="O305" s="5" t="s">
        <v>2188</v>
      </c>
      <c r="P305" s="5" t="s">
        <v>2242</v>
      </c>
      <c r="Q305" s="5" t="s">
        <v>2243</v>
      </c>
      <c r="S305" s="5" t="s">
        <v>563</v>
      </c>
      <c r="T305"/>
    </row>
    <row r="306" spans="1:256">
      <c r="D306" s="34" t="s">
        <v>1857</v>
      </c>
      <c r="F306" s="36" t="s">
        <v>324</v>
      </c>
      <c r="G306" s="5" t="s">
        <v>325</v>
      </c>
      <c r="I306" s="62">
        <v>-9646000</v>
      </c>
      <c r="J306" s="62">
        <v>-6890</v>
      </c>
      <c r="K306" s="62">
        <v>1400</v>
      </c>
      <c r="L306" s="100" t="s">
        <v>2218</v>
      </c>
      <c r="M306" s="5" t="s">
        <v>452</v>
      </c>
      <c r="N306" s="34" t="s">
        <v>464</v>
      </c>
      <c r="O306" s="5" t="s">
        <v>2188</v>
      </c>
      <c r="P306" s="5" t="s">
        <v>2244</v>
      </c>
      <c r="Q306" s="5" t="s">
        <v>2245</v>
      </c>
      <c r="S306" s="5" t="s">
        <v>563</v>
      </c>
      <c r="T306"/>
    </row>
    <row r="307" spans="1:256">
      <c r="D307" s="34" t="s">
        <v>1857</v>
      </c>
      <c r="F307" s="36" t="s">
        <v>324</v>
      </c>
      <c r="G307" s="5" t="s">
        <v>325</v>
      </c>
      <c r="I307" s="62">
        <v>-13628500</v>
      </c>
      <c r="J307" s="62">
        <v>-9700</v>
      </c>
      <c r="K307" s="62">
        <v>1405</v>
      </c>
      <c r="L307" s="100" t="s">
        <v>2192</v>
      </c>
      <c r="M307" s="5" t="s">
        <v>452</v>
      </c>
      <c r="N307" s="34" t="s">
        <v>464</v>
      </c>
      <c r="O307" s="5" t="s">
        <v>2188</v>
      </c>
      <c r="P307" s="5" t="s">
        <v>2246</v>
      </c>
      <c r="Q307" s="5" t="s">
        <v>2247</v>
      </c>
      <c r="S307" s="5" t="s">
        <v>563</v>
      </c>
      <c r="T307"/>
    </row>
    <row r="308" spans="1:256">
      <c r="D308" s="34" t="s">
        <v>1857</v>
      </c>
      <c r="F308" s="36" t="s">
        <v>324</v>
      </c>
      <c r="G308" s="5" t="s">
        <v>325</v>
      </c>
      <c r="I308" s="62">
        <v>-4990000</v>
      </c>
      <c r="J308" s="62">
        <v>-3551.6014234875402</v>
      </c>
      <c r="K308" s="62">
        <v>1405</v>
      </c>
      <c r="L308" s="100" t="s">
        <v>2192</v>
      </c>
      <c r="M308" s="5" t="s">
        <v>452</v>
      </c>
      <c r="N308" s="34" t="s">
        <v>464</v>
      </c>
      <c r="O308" s="5" t="s">
        <v>2188</v>
      </c>
      <c r="P308" s="5" t="s">
        <v>2248</v>
      </c>
      <c r="Q308" s="5" t="s">
        <v>2249</v>
      </c>
      <c r="S308" s="5" t="s">
        <v>563</v>
      </c>
      <c r="T308"/>
    </row>
    <row r="309" spans="1:256">
      <c r="D309" s="34" t="s">
        <v>1857</v>
      </c>
      <c r="F309" s="36" t="s">
        <v>324</v>
      </c>
      <c r="G309" s="5" t="s">
        <v>325</v>
      </c>
      <c r="I309" s="62">
        <v>2260000</v>
      </c>
      <c r="J309" s="62">
        <v>1597.1731448763301</v>
      </c>
      <c r="K309" s="62">
        <v>1415</v>
      </c>
      <c r="L309" s="100" t="s">
        <v>2303</v>
      </c>
      <c r="M309" s="5" t="s">
        <v>452</v>
      </c>
      <c r="N309" s="34" t="s">
        <v>464</v>
      </c>
      <c r="O309" s="5" t="s">
        <v>2193</v>
      </c>
      <c r="P309" s="5" t="s">
        <v>2304</v>
      </c>
      <c r="Q309" s="5" t="s">
        <v>2305</v>
      </c>
      <c r="S309" s="5" t="s">
        <v>2306</v>
      </c>
      <c r="T309"/>
    </row>
    <row r="310" spans="1:256">
      <c r="D310" s="34" t="s">
        <v>1857</v>
      </c>
      <c r="F310" s="36" t="s">
        <v>324</v>
      </c>
      <c r="G310" s="5" t="s">
        <v>325</v>
      </c>
      <c r="I310" s="62">
        <v>7032550</v>
      </c>
      <c r="J310" s="62">
        <v>4970</v>
      </c>
      <c r="K310" s="62">
        <v>1415</v>
      </c>
      <c r="L310" s="100" t="s">
        <v>2307</v>
      </c>
      <c r="M310" s="5" t="s">
        <v>452</v>
      </c>
      <c r="N310" s="34" t="s">
        <v>464</v>
      </c>
      <c r="O310" s="5" t="s">
        <v>2193</v>
      </c>
      <c r="P310" s="5" t="s">
        <v>2308</v>
      </c>
      <c r="Q310" s="5" t="s">
        <v>2309</v>
      </c>
      <c r="S310" s="5" t="s">
        <v>2310</v>
      </c>
      <c r="T310"/>
    </row>
    <row r="311" spans="1:256">
      <c r="D311" s="34" t="s">
        <v>1857</v>
      </c>
      <c r="F311" s="36" t="s">
        <v>324</v>
      </c>
      <c r="G311" s="5" t="s">
        <v>325</v>
      </c>
      <c r="I311" s="62">
        <v>6860000</v>
      </c>
      <c r="J311" s="62">
        <v>4900</v>
      </c>
      <c r="K311" s="62">
        <v>1400</v>
      </c>
      <c r="L311" s="100" t="s">
        <v>2303</v>
      </c>
      <c r="M311" s="5" t="s">
        <v>452</v>
      </c>
      <c r="N311" s="34" t="s">
        <v>464</v>
      </c>
      <c r="O311" s="5" t="s">
        <v>2193</v>
      </c>
      <c r="P311" s="5" t="s">
        <v>2311</v>
      </c>
      <c r="Q311" s="5" t="s">
        <v>2312</v>
      </c>
      <c r="S311" s="5" t="s">
        <v>2313</v>
      </c>
      <c r="T311"/>
    </row>
    <row r="312" spans="1:256">
      <c r="D312" s="34" t="s">
        <v>1857</v>
      </c>
      <c r="F312" s="36" t="s">
        <v>324</v>
      </c>
      <c r="G312" s="5" t="s">
        <v>325</v>
      </c>
      <c r="I312" s="62">
        <v>6744000</v>
      </c>
      <c r="J312" s="62">
        <v>4800</v>
      </c>
      <c r="K312" s="62">
        <v>1405</v>
      </c>
      <c r="L312" s="100" t="s">
        <v>2192</v>
      </c>
      <c r="M312" s="5" t="s">
        <v>452</v>
      </c>
      <c r="N312" s="34" t="s">
        <v>464</v>
      </c>
      <c r="O312" s="5" t="s">
        <v>2193</v>
      </c>
      <c r="P312" s="5" t="s">
        <v>2194</v>
      </c>
      <c r="Q312" s="5" t="s">
        <v>2195</v>
      </c>
      <c r="S312" s="5" t="s">
        <v>2314</v>
      </c>
      <c r="T312"/>
    </row>
    <row r="313" spans="1:256">
      <c r="D313" s="34" t="s">
        <v>1857</v>
      </c>
      <c r="F313" s="36" t="s">
        <v>324</v>
      </c>
      <c r="G313" s="5" t="s">
        <v>325</v>
      </c>
      <c r="I313" s="62">
        <v>4730000</v>
      </c>
      <c r="J313" s="62">
        <v>3366.54804270463</v>
      </c>
      <c r="K313" s="62">
        <v>1405</v>
      </c>
      <c r="L313" s="100" t="s">
        <v>2192</v>
      </c>
      <c r="M313" s="5" t="s">
        <v>452</v>
      </c>
      <c r="N313" s="34" t="s">
        <v>464</v>
      </c>
      <c r="O313" s="5" t="s">
        <v>2193</v>
      </c>
      <c r="P313" s="5" t="s">
        <v>2300</v>
      </c>
      <c r="Q313" s="5" t="s">
        <v>2301</v>
      </c>
      <c r="S313" s="5" t="s">
        <v>2314</v>
      </c>
      <c r="T313"/>
    </row>
    <row r="314" spans="1:256" ht="14.5">
      <c r="A314" s="5"/>
      <c r="B314" s="103"/>
      <c r="C314" s="103"/>
      <c r="D314" s="103"/>
      <c r="F314" s="105"/>
      <c r="G314" s="103"/>
      <c r="H314" s="103"/>
      <c r="I314" s="106"/>
      <c r="J314" s="106"/>
      <c r="K314" s="106"/>
      <c r="L314" s="65"/>
      <c r="M314" s="65"/>
      <c r="N314" s="5"/>
      <c r="X314" s="6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/>
      <c r="BF314" s="103"/>
      <c r="BG314" s="103"/>
      <c r="BH314" s="103"/>
      <c r="BI314" s="103"/>
      <c r="BJ314" s="103"/>
      <c r="BK314" s="103"/>
      <c r="BL314" s="103"/>
      <c r="BM314" s="103"/>
      <c r="BN314" s="103"/>
      <c r="BO314" s="103"/>
      <c r="BP314" s="103"/>
      <c r="BQ314" s="103"/>
      <c r="BR314" s="103"/>
      <c r="BS314" s="103"/>
      <c r="BT314" s="103"/>
      <c r="BU314" s="103"/>
      <c r="BV314" s="103"/>
      <c r="BW314" s="103"/>
      <c r="BX314" s="103"/>
      <c r="BY314" s="103"/>
      <c r="BZ314" s="103"/>
      <c r="CA314" s="103"/>
      <c r="CB314" s="103"/>
      <c r="CC314" s="103"/>
      <c r="CD314" s="103"/>
      <c r="CE314" s="103"/>
      <c r="CF314" s="103"/>
      <c r="CG314" s="103"/>
      <c r="CH314" s="103"/>
      <c r="CI314" s="103"/>
      <c r="CJ314" s="103"/>
      <c r="CK314" s="103"/>
      <c r="CL314" s="103"/>
      <c r="CM314" s="103"/>
      <c r="CN314" s="103"/>
      <c r="CO314" s="103"/>
      <c r="CP314" s="103"/>
      <c r="CQ314" s="103"/>
      <c r="CR314" s="103"/>
      <c r="CS314" s="103"/>
      <c r="CT314" s="103"/>
      <c r="CU314" s="103"/>
      <c r="CV314" s="103"/>
      <c r="CW314" s="103"/>
      <c r="CX314" s="103"/>
      <c r="CY314" s="103"/>
      <c r="CZ314" s="103"/>
      <c r="DA314" s="103"/>
      <c r="DB314" s="103"/>
      <c r="DC314" s="103"/>
      <c r="DD314" s="103"/>
      <c r="DE314" s="103"/>
      <c r="DF314" s="103"/>
      <c r="DG314" s="103"/>
      <c r="DH314" s="103"/>
      <c r="DI314" s="103"/>
      <c r="DJ314" s="103"/>
      <c r="DK314" s="103"/>
      <c r="DL314" s="103"/>
      <c r="DM314" s="103"/>
      <c r="DN314" s="103"/>
      <c r="DO314" s="103"/>
      <c r="DP314" s="103"/>
      <c r="DQ314" s="103"/>
      <c r="DR314" s="103"/>
      <c r="DS314" s="103"/>
      <c r="DT314" s="103"/>
      <c r="DU314" s="103"/>
      <c r="DV314" s="103"/>
      <c r="DW314" s="103"/>
      <c r="DX314" s="103"/>
      <c r="DY314" s="103"/>
      <c r="DZ314" s="103"/>
      <c r="EA314" s="103"/>
      <c r="EB314" s="103"/>
      <c r="EC314" s="103"/>
      <c r="ED314" s="103"/>
      <c r="EE314" s="103"/>
      <c r="EF314" s="103"/>
      <c r="EG314" s="103"/>
      <c r="EH314" s="103"/>
      <c r="EI314" s="103"/>
      <c r="EJ314" s="103"/>
      <c r="EK314" s="103"/>
      <c r="EL314" s="103"/>
      <c r="EM314" s="103"/>
      <c r="EN314" s="103"/>
      <c r="EO314" s="103"/>
      <c r="EP314" s="103"/>
      <c r="EQ314" s="103"/>
      <c r="ER314" s="103"/>
      <c r="ES314" s="103"/>
      <c r="ET314" s="103"/>
      <c r="EU314" s="103"/>
      <c r="EV314" s="103"/>
      <c r="EW314" s="103"/>
      <c r="EX314" s="103"/>
      <c r="EY314" s="103"/>
      <c r="EZ314" s="103"/>
      <c r="FA314" s="103"/>
      <c r="FB314" s="103"/>
      <c r="FC314" s="103"/>
      <c r="FD314" s="103"/>
      <c r="FE314" s="103"/>
      <c r="FF314" s="103"/>
      <c r="FG314" s="103"/>
      <c r="FH314" s="103"/>
      <c r="FI314" s="103"/>
      <c r="FJ314" s="103"/>
      <c r="FK314" s="103"/>
      <c r="FL314" s="103"/>
      <c r="FM314" s="103"/>
      <c r="FN314" s="103"/>
      <c r="FO314" s="103"/>
      <c r="FP314" s="103"/>
      <c r="FQ314" s="103"/>
      <c r="FR314" s="103"/>
      <c r="FS314" s="103"/>
      <c r="FT314" s="103"/>
      <c r="FU314" s="103"/>
      <c r="FV314" s="103"/>
      <c r="FW314" s="103"/>
      <c r="FX314" s="103"/>
      <c r="FY314" s="103"/>
      <c r="FZ314" s="103"/>
      <c r="GA314" s="103"/>
      <c r="GB314" s="103"/>
      <c r="GC314" s="103"/>
      <c r="GD314" s="103"/>
      <c r="GE314" s="103"/>
      <c r="GF314" s="103"/>
      <c r="GG314" s="103"/>
      <c r="GH314" s="103"/>
      <c r="GI314" s="103"/>
      <c r="GJ314" s="103"/>
      <c r="GK314" s="103"/>
      <c r="GL314" s="103"/>
      <c r="GM314" s="103"/>
      <c r="GN314" s="103"/>
      <c r="GO314" s="103"/>
      <c r="GP314" s="103"/>
      <c r="GQ314" s="103"/>
      <c r="GR314" s="103"/>
      <c r="GS314" s="103"/>
      <c r="GT314" s="103"/>
      <c r="GU314" s="103"/>
      <c r="GV314" s="103"/>
      <c r="GW314" s="103"/>
      <c r="GX314" s="103"/>
      <c r="GY314" s="103"/>
      <c r="GZ314" s="103"/>
      <c r="HA314" s="103"/>
      <c r="HB314" s="103"/>
      <c r="HC314" s="103"/>
      <c r="HD314" s="103"/>
      <c r="HE314" s="103"/>
      <c r="HF314" s="103"/>
      <c r="HG314" s="103"/>
      <c r="HH314" s="103"/>
      <c r="HI314" s="103"/>
      <c r="HJ314" s="103"/>
      <c r="HK314" s="103"/>
      <c r="HL314" s="103"/>
      <c r="HM314" s="103"/>
      <c r="HN314" s="103"/>
      <c r="HO314" s="103"/>
      <c r="HP314" s="103"/>
      <c r="HQ314" s="103"/>
      <c r="HR314" s="103"/>
      <c r="HS314" s="103"/>
      <c r="HT314" s="103"/>
      <c r="HU314" s="103"/>
      <c r="HV314" s="103"/>
      <c r="HW314" s="103"/>
      <c r="HX314" s="103"/>
      <c r="HY314" s="103"/>
      <c r="HZ314" s="103"/>
      <c r="IA314" s="103"/>
      <c r="IB314" s="103"/>
      <c r="IC314" s="103"/>
      <c r="ID314" s="103"/>
      <c r="IE314" s="103"/>
      <c r="IF314" s="103"/>
      <c r="IG314" s="103"/>
      <c r="IH314" s="103"/>
      <c r="II314" s="103"/>
      <c r="IJ314" s="103"/>
      <c r="IK314" s="103"/>
      <c r="IL314" s="103"/>
      <c r="IM314" s="103"/>
      <c r="IN314" s="103"/>
      <c r="IO314" s="103"/>
      <c r="IP314" s="103"/>
      <c r="IQ314" s="103"/>
      <c r="IR314" s="103"/>
      <c r="IS314" s="103"/>
      <c r="IT314" s="103"/>
      <c r="IU314" s="103"/>
      <c r="IV314" s="103"/>
    </row>
    <row r="315" spans="1:256" ht="14.5">
      <c r="A315" s="103"/>
      <c r="B315" s="103"/>
      <c r="C315" s="103"/>
      <c r="D315" s="103"/>
      <c r="F315" s="105"/>
      <c r="G315" s="103"/>
      <c r="H315" s="103"/>
      <c r="I315" s="106"/>
      <c r="J315" s="106"/>
      <c r="K315" s="106"/>
      <c r="L315" s="65"/>
      <c r="M315" s="65"/>
      <c r="N315" s="5"/>
      <c r="X315" s="6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3"/>
      <c r="BK315" s="103"/>
      <c r="BL315" s="103"/>
      <c r="BM315" s="103"/>
      <c r="BN315" s="103"/>
      <c r="BO315" s="103"/>
      <c r="BP315" s="103"/>
      <c r="BQ315" s="103"/>
      <c r="BR315" s="103"/>
      <c r="BS315" s="103"/>
      <c r="BT315" s="103"/>
      <c r="BU315" s="103"/>
      <c r="BV315" s="103"/>
      <c r="BW315" s="103"/>
      <c r="BX315" s="103"/>
      <c r="BY315" s="103"/>
      <c r="BZ315" s="103"/>
      <c r="CA315" s="103"/>
      <c r="CB315" s="103"/>
      <c r="CC315" s="103"/>
      <c r="CD315" s="103"/>
      <c r="CE315" s="103"/>
      <c r="CF315" s="103"/>
      <c r="CG315" s="103"/>
      <c r="CH315" s="103"/>
      <c r="CI315" s="103"/>
      <c r="CJ315" s="103"/>
      <c r="CK315" s="103"/>
      <c r="CL315" s="103"/>
      <c r="CM315" s="103"/>
      <c r="CN315" s="103"/>
      <c r="CO315" s="103"/>
      <c r="CP315" s="103"/>
      <c r="CQ315" s="103"/>
      <c r="CR315" s="103"/>
      <c r="CS315" s="103"/>
      <c r="CT315" s="103"/>
      <c r="CU315" s="103"/>
      <c r="CV315" s="103"/>
      <c r="CW315" s="103"/>
      <c r="CX315" s="103"/>
      <c r="CY315" s="103"/>
      <c r="CZ315" s="103"/>
      <c r="DA315" s="103"/>
      <c r="DB315" s="103"/>
      <c r="DC315" s="103"/>
      <c r="DD315" s="103"/>
      <c r="DE315" s="103"/>
      <c r="DF315" s="103"/>
      <c r="DG315" s="103"/>
      <c r="DH315" s="103"/>
      <c r="DI315" s="103"/>
      <c r="DJ315" s="103"/>
      <c r="DK315" s="103"/>
      <c r="DL315" s="103"/>
      <c r="DM315" s="103"/>
      <c r="DN315" s="103"/>
      <c r="DO315" s="103"/>
      <c r="DP315" s="103"/>
      <c r="DQ315" s="103"/>
      <c r="DR315" s="103"/>
      <c r="DS315" s="103"/>
      <c r="DT315" s="103"/>
      <c r="DU315" s="103"/>
      <c r="DV315" s="103"/>
      <c r="DW315" s="103"/>
      <c r="DX315" s="103"/>
      <c r="DY315" s="103"/>
      <c r="DZ315" s="103"/>
      <c r="EA315" s="103"/>
      <c r="EB315" s="103"/>
      <c r="EC315" s="103"/>
      <c r="ED315" s="103"/>
      <c r="EE315" s="103"/>
      <c r="EF315" s="103"/>
      <c r="EG315" s="103"/>
      <c r="EH315" s="103"/>
      <c r="EI315" s="103"/>
      <c r="EJ315" s="103"/>
      <c r="EK315" s="103"/>
      <c r="EL315" s="103"/>
      <c r="EM315" s="103"/>
      <c r="EN315" s="103"/>
      <c r="EO315" s="103"/>
      <c r="EP315" s="103"/>
      <c r="EQ315" s="103"/>
      <c r="ER315" s="103"/>
      <c r="ES315" s="103"/>
      <c r="ET315" s="103"/>
      <c r="EU315" s="103"/>
      <c r="EV315" s="103"/>
      <c r="EW315" s="103"/>
      <c r="EX315" s="103"/>
      <c r="EY315" s="103"/>
      <c r="EZ315" s="103"/>
      <c r="FA315" s="103"/>
      <c r="FB315" s="103"/>
      <c r="FC315" s="103"/>
      <c r="FD315" s="103"/>
      <c r="FE315" s="103"/>
      <c r="FF315" s="103"/>
      <c r="FG315" s="103"/>
      <c r="FH315" s="103"/>
      <c r="FI315" s="103"/>
      <c r="FJ315" s="103"/>
      <c r="FK315" s="103"/>
      <c r="FL315" s="103"/>
      <c r="FM315" s="103"/>
      <c r="FN315" s="103"/>
      <c r="FO315" s="103"/>
      <c r="FP315" s="103"/>
      <c r="FQ315" s="103"/>
      <c r="FR315" s="103"/>
      <c r="FS315" s="103"/>
      <c r="FT315" s="103"/>
      <c r="FU315" s="103"/>
      <c r="FV315" s="103"/>
      <c r="FW315" s="103"/>
      <c r="FX315" s="103"/>
      <c r="FY315" s="103"/>
      <c r="FZ315" s="103"/>
      <c r="GA315" s="103"/>
      <c r="GB315" s="103"/>
      <c r="GC315" s="103"/>
      <c r="GD315" s="103"/>
      <c r="GE315" s="103"/>
      <c r="GF315" s="103"/>
      <c r="GG315" s="103"/>
      <c r="GH315" s="103"/>
      <c r="GI315" s="103"/>
      <c r="GJ315" s="103"/>
      <c r="GK315" s="103"/>
      <c r="GL315" s="103"/>
      <c r="GM315" s="103"/>
      <c r="GN315" s="103"/>
      <c r="GO315" s="103"/>
      <c r="GP315" s="103"/>
      <c r="GQ315" s="103"/>
      <c r="GR315" s="103"/>
      <c r="GS315" s="103"/>
      <c r="GT315" s="103"/>
      <c r="GU315" s="103"/>
      <c r="GV315" s="103"/>
      <c r="GW315" s="103"/>
      <c r="GX315" s="103"/>
      <c r="GY315" s="103"/>
      <c r="GZ315" s="103"/>
      <c r="HA315" s="103"/>
      <c r="HB315" s="103"/>
      <c r="HC315" s="103"/>
      <c r="HD315" s="103"/>
      <c r="HE315" s="103"/>
      <c r="HF315" s="103"/>
      <c r="HG315" s="103"/>
      <c r="HH315" s="103"/>
      <c r="HI315" s="103"/>
      <c r="HJ315" s="103"/>
      <c r="HK315" s="103"/>
      <c r="HL315" s="103"/>
      <c r="HM315" s="103"/>
      <c r="HN315" s="103"/>
      <c r="HO315" s="103"/>
      <c r="HP315" s="103"/>
      <c r="HQ315" s="103"/>
      <c r="HR315" s="103"/>
      <c r="HS315" s="103"/>
      <c r="HT315" s="103"/>
      <c r="HU315" s="103"/>
      <c r="HV315" s="103"/>
      <c r="HW315" s="103"/>
      <c r="HX315" s="103"/>
      <c r="HY315" s="103"/>
      <c r="HZ315" s="103"/>
      <c r="IA315" s="103"/>
      <c r="IB315" s="103"/>
      <c r="IC315" s="103"/>
      <c r="ID315" s="103"/>
      <c r="IE315" s="103"/>
      <c r="IF315" s="103"/>
      <c r="IG315" s="103"/>
      <c r="IH315" s="103"/>
      <c r="II315" s="103"/>
      <c r="IJ315" s="103"/>
      <c r="IK315" s="103"/>
      <c r="IL315" s="103"/>
      <c r="IM315" s="103"/>
      <c r="IN315" s="103"/>
      <c r="IO315" s="103"/>
      <c r="IP315" s="103"/>
      <c r="IQ315" s="103"/>
      <c r="IR315" s="103"/>
      <c r="IS315" s="103"/>
      <c r="IT315" s="103"/>
      <c r="IU315" s="103"/>
      <c r="IV315" s="103"/>
    </row>
    <row r="316" spans="1:256" ht="14.5">
      <c r="A316" s="103"/>
      <c r="B316" s="103"/>
      <c r="C316" s="103"/>
      <c r="D316" s="103"/>
      <c r="F316" s="105"/>
      <c r="G316" s="103"/>
      <c r="H316" s="103"/>
      <c r="I316" s="106"/>
      <c r="J316" s="106"/>
      <c r="K316" s="106"/>
      <c r="L316" s="65"/>
      <c r="M316" s="65"/>
      <c r="N316" s="5"/>
      <c r="X316" s="6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  <c r="BJ316" s="103"/>
      <c r="BK316" s="103"/>
      <c r="BL316" s="103"/>
      <c r="BM316" s="103"/>
      <c r="BN316" s="103"/>
      <c r="BO316" s="103"/>
      <c r="BP316" s="103"/>
      <c r="BQ316" s="103"/>
      <c r="BR316" s="103"/>
      <c r="BS316" s="103"/>
      <c r="BT316" s="103"/>
      <c r="BU316" s="103"/>
      <c r="BV316" s="103"/>
      <c r="BW316" s="103"/>
      <c r="BX316" s="103"/>
      <c r="BY316" s="103"/>
      <c r="BZ316" s="103"/>
      <c r="CA316" s="103"/>
      <c r="CB316" s="103"/>
      <c r="CC316" s="103"/>
      <c r="CD316" s="103"/>
      <c r="CE316" s="103"/>
      <c r="CF316" s="103"/>
      <c r="CG316" s="103"/>
      <c r="CH316" s="103"/>
      <c r="CI316" s="103"/>
      <c r="CJ316" s="103"/>
      <c r="CK316" s="103"/>
      <c r="CL316" s="103"/>
      <c r="CM316" s="103"/>
      <c r="CN316" s="103"/>
      <c r="CO316" s="103"/>
      <c r="CP316" s="103"/>
      <c r="CQ316" s="103"/>
      <c r="CR316" s="103"/>
      <c r="CS316" s="103"/>
      <c r="CT316" s="103"/>
      <c r="CU316" s="103"/>
      <c r="CV316" s="103"/>
      <c r="CW316" s="103"/>
      <c r="CX316" s="103"/>
      <c r="CY316" s="103"/>
      <c r="CZ316" s="103"/>
      <c r="DA316" s="103"/>
      <c r="DB316" s="103"/>
      <c r="DC316" s="103"/>
      <c r="DD316" s="103"/>
      <c r="DE316" s="103"/>
      <c r="DF316" s="103"/>
      <c r="DG316" s="103"/>
      <c r="DH316" s="103"/>
      <c r="DI316" s="103"/>
      <c r="DJ316" s="103"/>
      <c r="DK316" s="103"/>
      <c r="DL316" s="103"/>
      <c r="DM316" s="103"/>
      <c r="DN316" s="103"/>
      <c r="DO316" s="103"/>
      <c r="DP316" s="103"/>
      <c r="DQ316" s="103"/>
      <c r="DR316" s="103"/>
      <c r="DS316" s="103"/>
      <c r="DT316" s="103"/>
      <c r="DU316" s="103"/>
      <c r="DV316" s="103"/>
      <c r="DW316" s="103"/>
      <c r="DX316" s="103"/>
      <c r="DY316" s="103"/>
      <c r="DZ316" s="103"/>
      <c r="EA316" s="103"/>
      <c r="EB316" s="103"/>
      <c r="EC316" s="103"/>
      <c r="ED316" s="103"/>
      <c r="EE316" s="103"/>
      <c r="EF316" s="103"/>
      <c r="EG316" s="103"/>
      <c r="EH316" s="103"/>
      <c r="EI316" s="103"/>
      <c r="EJ316" s="103"/>
      <c r="EK316" s="103"/>
      <c r="EL316" s="103"/>
      <c r="EM316" s="103"/>
      <c r="EN316" s="103"/>
      <c r="EO316" s="103"/>
      <c r="EP316" s="103"/>
      <c r="EQ316" s="103"/>
      <c r="ER316" s="103"/>
      <c r="ES316" s="103"/>
      <c r="ET316" s="103"/>
      <c r="EU316" s="103"/>
      <c r="EV316" s="103"/>
      <c r="EW316" s="103"/>
      <c r="EX316" s="103"/>
      <c r="EY316" s="103"/>
      <c r="EZ316" s="103"/>
      <c r="FA316" s="103"/>
      <c r="FB316" s="103"/>
      <c r="FC316" s="103"/>
      <c r="FD316" s="103"/>
      <c r="FE316" s="103"/>
      <c r="FF316" s="103"/>
      <c r="FG316" s="103"/>
      <c r="FH316" s="103"/>
      <c r="FI316" s="103"/>
      <c r="FJ316" s="103"/>
      <c r="FK316" s="103"/>
      <c r="FL316" s="103"/>
      <c r="FM316" s="103"/>
      <c r="FN316" s="103"/>
      <c r="FO316" s="103"/>
      <c r="FP316" s="103"/>
      <c r="FQ316" s="103"/>
      <c r="FR316" s="103"/>
      <c r="FS316" s="103"/>
      <c r="FT316" s="103"/>
      <c r="FU316" s="103"/>
      <c r="FV316" s="103"/>
      <c r="FW316" s="103"/>
      <c r="FX316" s="103"/>
      <c r="FY316" s="103"/>
      <c r="FZ316" s="103"/>
      <c r="GA316" s="103"/>
      <c r="GB316" s="103"/>
      <c r="GC316" s="103"/>
      <c r="GD316" s="103"/>
      <c r="GE316" s="103"/>
      <c r="GF316" s="103"/>
      <c r="GG316" s="103"/>
      <c r="GH316" s="103"/>
      <c r="GI316" s="103"/>
      <c r="GJ316" s="103"/>
      <c r="GK316" s="103"/>
      <c r="GL316" s="103"/>
      <c r="GM316" s="103"/>
      <c r="GN316" s="103"/>
      <c r="GO316" s="103"/>
      <c r="GP316" s="103"/>
      <c r="GQ316" s="103"/>
      <c r="GR316" s="103"/>
      <c r="GS316" s="103"/>
      <c r="GT316" s="103"/>
      <c r="GU316" s="103"/>
      <c r="GV316" s="103"/>
      <c r="GW316" s="103"/>
      <c r="GX316" s="103"/>
      <c r="GY316" s="103"/>
      <c r="GZ316" s="103"/>
      <c r="HA316" s="103"/>
      <c r="HB316" s="103"/>
      <c r="HC316" s="103"/>
      <c r="HD316" s="103"/>
      <c r="HE316" s="103"/>
      <c r="HF316" s="103"/>
      <c r="HG316" s="103"/>
      <c r="HH316" s="103"/>
      <c r="HI316" s="103"/>
      <c r="HJ316" s="103"/>
      <c r="HK316" s="103"/>
      <c r="HL316" s="103"/>
      <c r="HM316" s="103"/>
      <c r="HN316" s="103"/>
      <c r="HO316" s="103"/>
      <c r="HP316" s="103"/>
      <c r="HQ316" s="103"/>
      <c r="HR316" s="103"/>
      <c r="HS316" s="103"/>
      <c r="HT316" s="103"/>
      <c r="HU316" s="103"/>
      <c r="HV316" s="103"/>
      <c r="HW316" s="103"/>
      <c r="HX316" s="103"/>
      <c r="HY316" s="103"/>
      <c r="HZ316" s="103"/>
      <c r="IA316" s="103"/>
      <c r="IB316" s="103"/>
      <c r="IC316" s="103"/>
      <c r="ID316" s="103"/>
      <c r="IE316" s="103"/>
      <c r="IF316" s="103"/>
      <c r="IG316" s="103"/>
      <c r="IH316" s="103"/>
      <c r="II316" s="103"/>
      <c r="IJ316" s="103"/>
      <c r="IK316" s="103"/>
      <c r="IL316" s="103"/>
      <c r="IM316" s="103"/>
      <c r="IN316" s="103"/>
      <c r="IO316" s="103"/>
      <c r="IP316" s="103"/>
      <c r="IQ316" s="103"/>
      <c r="IR316" s="103"/>
      <c r="IS316" s="103"/>
      <c r="IT316" s="103"/>
      <c r="IU316" s="103"/>
      <c r="IV316" s="103"/>
    </row>
    <row r="318" spans="1:256">
      <c r="A318" s="10" t="s">
        <v>75</v>
      </c>
      <c r="B318" s="10" t="s">
        <v>75</v>
      </c>
      <c r="C318" s="10" t="s">
        <v>75</v>
      </c>
      <c r="D318" s="10" t="s">
        <v>75</v>
      </c>
      <c r="E318" s="10" t="s">
        <v>75</v>
      </c>
      <c r="F318" s="11" t="s">
        <v>75</v>
      </c>
      <c r="G318" s="11" t="s">
        <v>75</v>
      </c>
      <c r="H318" s="11" t="s">
        <v>75</v>
      </c>
      <c r="I318" s="35" t="s">
        <v>75</v>
      </c>
      <c r="J318" s="35" t="s">
        <v>75</v>
      </c>
      <c r="K318" s="35" t="s">
        <v>75</v>
      </c>
      <c r="L318" s="102" t="s">
        <v>75</v>
      </c>
      <c r="M318" s="11" t="s">
        <v>75</v>
      </c>
      <c r="N318" s="11" t="s">
        <v>75</v>
      </c>
      <c r="O318" s="11" t="s">
        <v>75</v>
      </c>
      <c r="P318" s="11" t="s">
        <v>75</v>
      </c>
      <c r="Q318" s="11" t="s">
        <v>75</v>
      </c>
      <c r="R318" s="11" t="s">
        <v>75</v>
      </c>
      <c r="S318" s="11" t="s">
        <v>75</v>
      </c>
      <c r="T318" s="11" t="s">
        <v>75</v>
      </c>
      <c r="U318" s="11" t="s">
        <v>75</v>
      </c>
      <c r="V318" s="11" t="s">
        <v>75</v>
      </c>
      <c r="W318" s="11" t="s">
        <v>75</v>
      </c>
    </row>
  </sheetData>
  <autoFilter ref="A10:AA318" xr:uid="{00000000-0009-0000-0000-000004000000}"/>
  <sortState xmlns:xlrd2="http://schemas.microsoft.com/office/spreadsheetml/2017/richdata2" ref="A141:IX313">
    <sortCondition ref="F141"/>
  </sortState>
  <conditionalFormatting sqref="G7:G8">
    <cfRule type="cellIs" dxfId="24" priority="1" stopIfTrue="1" operator="equal">
      <formula>"Check"</formula>
    </cfRule>
  </conditionalFormatting>
  <pageMargins left="0.75" right="0.75" top="1" bottom="1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363"/>
  <sheetViews>
    <sheetView zoomScale="70" zoomScaleNormal="70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G129" sqref="G129"/>
    </sheetView>
  </sheetViews>
  <sheetFormatPr baseColWidth="10" defaultColWidth="10.83203125" defaultRowHeight="13"/>
  <cols>
    <col min="1" max="1" width="15" style="9" customWidth="1"/>
    <col min="2" max="2" width="29.83203125" style="5" bestFit="1" customWidth="1"/>
    <col min="3" max="3" width="20.5" style="5" customWidth="1"/>
    <col min="4" max="4" width="13.1640625" style="34" bestFit="1" customWidth="1"/>
    <col min="5" max="5" width="33.1640625" style="88" bestFit="1" customWidth="1"/>
    <col min="6" max="6" width="10.5" style="36" bestFit="1" customWidth="1"/>
    <col min="7" max="7" width="31.5" style="5" bestFit="1" customWidth="1"/>
    <col min="8" max="8" width="13" style="5" bestFit="1" customWidth="1"/>
    <col min="9" max="9" width="22.5" style="62" customWidth="1"/>
    <col min="10" max="10" width="19.1640625" style="62" customWidth="1"/>
    <col min="11" max="11" width="20.1640625" style="62" customWidth="1"/>
    <col min="12" max="12" width="13.1640625" style="100" customWidth="1"/>
    <col min="13" max="13" width="18.83203125" style="5" customWidth="1"/>
    <col min="14" max="14" width="12.5" style="34" customWidth="1"/>
    <col min="15" max="15" width="28.1640625" style="5" customWidth="1"/>
    <col min="16" max="16" width="36.1640625" style="5" customWidth="1"/>
    <col min="17" max="17" width="13.83203125" style="5" customWidth="1"/>
    <col min="18" max="18" width="109.33203125" style="5" bestFit="1" customWidth="1"/>
    <col min="19" max="19" width="100.1640625" style="5" bestFit="1" customWidth="1"/>
    <col min="20" max="20" width="21.5" style="5" customWidth="1"/>
    <col min="21" max="21" width="38.83203125" style="5" bestFit="1" customWidth="1"/>
    <col min="22" max="22" width="35.5" style="5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+SUMIF($E$10:$E$134,H4,$I$10:$I$134)</f>
        <v>3417294</v>
      </c>
      <c r="J4" s="298">
        <f>+SUMIF($E$10:$E$134,H4,$J$10:$J$134)</f>
        <v>2432.2377224199299</v>
      </c>
      <c r="K4" s="299">
        <f>+I4/J4</f>
        <v>1404.9999999999993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ROUND(SUM(I10:I363),0)</f>
        <v>0</v>
      </c>
      <c r="J7" s="61">
        <f>ROUND(SUM(J10:J363),0)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SUM(I10:I134)</f>
        <v>27266203.350000001</v>
      </c>
      <c r="J9" s="104">
        <f>SUM(J10:J134)</f>
        <v>19406.550427046252</v>
      </c>
      <c r="L9" s="62"/>
      <c r="M9" s="62"/>
      <c r="N9" s="62"/>
    </row>
    <row r="10" spans="1:40" ht="32">
      <c r="B10" s="12" t="s">
        <v>81</v>
      </c>
      <c r="C10" s="9"/>
      <c r="D10" s="12" t="s">
        <v>71</v>
      </c>
      <c r="E10" s="12" t="s">
        <v>72</v>
      </c>
      <c r="F10" s="37" t="s">
        <v>22</v>
      </c>
      <c r="G10" s="7" t="s">
        <v>21</v>
      </c>
      <c r="H10" s="7"/>
      <c r="I10" s="8" t="s">
        <v>20</v>
      </c>
      <c r="J10" s="8" t="s">
        <v>18</v>
      </c>
      <c r="K10" s="71" t="s">
        <v>70</v>
      </c>
      <c r="L10" s="101" t="s">
        <v>16</v>
      </c>
      <c r="M10" s="7" t="s">
        <v>15</v>
      </c>
      <c r="N10" s="7" t="s">
        <v>14</v>
      </c>
      <c r="O10" s="7" t="s">
        <v>13</v>
      </c>
      <c r="P10" s="7" t="s">
        <v>12</v>
      </c>
      <c r="Q10" s="7" t="s">
        <v>11</v>
      </c>
      <c r="R10" s="7" t="s">
        <v>10</v>
      </c>
      <c r="S10" s="7" t="s">
        <v>9</v>
      </c>
      <c r="T10" s="7" t="s">
        <v>8</v>
      </c>
      <c r="U10" s="7" t="s">
        <v>7</v>
      </c>
      <c r="V10" s="7" t="s">
        <v>6</v>
      </c>
      <c r="W10" s="7" t="s">
        <v>5</v>
      </c>
      <c r="X10" s="8" t="s">
        <v>19</v>
      </c>
      <c r="Y10" s="7"/>
      <c r="Z10" s="7" t="s">
        <v>18</v>
      </c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1" spans="1:40" ht="28">
      <c r="C11" s="5" t="s">
        <v>1857</v>
      </c>
      <c r="D11" s="214" t="s">
        <v>383</v>
      </c>
      <c r="E11" s="212" t="str">
        <f>+VLOOKUP(F11,Resumen_Base!$B$6:$F$69,5,0)</f>
        <v>Fixed Asset's Payments (Investments) Mejoras/equipamiento Lodge</v>
      </c>
      <c r="F11" s="34" t="s">
        <v>4</v>
      </c>
      <c r="G11" s="88" t="s">
        <v>3</v>
      </c>
      <c r="H11" s="5" t="str">
        <f>+D11&amp;F11</f>
        <v>DEL12020301</v>
      </c>
      <c r="I11" s="307">
        <v>5600</v>
      </c>
      <c r="J11" s="6">
        <v>3.9857651245551602</v>
      </c>
      <c r="K11" s="6">
        <v>1405</v>
      </c>
      <c r="L11" s="62" t="s">
        <v>2418</v>
      </c>
      <c r="M11" s="62" t="s">
        <v>452</v>
      </c>
      <c r="N11" s="62" t="s">
        <v>464</v>
      </c>
      <c r="O11" s="100" t="s">
        <v>2584</v>
      </c>
      <c r="P11" s="5" t="s">
        <v>2407</v>
      </c>
      <c r="Q11" s="34" t="s">
        <v>2585</v>
      </c>
      <c r="R11" s="5" t="s">
        <v>2589</v>
      </c>
      <c r="S11" s="5" t="s">
        <v>2586</v>
      </c>
      <c r="T11" s="5" t="s">
        <v>445</v>
      </c>
    </row>
    <row r="12" spans="1:40" ht="14">
      <c r="C12" s="5" t="s">
        <v>1857</v>
      </c>
      <c r="D12" s="214" t="s">
        <v>383</v>
      </c>
      <c r="E12" s="212" t="str">
        <f>+VLOOKUP(F12,Resumen_Base!$B$6:$F$69,5,0)</f>
        <v>Shop</v>
      </c>
      <c r="F12" s="34" t="s">
        <v>130</v>
      </c>
      <c r="G12" s="88" t="s">
        <v>131</v>
      </c>
      <c r="H12" s="5" t="str">
        <f t="shared" ref="H12:H75" si="0">+D12&amp;F12</f>
        <v>DEL4104</v>
      </c>
      <c r="I12" s="307">
        <v>-281000</v>
      </c>
      <c r="J12" s="6">
        <v>-200</v>
      </c>
      <c r="K12" s="6">
        <v>1405</v>
      </c>
      <c r="L12" s="62" t="s">
        <v>2469</v>
      </c>
      <c r="M12" s="62" t="s">
        <v>1382</v>
      </c>
      <c r="N12" s="62" t="s">
        <v>464</v>
      </c>
      <c r="O12" s="100" t="s">
        <v>2616</v>
      </c>
      <c r="P12" s="5" t="s">
        <v>2612</v>
      </c>
      <c r="Q12" s="34" t="s">
        <v>2617</v>
      </c>
      <c r="R12" s="5" t="s">
        <v>2618</v>
      </c>
      <c r="S12" s="5" t="s">
        <v>2619</v>
      </c>
      <c r="T12" s="5" t="s">
        <v>445</v>
      </c>
    </row>
    <row r="13" spans="1:40" ht="14">
      <c r="C13" s="5" t="s">
        <v>1857</v>
      </c>
      <c r="D13" s="214" t="s">
        <v>383</v>
      </c>
      <c r="E13" s="212" t="str">
        <f>+VLOOKUP(F13,Resumen_Base!$B$6:$F$69,5,0)</f>
        <v>Shop</v>
      </c>
      <c r="F13" s="34" t="s">
        <v>130</v>
      </c>
      <c r="G13" s="88" t="s">
        <v>131</v>
      </c>
      <c r="H13" s="5" t="str">
        <f t="shared" si="0"/>
        <v>DEL4104</v>
      </c>
      <c r="I13" s="307">
        <v>-70250</v>
      </c>
      <c r="J13" s="6">
        <v>-50</v>
      </c>
      <c r="K13" s="6">
        <v>1405</v>
      </c>
      <c r="L13" s="62" t="s">
        <v>2469</v>
      </c>
      <c r="M13" s="62" t="s">
        <v>1382</v>
      </c>
      <c r="N13" s="62" t="s">
        <v>464</v>
      </c>
      <c r="O13" s="100" t="s">
        <v>2616</v>
      </c>
      <c r="P13" s="5" t="s">
        <v>2612</v>
      </c>
      <c r="Q13" s="34" t="s">
        <v>2617</v>
      </c>
      <c r="R13" s="5" t="s">
        <v>2618</v>
      </c>
      <c r="S13" s="5" t="s">
        <v>2619</v>
      </c>
      <c r="T13" s="5" t="s">
        <v>445</v>
      </c>
    </row>
    <row r="14" spans="1:40" ht="14">
      <c r="C14" s="5" t="s">
        <v>1857</v>
      </c>
      <c r="D14" s="214" t="s">
        <v>383</v>
      </c>
      <c r="E14" s="212" t="str">
        <f>+VLOOKUP(F14,Resumen_Base!$B$6:$F$69,5,0)</f>
        <v>Canon Lodge/Labor Permits:</v>
      </c>
      <c r="F14" s="34" t="s">
        <v>141</v>
      </c>
      <c r="G14" s="88" t="s">
        <v>142</v>
      </c>
      <c r="H14" s="5" t="str">
        <f t="shared" si="0"/>
        <v>DEL5208</v>
      </c>
      <c r="I14" s="307">
        <v>384000</v>
      </c>
      <c r="J14" s="6">
        <v>273.30960854092501</v>
      </c>
      <c r="K14" s="6">
        <v>1405</v>
      </c>
      <c r="L14" s="62" t="s">
        <v>2405</v>
      </c>
      <c r="M14" s="62" t="s">
        <v>452</v>
      </c>
      <c r="N14" s="62" t="s">
        <v>464</v>
      </c>
      <c r="O14" s="100" t="s">
        <v>2563</v>
      </c>
      <c r="P14" s="5" t="s">
        <v>2407</v>
      </c>
      <c r="Q14" s="34" t="s">
        <v>2564</v>
      </c>
      <c r="R14" s="5" t="s">
        <v>2590</v>
      </c>
      <c r="S14" s="5" t="s">
        <v>2566</v>
      </c>
      <c r="T14" s="5" t="s">
        <v>445</v>
      </c>
    </row>
    <row r="15" spans="1:40" ht="28">
      <c r="C15" s="5" t="s">
        <v>1857</v>
      </c>
      <c r="D15" s="214" t="s">
        <v>383</v>
      </c>
      <c r="E15" s="212" t="str">
        <f>+VLOOKUP(F15,Resumen_Base!$B$6:$F$69,5,0)</f>
        <v>Communications - Phone, internet and satellite TV</v>
      </c>
      <c r="F15" s="34" t="s">
        <v>52</v>
      </c>
      <c r="G15" s="88" t="s">
        <v>143</v>
      </c>
      <c r="H15" s="5" t="str">
        <f t="shared" si="0"/>
        <v>DEL5209</v>
      </c>
      <c r="I15" s="307">
        <v>58251.3</v>
      </c>
      <c r="J15" s="6">
        <v>41.46</v>
      </c>
      <c r="K15" s="6">
        <v>1405</v>
      </c>
      <c r="L15" s="62" t="s">
        <v>2405</v>
      </c>
      <c r="M15" s="62" t="s">
        <v>452</v>
      </c>
      <c r="N15" s="62" t="s">
        <v>464</v>
      </c>
      <c r="O15" s="100" t="s">
        <v>2427</v>
      </c>
      <c r="P15" s="5" t="s">
        <v>2407</v>
      </c>
      <c r="Q15" s="34" t="s">
        <v>2428</v>
      </c>
      <c r="R15" s="5" t="s">
        <v>2561</v>
      </c>
      <c r="S15" s="5" t="s">
        <v>2430</v>
      </c>
      <c r="T15" s="5" t="s">
        <v>445</v>
      </c>
    </row>
    <row r="16" spans="1:40" ht="28">
      <c r="C16" s="5" t="s">
        <v>1857</v>
      </c>
      <c r="D16" s="214" t="s">
        <v>383</v>
      </c>
      <c r="E16" s="212" t="str">
        <f>+VLOOKUP(F16,Resumen_Base!$B$6:$F$69,5,0)</f>
        <v>Communications - Phone, internet and satellite TV</v>
      </c>
      <c r="F16" s="34" t="s">
        <v>52</v>
      </c>
      <c r="G16" s="88" t="s">
        <v>143</v>
      </c>
      <c r="H16" s="5" t="str">
        <f t="shared" si="0"/>
        <v>DEL5209</v>
      </c>
      <c r="I16" s="307">
        <v>5072.05</v>
      </c>
      <c r="J16" s="6">
        <v>3.61</v>
      </c>
      <c r="K16" s="6">
        <v>1405</v>
      </c>
      <c r="L16" s="62" t="s">
        <v>2405</v>
      </c>
      <c r="M16" s="62" t="s">
        <v>452</v>
      </c>
      <c r="N16" s="62" t="s">
        <v>464</v>
      </c>
      <c r="O16" s="100" t="s">
        <v>2427</v>
      </c>
      <c r="P16" s="5" t="s">
        <v>2407</v>
      </c>
      <c r="Q16" s="34" t="s">
        <v>2428</v>
      </c>
      <c r="R16" s="5" t="s">
        <v>2562</v>
      </c>
      <c r="S16" s="5" t="s">
        <v>2430</v>
      </c>
      <c r="T16" s="5" t="s">
        <v>445</v>
      </c>
    </row>
    <row r="17" spans="3:20" ht="14">
      <c r="C17" s="5" t="s">
        <v>1857</v>
      </c>
      <c r="D17" s="214" t="s">
        <v>383</v>
      </c>
      <c r="E17" s="212" t="str">
        <f>+VLOOKUP(F17,Resumen_Base!$B$6:$F$69,5,0)</f>
        <v>Miscellaneous &amp; Shipping</v>
      </c>
      <c r="F17" s="34" t="s">
        <v>54</v>
      </c>
      <c r="G17" s="88" t="s">
        <v>55</v>
      </c>
      <c r="H17" s="5" t="str">
        <f t="shared" si="0"/>
        <v>DEL5219</v>
      </c>
      <c r="I17" s="307">
        <v>51000</v>
      </c>
      <c r="J17" s="6">
        <v>36.298932384341597</v>
      </c>
      <c r="K17" s="6">
        <v>1405</v>
      </c>
      <c r="L17" s="62" t="s">
        <v>2405</v>
      </c>
      <c r="M17" s="62" t="s">
        <v>452</v>
      </c>
      <c r="N17" s="62" t="s">
        <v>464</v>
      </c>
      <c r="O17" s="100" t="s">
        <v>2464</v>
      </c>
      <c r="P17" s="5" t="s">
        <v>2407</v>
      </c>
      <c r="Q17" s="34" t="s">
        <v>2465</v>
      </c>
      <c r="R17" s="5" t="s">
        <v>2483</v>
      </c>
      <c r="S17" s="5" t="s">
        <v>2467</v>
      </c>
      <c r="T17" s="5" t="s">
        <v>445</v>
      </c>
    </row>
    <row r="18" spans="3:20" ht="14">
      <c r="C18" s="5" t="s">
        <v>1857</v>
      </c>
      <c r="D18" s="214" t="s">
        <v>383</v>
      </c>
      <c r="E18" s="212" t="str">
        <f>+VLOOKUP(F18,Resumen_Base!$B$6:$F$69,5,0)</f>
        <v>Work uniforms for personnel (employees)</v>
      </c>
      <c r="F18" s="34" t="s">
        <v>56</v>
      </c>
      <c r="G18" s="88" t="s">
        <v>57</v>
      </c>
      <c r="H18" s="5" t="str">
        <f t="shared" si="0"/>
        <v>DEL5220</v>
      </c>
      <c r="I18" s="307">
        <v>39000</v>
      </c>
      <c r="J18" s="6">
        <v>27.7580071174377</v>
      </c>
      <c r="K18" s="6">
        <v>1405</v>
      </c>
      <c r="L18" s="62" t="s">
        <v>2469</v>
      </c>
      <c r="M18" s="62" t="s">
        <v>452</v>
      </c>
      <c r="N18" s="62" t="s">
        <v>464</v>
      </c>
      <c r="O18" s="100" t="s">
        <v>2470</v>
      </c>
      <c r="P18" s="5" t="s">
        <v>2407</v>
      </c>
      <c r="Q18" s="34" t="s">
        <v>2471</v>
      </c>
      <c r="R18" s="5" t="s">
        <v>2482</v>
      </c>
      <c r="S18" s="5" t="s">
        <v>2472</v>
      </c>
      <c r="T18" s="5" t="s">
        <v>445</v>
      </c>
    </row>
    <row r="19" spans="3:20" ht="14">
      <c r="C19" s="5" t="s">
        <v>1857</v>
      </c>
      <c r="D19" s="214" t="s">
        <v>383</v>
      </c>
      <c r="E19" s="212" t="str">
        <f>+VLOOKUP(F19,Resumen_Base!$B$6:$F$69,5,0)</f>
        <v>Services/House</v>
      </c>
      <c r="F19" s="34" t="s">
        <v>148</v>
      </c>
      <c r="G19" s="88" t="s">
        <v>283</v>
      </c>
      <c r="H19" s="5" t="str">
        <f t="shared" si="0"/>
        <v>DEL5226</v>
      </c>
      <c r="I19" s="307">
        <v>2069565</v>
      </c>
      <c r="J19" s="6">
        <v>1473</v>
      </c>
      <c r="K19" s="6">
        <v>1405</v>
      </c>
      <c r="L19" s="62" t="s">
        <v>2405</v>
      </c>
      <c r="M19" s="62" t="s">
        <v>452</v>
      </c>
      <c r="N19" s="62" t="s">
        <v>464</v>
      </c>
      <c r="O19" s="100" t="s">
        <v>2411</v>
      </c>
      <c r="P19" s="5" t="s">
        <v>2407</v>
      </c>
      <c r="Q19" s="34" t="s">
        <v>2412</v>
      </c>
      <c r="R19" s="5" t="s">
        <v>2417</v>
      </c>
      <c r="S19" s="5" t="s">
        <v>2414</v>
      </c>
      <c r="T19" s="5" t="s">
        <v>445</v>
      </c>
    </row>
    <row r="20" spans="3:20" ht="14">
      <c r="C20" s="5" t="s">
        <v>1857</v>
      </c>
      <c r="D20" s="214" t="s">
        <v>383</v>
      </c>
      <c r="E20" s="212" t="str">
        <f>+VLOOKUP(F20,Resumen_Base!$B$6:$F$69,5,0)</f>
        <v>Services/House</v>
      </c>
      <c r="F20" s="34" t="s">
        <v>148</v>
      </c>
      <c r="G20" s="88" t="s">
        <v>283</v>
      </c>
      <c r="H20" s="5" t="str">
        <f t="shared" si="0"/>
        <v>DEL5226</v>
      </c>
      <c r="I20" s="307">
        <v>140500</v>
      </c>
      <c r="J20" s="6">
        <v>100</v>
      </c>
      <c r="K20" s="6">
        <v>1405</v>
      </c>
      <c r="L20" s="62" t="s">
        <v>2469</v>
      </c>
      <c r="M20" s="62" t="s">
        <v>452</v>
      </c>
      <c r="N20" s="62" t="s">
        <v>464</v>
      </c>
      <c r="O20" s="100" t="s">
        <v>2509</v>
      </c>
      <c r="P20" s="5" t="s">
        <v>2407</v>
      </c>
      <c r="Q20" s="34" t="s">
        <v>2510</v>
      </c>
      <c r="R20" s="5" t="s">
        <v>2511</v>
      </c>
      <c r="S20" s="5" t="s">
        <v>2512</v>
      </c>
      <c r="T20" s="5" t="s">
        <v>445</v>
      </c>
    </row>
    <row r="21" spans="3:20" ht="14">
      <c r="C21" s="5" t="s">
        <v>1857</v>
      </c>
      <c r="D21" s="214" t="s">
        <v>383</v>
      </c>
      <c r="E21" s="212" t="str">
        <f>+VLOOKUP(F21,Resumen_Base!$B$6:$F$69,5,0)</f>
        <v>Services/House</v>
      </c>
      <c r="F21" s="34" t="s">
        <v>148</v>
      </c>
      <c r="G21" s="88" t="s">
        <v>283</v>
      </c>
      <c r="H21" s="5" t="str">
        <f t="shared" si="0"/>
        <v>DEL5226</v>
      </c>
      <c r="I21" s="307">
        <v>76500</v>
      </c>
      <c r="J21" s="6">
        <v>54.448398576512503</v>
      </c>
      <c r="K21" s="6">
        <v>1405</v>
      </c>
      <c r="L21" s="62" t="s">
        <v>2405</v>
      </c>
      <c r="M21" s="62" t="s">
        <v>452</v>
      </c>
      <c r="N21" s="62" t="s">
        <v>464</v>
      </c>
      <c r="O21" s="100" t="s">
        <v>2464</v>
      </c>
      <c r="P21" s="5" t="s">
        <v>2407</v>
      </c>
      <c r="Q21" s="34" t="s">
        <v>2465</v>
      </c>
      <c r="R21" s="5" t="s">
        <v>2519</v>
      </c>
      <c r="S21" s="5" t="s">
        <v>2467</v>
      </c>
      <c r="T21" s="5" t="s">
        <v>445</v>
      </c>
    </row>
    <row r="22" spans="3:20" ht="14">
      <c r="C22" s="5" t="s">
        <v>1857</v>
      </c>
      <c r="D22" s="214" t="s">
        <v>383</v>
      </c>
      <c r="E22" s="212" t="str">
        <f>+VLOOKUP(F22,Resumen_Base!$B$6:$F$69,5,0)</f>
        <v>Services/House</v>
      </c>
      <c r="F22" s="34" t="s">
        <v>148</v>
      </c>
      <c r="G22" s="88" t="s">
        <v>283</v>
      </c>
      <c r="H22" s="5" t="str">
        <f t="shared" si="0"/>
        <v>DEL5226</v>
      </c>
      <c r="I22" s="307">
        <v>27900</v>
      </c>
      <c r="J22" s="6">
        <v>19.857651245551601</v>
      </c>
      <c r="K22" s="6">
        <v>1405</v>
      </c>
      <c r="L22" s="62" t="s">
        <v>2469</v>
      </c>
      <c r="M22" s="62" t="s">
        <v>452</v>
      </c>
      <c r="N22" s="62" t="s">
        <v>464</v>
      </c>
      <c r="O22" s="100" t="s">
        <v>2470</v>
      </c>
      <c r="P22" s="5" t="s">
        <v>2407</v>
      </c>
      <c r="Q22" s="34" t="s">
        <v>2471</v>
      </c>
      <c r="R22" s="5" t="s">
        <v>2520</v>
      </c>
      <c r="S22" s="5" t="s">
        <v>2472</v>
      </c>
      <c r="T22" s="5" t="s">
        <v>445</v>
      </c>
    </row>
    <row r="23" spans="3:20" ht="14">
      <c r="C23" s="5" t="s">
        <v>1857</v>
      </c>
      <c r="D23" s="214" t="s">
        <v>383</v>
      </c>
      <c r="E23" s="212" t="str">
        <f>+VLOOKUP(F23,Resumen_Base!$B$6:$F$69,5,0)</f>
        <v>Services/House</v>
      </c>
      <c r="F23" s="34" t="s">
        <v>148</v>
      </c>
      <c r="G23" s="88" t="s">
        <v>283</v>
      </c>
      <c r="H23" s="5" t="str">
        <f t="shared" si="0"/>
        <v>DEL5226</v>
      </c>
      <c r="I23" s="307">
        <v>1503350</v>
      </c>
      <c r="J23" s="6">
        <v>1070</v>
      </c>
      <c r="K23" s="6">
        <v>1405</v>
      </c>
      <c r="L23" s="62" t="s">
        <v>2469</v>
      </c>
      <c r="M23" s="62" t="s">
        <v>452</v>
      </c>
      <c r="N23" s="62" t="s">
        <v>464</v>
      </c>
      <c r="O23" s="100" t="s">
        <v>2509</v>
      </c>
      <c r="P23" s="5" t="s">
        <v>2407</v>
      </c>
      <c r="Q23" s="34" t="s">
        <v>2510</v>
      </c>
      <c r="R23" s="5" t="s">
        <v>2523</v>
      </c>
      <c r="S23" s="5" t="s">
        <v>2512</v>
      </c>
      <c r="T23" s="5" t="s">
        <v>445</v>
      </c>
    </row>
    <row r="24" spans="3:20" ht="14">
      <c r="C24" s="5" t="s">
        <v>1857</v>
      </c>
      <c r="D24" s="214" t="s">
        <v>383</v>
      </c>
      <c r="E24" s="212" t="str">
        <f>+VLOOKUP(F24,Resumen_Base!$B$6:$F$69,5,0)</f>
        <v>Services/House</v>
      </c>
      <c r="F24" s="34" t="s">
        <v>148</v>
      </c>
      <c r="G24" s="88" t="s">
        <v>283</v>
      </c>
      <c r="H24" s="5" t="str">
        <f t="shared" si="0"/>
        <v>DEL5226</v>
      </c>
      <c r="I24" s="307">
        <v>1784350</v>
      </c>
      <c r="J24" s="6">
        <v>1270</v>
      </c>
      <c r="K24" s="6">
        <v>1405</v>
      </c>
      <c r="L24" s="62" t="s">
        <v>2469</v>
      </c>
      <c r="M24" s="62" t="s">
        <v>452</v>
      </c>
      <c r="N24" s="62" t="s">
        <v>464</v>
      </c>
      <c r="O24" s="100" t="s">
        <v>2509</v>
      </c>
      <c r="P24" s="5" t="s">
        <v>2407</v>
      </c>
      <c r="Q24" s="34" t="s">
        <v>2510</v>
      </c>
      <c r="R24" s="5" t="s">
        <v>2525</v>
      </c>
      <c r="S24" s="5" t="s">
        <v>2512</v>
      </c>
      <c r="T24" s="5" t="s">
        <v>445</v>
      </c>
    </row>
    <row r="25" spans="3:20" ht="14">
      <c r="C25" s="5" t="s">
        <v>1857</v>
      </c>
      <c r="D25" s="214" t="s">
        <v>383</v>
      </c>
      <c r="E25" s="212" t="str">
        <f>+VLOOKUP(F25,Resumen_Base!$B$6:$F$69,5,0)</f>
        <v>Services/House</v>
      </c>
      <c r="F25" s="34" t="s">
        <v>148</v>
      </c>
      <c r="G25" s="88" t="s">
        <v>283</v>
      </c>
      <c r="H25" s="5" t="str">
        <f t="shared" si="0"/>
        <v>DEL5226</v>
      </c>
      <c r="I25" s="307">
        <v>730600</v>
      </c>
      <c r="J25" s="6">
        <v>520</v>
      </c>
      <c r="K25" s="6">
        <v>1405</v>
      </c>
      <c r="L25" s="62" t="s">
        <v>2405</v>
      </c>
      <c r="M25" s="62" t="s">
        <v>452</v>
      </c>
      <c r="N25" s="62" t="s">
        <v>464</v>
      </c>
      <c r="O25" s="100" t="s">
        <v>2526</v>
      </c>
      <c r="P25" s="5" t="s">
        <v>2407</v>
      </c>
      <c r="Q25" s="34" t="s">
        <v>2527</v>
      </c>
      <c r="R25" s="5" t="s">
        <v>2532</v>
      </c>
      <c r="S25" s="5" t="s">
        <v>2529</v>
      </c>
      <c r="T25" s="5" t="s">
        <v>445</v>
      </c>
    </row>
    <row r="26" spans="3:20" ht="14">
      <c r="C26" s="5" t="s">
        <v>1857</v>
      </c>
      <c r="D26" s="214" t="s">
        <v>383</v>
      </c>
      <c r="E26" s="212" t="str">
        <f>+VLOOKUP(F26,Resumen_Base!$B$6:$F$69,5,0)</f>
        <v>Services/House</v>
      </c>
      <c r="F26" s="34" t="s">
        <v>148</v>
      </c>
      <c r="G26" s="88" t="s">
        <v>283</v>
      </c>
      <c r="H26" s="5" t="str">
        <f t="shared" si="0"/>
        <v>DEL5226</v>
      </c>
      <c r="I26" s="307">
        <v>779775</v>
      </c>
      <c r="J26" s="6">
        <v>555</v>
      </c>
      <c r="K26" s="6">
        <v>1405</v>
      </c>
      <c r="L26" s="62" t="s">
        <v>2405</v>
      </c>
      <c r="M26" s="62" t="s">
        <v>452</v>
      </c>
      <c r="N26" s="62" t="s">
        <v>464</v>
      </c>
      <c r="O26" s="100" t="s">
        <v>2526</v>
      </c>
      <c r="P26" s="5" t="s">
        <v>2407</v>
      </c>
      <c r="Q26" s="34" t="s">
        <v>2527</v>
      </c>
      <c r="R26" s="5" t="s">
        <v>2533</v>
      </c>
      <c r="S26" s="5" t="s">
        <v>2529</v>
      </c>
      <c r="T26" s="5" t="s">
        <v>445</v>
      </c>
    </row>
    <row r="27" spans="3:20" ht="14">
      <c r="C27" s="5" t="s">
        <v>1857</v>
      </c>
      <c r="D27" s="214" t="s">
        <v>383</v>
      </c>
      <c r="E27" s="212" t="str">
        <f>+VLOOKUP(F27,Resumen_Base!$B$6:$F$69,5,0)</f>
        <v>Services/House</v>
      </c>
      <c r="F27" s="34" t="s">
        <v>148</v>
      </c>
      <c r="G27" s="88" t="s">
        <v>283</v>
      </c>
      <c r="H27" s="5" t="str">
        <f t="shared" si="0"/>
        <v>DEL5226</v>
      </c>
      <c r="I27" s="307">
        <v>447943</v>
      </c>
      <c r="J27" s="6">
        <v>318.82064056939498</v>
      </c>
      <c r="K27" s="6">
        <v>1405</v>
      </c>
      <c r="L27" s="62" t="s">
        <v>2405</v>
      </c>
      <c r="M27" s="62" t="s">
        <v>452</v>
      </c>
      <c r="N27" s="62" t="s">
        <v>464</v>
      </c>
      <c r="O27" s="100" t="s">
        <v>2563</v>
      </c>
      <c r="P27" s="5" t="s">
        <v>2407</v>
      </c>
      <c r="Q27" s="34" t="s">
        <v>2564</v>
      </c>
      <c r="R27" s="5" t="s">
        <v>2565</v>
      </c>
      <c r="S27" s="5" t="s">
        <v>2566</v>
      </c>
      <c r="T27" s="5" t="s">
        <v>445</v>
      </c>
    </row>
    <row r="28" spans="3:20" ht="14">
      <c r="C28" s="5" t="s">
        <v>1857</v>
      </c>
      <c r="D28" s="214" t="s">
        <v>383</v>
      </c>
      <c r="E28" s="212" t="str">
        <f>+VLOOKUP(F28,Resumen_Base!$B$6:$F$69,5,0)</f>
        <v>Guides</v>
      </c>
      <c r="F28" s="34" t="s">
        <v>149</v>
      </c>
      <c r="G28" s="88" t="s">
        <v>284</v>
      </c>
      <c r="H28" s="5" t="str">
        <f t="shared" si="0"/>
        <v>DEL5227</v>
      </c>
      <c r="I28" s="307">
        <v>913250</v>
      </c>
      <c r="J28" s="6">
        <v>650</v>
      </c>
      <c r="K28" s="6">
        <v>1405</v>
      </c>
      <c r="L28" s="62" t="s">
        <v>2469</v>
      </c>
      <c r="M28" s="62" t="s">
        <v>452</v>
      </c>
      <c r="N28" s="62" t="s">
        <v>464</v>
      </c>
      <c r="O28" s="100" t="s">
        <v>2509</v>
      </c>
      <c r="P28" s="5" t="s">
        <v>2407</v>
      </c>
      <c r="Q28" s="34" t="s">
        <v>2510</v>
      </c>
      <c r="R28" s="5" t="s">
        <v>2524</v>
      </c>
      <c r="S28" s="5" t="s">
        <v>2512</v>
      </c>
      <c r="T28" s="5" t="s">
        <v>445</v>
      </c>
    </row>
    <row r="29" spans="3:20" ht="14">
      <c r="C29" s="5" t="s">
        <v>1857</v>
      </c>
      <c r="D29" s="214" t="s">
        <v>383</v>
      </c>
      <c r="E29" s="212" t="str">
        <f>+VLOOKUP(F29,Resumen_Base!$B$6:$F$69,5,0)</f>
        <v>Guides</v>
      </c>
      <c r="F29" s="34" t="s">
        <v>149</v>
      </c>
      <c r="G29" s="88" t="s">
        <v>284</v>
      </c>
      <c r="H29" s="5" t="str">
        <f t="shared" si="0"/>
        <v>DEL5227</v>
      </c>
      <c r="I29" s="307">
        <v>2810000</v>
      </c>
      <c r="J29" s="6">
        <v>2000</v>
      </c>
      <c r="K29" s="6">
        <v>1405</v>
      </c>
      <c r="L29" s="62" t="s">
        <v>2405</v>
      </c>
      <c r="M29" s="62" t="s">
        <v>452</v>
      </c>
      <c r="N29" s="62" t="s">
        <v>464</v>
      </c>
      <c r="O29" s="100" t="s">
        <v>2411</v>
      </c>
      <c r="P29" s="5" t="s">
        <v>2407</v>
      </c>
      <c r="Q29" s="34" t="s">
        <v>2412</v>
      </c>
      <c r="R29" s="5" t="s">
        <v>2559</v>
      </c>
      <c r="S29" s="5" t="s">
        <v>2414</v>
      </c>
      <c r="T29" s="5" t="s">
        <v>445</v>
      </c>
    </row>
    <row r="30" spans="3:20" ht="14">
      <c r="C30" s="5" t="s">
        <v>1857</v>
      </c>
      <c r="D30" s="214" t="s">
        <v>383</v>
      </c>
      <c r="E30" s="212" t="str">
        <f>+VLOOKUP(F30,Resumen_Base!$B$6:$F$69,5,0)</f>
        <v>Manager</v>
      </c>
      <c r="F30" s="34" t="s">
        <v>150</v>
      </c>
      <c r="G30" s="88" t="s">
        <v>285</v>
      </c>
      <c r="H30" s="5" t="str">
        <f t="shared" si="0"/>
        <v>DEL5228</v>
      </c>
      <c r="I30" s="307">
        <v>732005</v>
      </c>
      <c r="J30" s="6">
        <v>521</v>
      </c>
      <c r="K30" s="6">
        <v>1405</v>
      </c>
      <c r="L30" s="62" t="s">
        <v>2405</v>
      </c>
      <c r="M30" s="62" t="s">
        <v>452</v>
      </c>
      <c r="N30" s="62" t="s">
        <v>464</v>
      </c>
      <c r="O30" s="100" t="s">
        <v>2411</v>
      </c>
      <c r="P30" s="5" t="s">
        <v>2407</v>
      </c>
      <c r="Q30" s="34" t="s">
        <v>2412</v>
      </c>
      <c r="R30" s="5" t="s">
        <v>2416</v>
      </c>
      <c r="S30" s="5" t="s">
        <v>2414</v>
      </c>
      <c r="T30" s="5" t="s">
        <v>445</v>
      </c>
    </row>
    <row r="31" spans="3:20" ht="14">
      <c r="C31" s="5" t="s">
        <v>1857</v>
      </c>
      <c r="D31" s="214" t="s">
        <v>383</v>
      </c>
      <c r="E31" s="212" t="str">
        <f>+VLOOKUP(F31,Resumen_Base!$B$6:$F$69,5,0)</f>
        <v>Manager</v>
      </c>
      <c r="F31" s="34" t="s">
        <v>150</v>
      </c>
      <c r="G31" s="88" t="s">
        <v>285</v>
      </c>
      <c r="H31" s="5" t="str">
        <f t="shared" si="0"/>
        <v>DEL5228</v>
      </c>
      <c r="I31" s="307">
        <v>983500</v>
      </c>
      <c r="J31" s="6">
        <v>700</v>
      </c>
      <c r="K31" s="6">
        <v>1405</v>
      </c>
      <c r="L31" s="62" t="s">
        <v>2405</v>
      </c>
      <c r="M31" s="62" t="s">
        <v>452</v>
      </c>
      <c r="N31" s="62" t="s">
        <v>464</v>
      </c>
      <c r="O31" s="100" t="s">
        <v>2526</v>
      </c>
      <c r="P31" s="5" t="s">
        <v>2407</v>
      </c>
      <c r="Q31" s="34" t="s">
        <v>2527</v>
      </c>
      <c r="R31" s="5" t="s">
        <v>2528</v>
      </c>
      <c r="S31" s="5" t="s">
        <v>2529</v>
      </c>
      <c r="T31" s="5" t="s">
        <v>445</v>
      </c>
    </row>
    <row r="32" spans="3:20" ht="14">
      <c r="C32" s="5" t="s">
        <v>1857</v>
      </c>
      <c r="D32" s="214" t="s">
        <v>383</v>
      </c>
      <c r="E32" s="212" t="str">
        <f>+VLOOKUP(F32,Resumen_Base!$B$6:$F$69,5,0)</f>
        <v>Manager</v>
      </c>
      <c r="F32" s="34" t="s">
        <v>150</v>
      </c>
      <c r="G32" s="88" t="s">
        <v>285</v>
      </c>
      <c r="H32" s="5" t="str">
        <f t="shared" si="0"/>
        <v>DEL5228</v>
      </c>
      <c r="I32" s="307">
        <v>35300</v>
      </c>
      <c r="J32" s="6">
        <v>25.1245551601424</v>
      </c>
      <c r="K32" s="6">
        <v>1405</v>
      </c>
      <c r="L32" s="62" t="s">
        <v>2405</v>
      </c>
      <c r="M32" s="62" t="s">
        <v>452</v>
      </c>
      <c r="N32" s="62" t="s">
        <v>464</v>
      </c>
      <c r="O32" s="100" t="s">
        <v>2464</v>
      </c>
      <c r="P32" s="5" t="s">
        <v>2407</v>
      </c>
      <c r="Q32" s="34" t="s">
        <v>2465</v>
      </c>
      <c r="R32" s="5" t="s">
        <v>2530</v>
      </c>
      <c r="S32" s="5" t="s">
        <v>2467</v>
      </c>
      <c r="T32" s="5" t="s">
        <v>445</v>
      </c>
    </row>
    <row r="33" spans="3:20" ht="14">
      <c r="C33" s="5" t="s">
        <v>1857</v>
      </c>
      <c r="D33" s="214" t="s">
        <v>383</v>
      </c>
      <c r="E33" s="212" t="str">
        <f>+VLOOKUP(F33,Resumen_Base!$B$6:$F$69,5,0)</f>
        <v>Manager</v>
      </c>
      <c r="F33" s="34" t="s">
        <v>150</v>
      </c>
      <c r="G33" s="88" t="s">
        <v>285</v>
      </c>
      <c r="H33" s="5" t="str">
        <f t="shared" si="0"/>
        <v>DEL5228</v>
      </c>
      <c r="I33" s="307">
        <v>2248000</v>
      </c>
      <c r="J33" s="6">
        <v>1600</v>
      </c>
      <c r="K33" s="6">
        <v>1405</v>
      </c>
      <c r="L33" s="62" t="s">
        <v>2469</v>
      </c>
      <c r="M33" s="62" t="s">
        <v>452</v>
      </c>
      <c r="N33" s="62" t="s">
        <v>464</v>
      </c>
      <c r="O33" s="100" t="s">
        <v>2509</v>
      </c>
      <c r="P33" s="5" t="s">
        <v>2407</v>
      </c>
      <c r="Q33" s="34" t="s">
        <v>2510</v>
      </c>
      <c r="R33" s="5" t="s">
        <v>2531</v>
      </c>
      <c r="S33" s="5" t="s">
        <v>2512</v>
      </c>
      <c r="T33" s="5" t="s">
        <v>445</v>
      </c>
    </row>
    <row r="34" spans="3:20" ht="14">
      <c r="C34" s="5" t="s">
        <v>1857</v>
      </c>
      <c r="D34" s="214" t="s">
        <v>383</v>
      </c>
      <c r="E34" s="212" t="str">
        <f>+VLOOKUP(F34,Resumen_Base!$B$6:$F$69,5,0)</f>
        <v>Social Security Contributions</v>
      </c>
      <c r="F34" s="34" t="s">
        <v>153</v>
      </c>
      <c r="G34" s="88" t="s">
        <v>154</v>
      </c>
      <c r="H34" s="5" t="str">
        <f t="shared" si="0"/>
        <v>DEL5235</v>
      </c>
      <c r="I34" s="307">
        <v>840190</v>
      </c>
      <c r="J34" s="6">
        <v>598</v>
      </c>
      <c r="K34" s="6">
        <v>1405</v>
      </c>
      <c r="L34" s="62" t="s">
        <v>2405</v>
      </c>
      <c r="M34" s="62" t="s">
        <v>452</v>
      </c>
      <c r="N34" s="62" t="s">
        <v>464</v>
      </c>
      <c r="O34" s="100" t="s">
        <v>2411</v>
      </c>
      <c r="P34" s="5" t="s">
        <v>2407</v>
      </c>
      <c r="Q34" s="34" t="s">
        <v>2412</v>
      </c>
      <c r="R34" s="5" t="s">
        <v>2415</v>
      </c>
      <c r="S34" s="5" t="s">
        <v>2414</v>
      </c>
      <c r="T34" s="5" t="s">
        <v>445</v>
      </c>
    </row>
    <row r="35" spans="3:20" ht="14">
      <c r="C35" s="5" t="s">
        <v>1857</v>
      </c>
      <c r="D35" s="214" t="s">
        <v>383</v>
      </c>
      <c r="E35" s="212" t="str">
        <f>+VLOOKUP(F35,Resumen_Base!$B$6:$F$69,5,0)</f>
        <v>Social Security Contributions</v>
      </c>
      <c r="F35" s="34" t="s">
        <v>157</v>
      </c>
      <c r="G35" s="88" t="s">
        <v>158</v>
      </c>
      <c r="H35" s="5" t="str">
        <f t="shared" si="0"/>
        <v>DEL5237</v>
      </c>
      <c r="I35" s="307">
        <v>297860</v>
      </c>
      <c r="J35" s="6">
        <v>212</v>
      </c>
      <c r="K35" s="6">
        <v>1405</v>
      </c>
      <c r="L35" s="62" t="s">
        <v>2405</v>
      </c>
      <c r="M35" s="62" t="s">
        <v>452</v>
      </c>
      <c r="N35" s="62" t="s">
        <v>464</v>
      </c>
      <c r="O35" s="100" t="s">
        <v>2411</v>
      </c>
      <c r="P35" s="5" t="s">
        <v>2407</v>
      </c>
      <c r="Q35" s="34" t="s">
        <v>2412</v>
      </c>
      <c r="R35" s="5" t="s">
        <v>2413</v>
      </c>
      <c r="S35" s="5" t="s">
        <v>2414</v>
      </c>
      <c r="T35" s="5" t="s">
        <v>445</v>
      </c>
    </row>
    <row r="36" spans="3:20" ht="14">
      <c r="C36" s="5" t="s">
        <v>1857</v>
      </c>
      <c r="D36" s="214" t="s">
        <v>383</v>
      </c>
      <c r="E36" s="212" t="str">
        <f>+VLOOKUP(F36,Resumen_Base!$B$6:$F$69,5,0)</f>
        <v>Electricity</v>
      </c>
      <c r="F36" s="34" t="s">
        <v>39</v>
      </c>
      <c r="G36" s="88" t="s">
        <v>38</v>
      </c>
      <c r="H36" s="5" t="str">
        <f t="shared" si="0"/>
        <v>DEL5247</v>
      </c>
      <c r="I36" s="307">
        <v>220200</v>
      </c>
      <c r="J36" s="6">
        <v>156.72597864768699</v>
      </c>
      <c r="K36" s="6">
        <v>1405</v>
      </c>
      <c r="L36" s="62" t="s">
        <v>2454</v>
      </c>
      <c r="M36" s="62" t="s">
        <v>452</v>
      </c>
      <c r="N36" s="62" t="s">
        <v>464</v>
      </c>
      <c r="O36" s="100" t="s">
        <v>2455</v>
      </c>
      <c r="P36" s="5" t="s">
        <v>2407</v>
      </c>
      <c r="Q36" s="34" t="s">
        <v>2456</v>
      </c>
      <c r="R36" s="5" t="s">
        <v>1293</v>
      </c>
      <c r="S36" s="5" t="s">
        <v>2458</v>
      </c>
      <c r="T36" s="5" t="s">
        <v>445</v>
      </c>
    </row>
    <row r="37" spans="3:20" ht="14">
      <c r="C37" s="5" t="s">
        <v>1857</v>
      </c>
      <c r="D37" s="214" t="s">
        <v>383</v>
      </c>
      <c r="E37" s="212" t="str">
        <f>+VLOOKUP(F37,Resumen_Base!$B$6:$F$69,5,0)</f>
        <v>Electricity - Gas for Boats &amp; Vehicles</v>
      </c>
      <c r="F37" s="34" t="s">
        <v>60</v>
      </c>
      <c r="G37" s="88" t="s">
        <v>61</v>
      </c>
      <c r="H37" s="5" t="str">
        <f t="shared" si="0"/>
        <v>DEL5248</v>
      </c>
      <c r="I37" s="307">
        <v>471577</v>
      </c>
      <c r="J37" s="6">
        <v>335.64199288256202</v>
      </c>
      <c r="K37" s="6">
        <v>1405</v>
      </c>
      <c r="L37" s="62" t="s">
        <v>2454</v>
      </c>
      <c r="M37" s="62" t="s">
        <v>452</v>
      </c>
      <c r="N37" s="62" t="s">
        <v>464</v>
      </c>
      <c r="O37" s="100" t="s">
        <v>2455</v>
      </c>
      <c r="P37" s="5" t="s">
        <v>2407</v>
      </c>
      <c r="Q37" s="34" t="s">
        <v>2456</v>
      </c>
      <c r="R37" s="5" t="s">
        <v>651</v>
      </c>
      <c r="S37" s="5" t="s">
        <v>2458</v>
      </c>
      <c r="T37" s="5" t="s">
        <v>445</v>
      </c>
    </row>
    <row r="38" spans="3:20" ht="14">
      <c r="C38" s="5" t="s">
        <v>1857</v>
      </c>
      <c r="D38" s="214" t="s">
        <v>383</v>
      </c>
      <c r="E38" s="212" t="str">
        <f>+VLOOKUP(F38,Resumen_Base!$B$6:$F$69,5,0)</f>
        <v>Electricity - Gas for Boats &amp; Vehicles</v>
      </c>
      <c r="F38" s="34" t="s">
        <v>60</v>
      </c>
      <c r="G38" s="88" t="s">
        <v>61</v>
      </c>
      <c r="H38" s="5" t="str">
        <f t="shared" si="0"/>
        <v>DEL5248</v>
      </c>
      <c r="I38" s="307">
        <v>123541</v>
      </c>
      <c r="J38" s="6">
        <v>87.929537366548004</v>
      </c>
      <c r="K38" s="6">
        <v>1405</v>
      </c>
      <c r="L38" s="62" t="s">
        <v>2405</v>
      </c>
      <c r="M38" s="62" t="s">
        <v>452</v>
      </c>
      <c r="N38" s="62" t="s">
        <v>464</v>
      </c>
      <c r="O38" s="100" t="s">
        <v>2464</v>
      </c>
      <c r="P38" s="5" t="s">
        <v>2407</v>
      </c>
      <c r="Q38" s="34" t="s">
        <v>2465</v>
      </c>
      <c r="R38" s="5" t="s">
        <v>651</v>
      </c>
      <c r="S38" s="5" t="s">
        <v>2467</v>
      </c>
      <c r="T38" s="5" t="s">
        <v>445</v>
      </c>
    </row>
    <row r="39" spans="3:20" ht="14">
      <c r="C39" s="5" t="s">
        <v>1857</v>
      </c>
      <c r="D39" s="214" t="s">
        <v>383</v>
      </c>
      <c r="E39" s="212" t="str">
        <f>+VLOOKUP(F39,Resumen_Base!$B$6:$F$69,5,0)</f>
        <v>Electricity - Gas for Boats &amp; Vehicles</v>
      </c>
      <c r="F39" s="34" t="s">
        <v>60</v>
      </c>
      <c r="G39" s="88" t="s">
        <v>61</v>
      </c>
      <c r="H39" s="5" t="str">
        <f t="shared" si="0"/>
        <v>DEL5248</v>
      </c>
      <c r="I39" s="307">
        <v>207300</v>
      </c>
      <c r="J39" s="6">
        <v>147.544483985765</v>
      </c>
      <c r="K39" s="6">
        <v>1405</v>
      </c>
      <c r="L39" s="62" t="s">
        <v>2469</v>
      </c>
      <c r="M39" s="62" t="s">
        <v>452</v>
      </c>
      <c r="N39" s="62" t="s">
        <v>464</v>
      </c>
      <c r="O39" s="100" t="s">
        <v>2470</v>
      </c>
      <c r="P39" s="5" t="s">
        <v>2407</v>
      </c>
      <c r="Q39" s="34" t="s">
        <v>2471</v>
      </c>
      <c r="R39" s="5" t="s">
        <v>2256</v>
      </c>
      <c r="S39" s="5" t="s">
        <v>2472</v>
      </c>
      <c r="T39" s="5" t="s">
        <v>445</v>
      </c>
    </row>
    <row r="40" spans="3:20" ht="14">
      <c r="C40" s="5" t="s">
        <v>1857</v>
      </c>
      <c r="D40" s="214" t="s">
        <v>383</v>
      </c>
      <c r="E40" s="212" t="str">
        <f>+VLOOKUP(F40,Resumen_Base!$B$6:$F$69,5,0)</f>
        <v>Electricity - Gas for Boats &amp; Vehicles</v>
      </c>
      <c r="F40" s="34" t="s">
        <v>60</v>
      </c>
      <c r="G40" s="88" t="s">
        <v>61</v>
      </c>
      <c r="H40" s="5" t="str">
        <f t="shared" si="0"/>
        <v>DEL5248</v>
      </c>
      <c r="I40" s="307">
        <v>257054</v>
      </c>
      <c r="J40" s="6">
        <v>182.956583629893</v>
      </c>
      <c r="K40" s="6">
        <v>1405</v>
      </c>
      <c r="L40" s="62" t="s">
        <v>2460</v>
      </c>
      <c r="M40" s="62" t="s">
        <v>452</v>
      </c>
      <c r="N40" s="62" t="s">
        <v>464</v>
      </c>
      <c r="O40" s="100" t="s">
        <v>2461</v>
      </c>
      <c r="P40" s="5" t="s">
        <v>2407</v>
      </c>
      <c r="Q40" s="34" t="s">
        <v>2462</v>
      </c>
      <c r="R40" s="5" t="s">
        <v>2256</v>
      </c>
      <c r="S40" s="5" t="s">
        <v>2463</v>
      </c>
      <c r="T40" s="5" t="s">
        <v>445</v>
      </c>
    </row>
    <row r="41" spans="3:20" ht="14">
      <c r="C41" s="5" t="s">
        <v>1857</v>
      </c>
      <c r="D41" s="214" t="s">
        <v>383</v>
      </c>
      <c r="E41" s="212" t="str">
        <f>+VLOOKUP(F41,Resumen_Base!$B$6:$F$69,5,0)</f>
        <v>Electricity - Gas for Boats &amp; Vehicles</v>
      </c>
      <c r="F41" s="34" t="s">
        <v>60</v>
      </c>
      <c r="G41" s="88" t="s">
        <v>61</v>
      </c>
      <c r="H41" s="5" t="str">
        <f t="shared" si="0"/>
        <v>DEL5248</v>
      </c>
      <c r="I41" s="307">
        <v>202300</v>
      </c>
      <c r="J41" s="6">
        <v>143.985765124555</v>
      </c>
      <c r="K41" s="6">
        <v>1405</v>
      </c>
      <c r="L41" s="62" t="s">
        <v>2405</v>
      </c>
      <c r="M41" s="62" t="s">
        <v>452</v>
      </c>
      <c r="N41" s="62" t="s">
        <v>464</v>
      </c>
      <c r="O41" s="100" t="s">
        <v>2464</v>
      </c>
      <c r="P41" s="5" t="s">
        <v>2407</v>
      </c>
      <c r="Q41" s="34" t="s">
        <v>2465</v>
      </c>
      <c r="R41" s="5" t="s">
        <v>1631</v>
      </c>
      <c r="S41" s="5" t="s">
        <v>2467</v>
      </c>
      <c r="T41" s="5" t="s">
        <v>445</v>
      </c>
    </row>
    <row r="42" spans="3:20" ht="14">
      <c r="C42" s="5" t="s">
        <v>1857</v>
      </c>
      <c r="D42" s="214" t="s">
        <v>383</v>
      </c>
      <c r="E42" s="212" t="str">
        <f>+VLOOKUP(F42,Resumen_Base!$B$6:$F$69,5,0)</f>
        <v>Propane</v>
      </c>
      <c r="F42" s="34" t="s">
        <v>37</v>
      </c>
      <c r="G42" s="88" t="s">
        <v>36</v>
      </c>
      <c r="H42" s="5" t="str">
        <f t="shared" si="0"/>
        <v>DEL5249</v>
      </c>
      <c r="I42" s="307">
        <v>126000</v>
      </c>
      <c r="J42" s="6">
        <v>89.679715302491104</v>
      </c>
      <c r="K42" s="6">
        <v>1405</v>
      </c>
      <c r="L42" s="62" t="s">
        <v>2454</v>
      </c>
      <c r="M42" s="62" t="s">
        <v>452</v>
      </c>
      <c r="N42" s="62" t="s">
        <v>464</v>
      </c>
      <c r="O42" s="100" t="s">
        <v>2455</v>
      </c>
      <c r="P42" s="5" t="s">
        <v>2407</v>
      </c>
      <c r="Q42" s="34" t="s">
        <v>2456</v>
      </c>
      <c r="R42" s="5" t="s">
        <v>2459</v>
      </c>
      <c r="S42" s="5" t="s">
        <v>2458</v>
      </c>
      <c r="T42" s="5" t="s">
        <v>445</v>
      </c>
    </row>
    <row r="43" spans="3:20" ht="14">
      <c r="C43" s="5" t="s">
        <v>1857</v>
      </c>
      <c r="D43" s="214" t="s">
        <v>383</v>
      </c>
      <c r="E43" s="212" t="str">
        <f>+VLOOKUP(F43,Resumen_Base!$B$6:$F$69,5,0)</f>
        <v>Propane</v>
      </c>
      <c r="F43" s="34" t="s">
        <v>37</v>
      </c>
      <c r="G43" s="88" t="s">
        <v>36</v>
      </c>
      <c r="H43" s="5" t="str">
        <f t="shared" si="0"/>
        <v>DEL5249</v>
      </c>
      <c r="I43" s="307">
        <v>189000</v>
      </c>
      <c r="J43" s="6">
        <v>134.519572953737</v>
      </c>
      <c r="K43" s="6">
        <v>1405</v>
      </c>
      <c r="L43" s="62" t="s">
        <v>2460</v>
      </c>
      <c r="M43" s="62" t="s">
        <v>452</v>
      </c>
      <c r="N43" s="62" t="s">
        <v>464</v>
      </c>
      <c r="O43" s="100" t="s">
        <v>2461</v>
      </c>
      <c r="P43" s="5" t="s">
        <v>2407</v>
      </c>
      <c r="Q43" s="34" t="s">
        <v>2462</v>
      </c>
      <c r="R43" s="5" t="s">
        <v>1962</v>
      </c>
      <c r="S43" s="5" t="s">
        <v>2463</v>
      </c>
      <c r="T43" s="5" t="s">
        <v>445</v>
      </c>
    </row>
    <row r="44" spans="3:20" ht="14">
      <c r="C44" s="5" t="s">
        <v>1857</v>
      </c>
      <c r="D44" s="214" t="s">
        <v>383</v>
      </c>
      <c r="E44" s="212" t="str">
        <f>+VLOOKUP(F44,Resumen_Base!$B$6:$F$69,5,0)</f>
        <v>Food &amp; Wine</v>
      </c>
      <c r="F44" s="34" t="s">
        <v>35</v>
      </c>
      <c r="G44" s="88" t="s">
        <v>34</v>
      </c>
      <c r="H44" s="5" t="str">
        <f t="shared" si="0"/>
        <v>DEL5250</v>
      </c>
      <c r="I44" s="307">
        <v>14000</v>
      </c>
      <c r="J44" s="6">
        <v>9.9644128113879002</v>
      </c>
      <c r="K44" s="6">
        <v>1405</v>
      </c>
      <c r="L44" s="62" t="s">
        <v>2460</v>
      </c>
      <c r="M44" s="62" t="s">
        <v>452</v>
      </c>
      <c r="N44" s="62" t="s">
        <v>464</v>
      </c>
      <c r="O44" s="100" t="s">
        <v>2461</v>
      </c>
      <c r="P44" s="5" t="s">
        <v>2407</v>
      </c>
      <c r="Q44" s="34" t="s">
        <v>2462</v>
      </c>
      <c r="R44" s="5" t="s">
        <v>2479</v>
      </c>
      <c r="S44" s="5" t="s">
        <v>2463</v>
      </c>
      <c r="T44" s="5" t="s">
        <v>445</v>
      </c>
    </row>
    <row r="45" spans="3:20" ht="14">
      <c r="C45" s="5" t="s">
        <v>1857</v>
      </c>
      <c r="D45" s="214" t="s">
        <v>383</v>
      </c>
      <c r="E45" s="212" t="str">
        <f>+VLOOKUP(F45,Resumen_Base!$B$6:$F$69,5,0)</f>
        <v>Food &amp; Wine</v>
      </c>
      <c r="F45" s="34" t="s">
        <v>35</v>
      </c>
      <c r="G45" s="88" t="s">
        <v>34</v>
      </c>
      <c r="H45" s="5" t="str">
        <f t="shared" si="0"/>
        <v>DEL5250</v>
      </c>
      <c r="I45" s="307">
        <v>35000</v>
      </c>
      <c r="J45" s="6">
        <v>24.911032028469801</v>
      </c>
      <c r="K45" s="6">
        <v>1405</v>
      </c>
      <c r="L45" s="62" t="s">
        <v>2405</v>
      </c>
      <c r="M45" s="62" t="s">
        <v>452</v>
      </c>
      <c r="N45" s="62" t="s">
        <v>464</v>
      </c>
      <c r="O45" s="100" t="s">
        <v>2464</v>
      </c>
      <c r="P45" s="5" t="s">
        <v>2407</v>
      </c>
      <c r="Q45" s="34" t="s">
        <v>2465</v>
      </c>
      <c r="R45" s="5" t="s">
        <v>2481</v>
      </c>
      <c r="S45" s="5" t="s">
        <v>2467</v>
      </c>
      <c r="T45" s="5" t="s">
        <v>445</v>
      </c>
    </row>
    <row r="46" spans="3:20" ht="14">
      <c r="C46" s="5" t="s">
        <v>1857</v>
      </c>
      <c r="D46" s="214" t="s">
        <v>383</v>
      </c>
      <c r="E46" s="212" t="str">
        <f>+VLOOKUP(F46,Resumen_Base!$B$6:$F$69,5,0)</f>
        <v>Food &amp; Wine</v>
      </c>
      <c r="F46" s="34" t="s">
        <v>35</v>
      </c>
      <c r="G46" s="88" t="s">
        <v>34</v>
      </c>
      <c r="H46" s="5" t="str">
        <f t="shared" si="0"/>
        <v>DEL5250</v>
      </c>
      <c r="I46" s="307">
        <v>43284</v>
      </c>
      <c r="J46" s="6">
        <v>30.8071174377224</v>
      </c>
      <c r="K46" s="6">
        <v>1405</v>
      </c>
      <c r="L46" s="62" t="s">
        <v>2469</v>
      </c>
      <c r="M46" s="62" t="s">
        <v>452</v>
      </c>
      <c r="N46" s="62" t="s">
        <v>464</v>
      </c>
      <c r="O46" s="100" t="s">
        <v>2470</v>
      </c>
      <c r="P46" s="5" t="s">
        <v>2407</v>
      </c>
      <c r="Q46" s="34" t="s">
        <v>2471</v>
      </c>
      <c r="R46" s="5" t="s">
        <v>663</v>
      </c>
      <c r="S46" s="5" t="s">
        <v>2472</v>
      </c>
      <c r="T46" s="5" t="s">
        <v>445</v>
      </c>
    </row>
    <row r="47" spans="3:20" ht="14">
      <c r="C47" s="5" t="s">
        <v>1857</v>
      </c>
      <c r="D47" s="214" t="s">
        <v>383</v>
      </c>
      <c r="E47" s="212" t="str">
        <f>+VLOOKUP(F47,Resumen_Base!$B$6:$F$69,5,0)</f>
        <v>Food &amp; Wine</v>
      </c>
      <c r="F47" s="34" t="s">
        <v>35</v>
      </c>
      <c r="G47" s="88" t="s">
        <v>34</v>
      </c>
      <c r="H47" s="5" t="str">
        <f t="shared" si="0"/>
        <v>DEL5250</v>
      </c>
      <c r="I47" s="307">
        <v>17550</v>
      </c>
      <c r="J47" s="6">
        <v>12.491103202847</v>
      </c>
      <c r="K47" s="6">
        <v>1405</v>
      </c>
      <c r="L47" s="62" t="s">
        <v>2454</v>
      </c>
      <c r="M47" s="62" t="s">
        <v>452</v>
      </c>
      <c r="N47" s="62" t="s">
        <v>464</v>
      </c>
      <c r="O47" s="100" t="s">
        <v>2455</v>
      </c>
      <c r="P47" s="5" t="s">
        <v>2407</v>
      </c>
      <c r="Q47" s="34" t="s">
        <v>2456</v>
      </c>
      <c r="R47" s="5" t="s">
        <v>2490</v>
      </c>
      <c r="S47" s="5" t="s">
        <v>2458</v>
      </c>
      <c r="T47" s="5" t="s">
        <v>445</v>
      </c>
    </row>
    <row r="48" spans="3:20" ht="14">
      <c r="C48" s="5" t="s">
        <v>1857</v>
      </c>
      <c r="D48" s="214" t="s">
        <v>383</v>
      </c>
      <c r="E48" s="212" t="str">
        <f>+VLOOKUP(F48,Resumen_Base!$B$6:$F$69,5,0)</f>
        <v>Food &amp; Wine</v>
      </c>
      <c r="F48" s="34" t="s">
        <v>35</v>
      </c>
      <c r="G48" s="88" t="s">
        <v>34</v>
      </c>
      <c r="H48" s="5" t="str">
        <f t="shared" si="0"/>
        <v>DEL5250</v>
      </c>
      <c r="I48" s="307">
        <v>44900</v>
      </c>
      <c r="J48" s="6">
        <v>31.957295373665499</v>
      </c>
      <c r="K48" s="6">
        <v>1405</v>
      </c>
      <c r="L48" s="62" t="s">
        <v>2405</v>
      </c>
      <c r="M48" s="62" t="s">
        <v>452</v>
      </c>
      <c r="N48" s="62" t="s">
        <v>464</v>
      </c>
      <c r="O48" s="100" t="s">
        <v>2464</v>
      </c>
      <c r="P48" s="5" t="s">
        <v>2407</v>
      </c>
      <c r="Q48" s="34" t="s">
        <v>2465</v>
      </c>
      <c r="R48" s="5" t="s">
        <v>2494</v>
      </c>
      <c r="S48" s="5" t="s">
        <v>2467</v>
      </c>
      <c r="T48" s="5" t="s">
        <v>445</v>
      </c>
    </row>
    <row r="49" spans="3:20" ht="14">
      <c r="C49" s="5" t="s">
        <v>1857</v>
      </c>
      <c r="D49" s="214" t="s">
        <v>383</v>
      </c>
      <c r="E49" s="212" t="str">
        <f>+VLOOKUP(F49,Resumen_Base!$B$6:$F$69,5,0)</f>
        <v>Food &amp; Wine</v>
      </c>
      <c r="F49" s="34" t="s">
        <v>35</v>
      </c>
      <c r="G49" s="88" t="s">
        <v>34</v>
      </c>
      <c r="H49" s="5" t="str">
        <f t="shared" si="0"/>
        <v>DEL5250</v>
      </c>
      <c r="I49" s="307">
        <v>35000</v>
      </c>
      <c r="J49" s="6">
        <v>24.911032028469801</v>
      </c>
      <c r="K49" s="6">
        <v>1405</v>
      </c>
      <c r="L49" s="62" t="s">
        <v>2460</v>
      </c>
      <c r="M49" s="62" t="s">
        <v>452</v>
      </c>
      <c r="N49" s="62" t="s">
        <v>464</v>
      </c>
      <c r="O49" s="100" t="s">
        <v>2461</v>
      </c>
      <c r="P49" s="5" t="s">
        <v>2407</v>
      </c>
      <c r="Q49" s="34" t="s">
        <v>2462</v>
      </c>
      <c r="R49" s="5" t="s">
        <v>2495</v>
      </c>
      <c r="S49" s="5" t="s">
        <v>2463</v>
      </c>
      <c r="T49" s="5" t="s">
        <v>445</v>
      </c>
    </row>
    <row r="50" spans="3:20" ht="14">
      <c r="C50" s="5" t="s">
        <v>1857</v>
      </c>
      <c r="D50" s="214" t="s">
        <v>383</v>
      </c>
      <c r="E50" s="212" t="str">
        <f>+VLOOKUP(F50,Resumen_Base!$B$6:$F$69,5,0)</f>
        <v>Food &amp; Wine</v>
      </c>
      <c r="F50" s="34" t="s">
        <v>35</v>
      </c>
      <c r="G50" s="88" t="s">
        <v>34</v>
      </c>
      <c r="H50" s="5" t="str">
        <f t="shared" si="0"/>
        <v>DEL5250</v>
      </c>
      <c r="I50" s="307">
        <v>42000</v>
      </c>
      <c r="J50" s="6">
        <v>29.893238434163699</v>
      </c>
      <c r="K50" s="6">
        <v>1405</v>
      </c>
      <c r="L50" s="62" t="s">
        <v>2454</v>
      </c>
      <c r="M50" s="62" t="s">
        <v>452</v>
      </c>
      <c r="N50" s="62" t="s">
        <v>464</v>
      </c>
      <c r="O50" s="100" t="s">
        <v>2455</v>
      </c>
      <c r="P50" s="5" t="s">
        <v>2407</v>
      </c>
      <c r="Q50" s="34" t="s">
        <v>2456</v>
      </c>
      <c r="R50" s="5" t="s">
        <v>764</v>
      </c>
      <c r="S50" s="5" t="s">
        <v>2458</v>
      </c>
      <c r="T50" s="5" t="s">
        <v>445</v>
      </c>
    </row>
    <row r="51" spans="3:20" ht="14">
      <c r="C51" s="5" t="s">
        <v>1857</v>
      </c>
      <c r="D51" s="214" t="s">
        <v>383</v>
      </c>
      <c r="E51" s="212" t="str">
        <f>+VLOOKUP(F51,Resumen_Base!$B$6:$F$69,5,0)</f>
        <v>Food &amp; Wine</v>
      </c>
      <c r="F51" s="34" t="s">
        <v>35</v>
      </c>
      <c r="G51" s="88" t="s">
        <v>34</v>
      </c>
      <c r="H51" s="5" t="str">
        <f t="shared" si="0"/>
        <v>DEL5250</v>
      </c>
      <c r="I51" s="307">
        <v>42000</v>
      </c>
      <c r="J51" s="6">
        <v>29.893238434163699</v>
      </c>
      <c r="K51" s="6">
        <v>1405</v>
      </c>
      <c r="L51" s="62" t="s">
        <v>2454</v>
      </c>
      <c r="M51" s="62" t="s">
        <v>452</v>
      </c>
      <c r="N51" s="62" t="s">
        <v>464</v>
      </c>
      <c r="O51" s="100" t="s">
        <v>2455</v>
      </c>
      <c r="P51" s="5" t="s">
        <v>2407</v>
      </c>
      <c r="Q51" s="34" t="s">
        <v>2456</v>
      </c>
      <c r="R51" s="5" t="s">
        <v>764</v>
      </c>
      <c r="S51" s="5" t="s">
        <v>2458</v>
      </c>
      <c r="T51" s="5" t="s">
        <v>445</v>
      </c>
    </row>
    <row r="52" spans="3:20" ht="14">
      <c r="C52" s="5" t="s">
        <v>1857</v>
      </c>
      <c r="D52" s="214" t="s">
        <v>383</v>
      </c>
      <c r="E52" s="212" t="str">
        <f>+VLOOKUP(F52,Resumen_Base!$B$6:$F$69,5,0)</f>
        <v>Food &amp; Wine</v>
      </c>
      <c r="F52" s="34" t="s">
        <v>35</v>
      </c>
      <c r="G52" s="88" t="s">
        <v>34</v>
      </c>
      <c r="H52" s="5" t="str">
        <f t="shared" si="0"/>
        <v>DEL5250</v>
      </c>
      <c r="I52" s="307">
        <v>24000</v>
      </c>
      <c r="J52" s="6">
        <v>17.081850533807799</v>
      </c>
      <c r="K52" s="6">
        <v>1405</v>
      </c>
      <c r="L52" s="62" t="s">
        <v>2405</v>
      </c>
      <c r="M52" s="62" t="s">
        <v>452</v>
      </c>
      <c r="N52" s="62" t="s">
        <v>464</v>
      </c>
      <c r="O52" s="100" t="s">
        <v>2464</v>
      </c>
      <c r="P52" s="5" t="s">
        <v>2407</v>
      </c>
      <c r="Q52" s="34" t="s">
        <v>2465</v>
      </c>
      <c r="R52" s="5" t="s">
        <v>764</v>
      </c>
      <c r="S52" s="5" t="s">
        <v>2467</v>
      </c>
      <c r="T52" s="5" t="s">
        <v>445</v>
      </c>
    </row>
    <row r="53" spans="3:20" ht="14">
      <c r="C53" s="5" t="s">
        <v>1857</v>
      </c>
      <c r="D53" s="214" t="s">
        <v>383</v>
      </c>
      <c r="E53" s="212" t="str">
        <f>+VLOOKUP(F53,Resumen_Base!$B$6:$F$69,5,0)</f>
        <v>Food &amp; Wine</v>
      </c>
      <c r="F53" s="34" t="s">
        <v>35</v>
      </c>
      <c r="G53" s="88" t="s">
        <v>34</v>
      </c>
      <c r="H53" s="5" t="str">
        <f t="shared" si="0"/>
        <v>DEL5250</v>
      </c>
      <c r="I53" s="307">
        <v>18000</v>
      </c>
      <c r="J53" s="6">
        <v>12.8113879003559</v>
      </c>
      <c r="K53" s="6">
        <v>1405</v>
      </c>
      <c r="L53" s="62" t="s">
        <v>2405</v>
      </c>
      <c r="M53" s="62" t="s">
        <v>452</v>
      </c>
      <c r="N53" s="62" t="s">
        <v>464</v>
      </c>
      <c r="O53" s="100" t="s">
        <v>2464</v>
      </c>
      <c r="P53" s="5" t="s">
        <v>2407</v>
      </c>
      <c r="Q53" s="34" t="s">
        <v>2465</v>
      </c>
      <c r="R53" s="5" t="s">
        <v>764</v>
      </c>
      <c r="S53" s="5" t="s">
        <v>2467</v>
      </c>
      <c r="T53" s="5" t="s">
        <v>445</v>
      </c>
    </row>
    <row r="54" spans="3:20" ht="14">
      <c r="C54" s="5" t="s">
        <v>1857</v>
      </c>
      <c r="D54" s="214" t="s">
        <v>383</v>
      </c>
      <c r="E54" s="212" t="str">
        <f>+VLOOKUP(F54,Resumen_Base!$B$6:$F$69,5,0)</f>
        <v>Food &amp; Wine</v>
      </c>
      <c r="F54" s="34" t="s">
        <v>35</v>
      </c>
      <c r="G54" s="88" t="s">
        <v>34</v>
      </c>
      <c r="H54" s="5" t="str">
        <f t="shared" si="0"/>
        <v>DEL5250</v>
      </c>
      <c r="I54" s="307">
        <v>14000</v>
      </c>
      <c r="J54" s="6">
        <v>9.9644128113879002</v>
      </c>
      <c r="K54" s="6">
        <v>1405</v>
      </c>
      <c r="L54" s="62" t="s">
        <v>2469</v>
      </c>
      <c r="M54" s="62" t="s">
        <v>452</v>
      </c>
      <c r="N54" s="62" t="s">
        <v>464</v>
      </c>
      <c r="O54" s="100" t="s">
        <v>2470</v>
      </c>
      <c r="P54" s="5" t="s">
        <v>2407</v>
      </c>
      <c r="Q54" s="34" t="s">
        <v>2471</v>
      </c>
      <c r="R54" s="5" t="s">
        <v>2496</v>
      </c>
      <c r="S54" s="5" t="s">
        <v>2472</v>
      </c>
      <c r="T54" s="5" t="s">
        <v>445</v>
      </c>
    </row>
    <row r="55" spans="3:20" ht="14">
      <c r="C55" s="5" t="s">
        <v>1857</v>
      </c>
      <c r="D55" s="214" t="s">
        <v>383</v>
      </c>
      <c r="E55" s="212" t="str">
        <f>+VLOOKUP(F55,Resumen_Base!$B$6:$F$69,5,0)</f>
        <v>Food &amp; Wine</v>
      </c>
      <c r="F55" s="34" t="s">
        <v>35</v>
      </c>
      <c r="G55" s="88" t="s">
        <v>34</v>
      </c>
      <c r="H55" s="5" t="str">
        <f t="shared" si="0"/>
        <v>DEL5250</v>
      </c>
      <c r="I55" s="307">
        <v>8500</v>
      </c>
      <c r="J55" s="6">
        <v>6.04982206405694</v>
      </c>
      <c r="K55" s="6">
        <v>1405</v>
      </c>
      <c r="L55" s="62" t="s">
        <v>2405</v>
      </c>
      <c r="M55" s="62" t="s">
        <v>452</v>
      </c>
      <c r="N55" s="62" t="s">
        <v>464</v>
      </c>
      <c r="O55" s="100" t="s">
        <v>2464</v>
      </c>
      <c r="P55" s="5" t="s">
        <v>2407</v>
      </c>
      <c r="Q55" s="34" t="s">
        <v>2465</v>
      </c>
      <c r="R55" s="5" t="s">
        <v>1327</v>
      </c>
      <c r="S55" s="5" t="s">
        <v>2467</v>
      </c>
      <c r="T55" s="5" t="s">
        <v>445</v>
      </c>
    </row>
    <row r="56" spans="3:20" ht="14">
      <c r="C56" s="5" t="s">
        <v>1857</v>
      </c>
      <c r="D56" s="214" t="s">
        <v>383</v>
      </c>
      <c r="E56" s="212" t="str">
        <f>+VLOOKUP(F56,Resumen_Base!$B$6:$F$69,5,0)</f>
        <v>Food &amp; Wine</v>
      </c>
      <c r="F56" s="34" t="s">
        <v>35</v>
      </c>
      <c r="G56" s="88" t="s">
        <v>34</v>
      </c>
      <c r="H56" s="5" t="str">
        <f t="shared" si="0"/>
        <v>DEL5250</v>
      </c>
      <c r="I56" s="307">
        <v>48668</v>
      </c>
      <c r="J56" s="6">
        <v>34.639145907473299</v>
      </c>
      <c r="K56" s="6">
        <v>1405</v>
      </c>
      <c r="L56" s="62" t="s">
        <v>2469</v>
      </c>
      <c r="M56" s="62" t="s">
        <v>452</v>
      </c>
      <c r="N56" s="62" t="s">
        <v>464</v>
      </c>
      <c r="O56" s="100" t="s">
        <v>2470</v>
      </c>
      <c r="P56" s="5" t="s">
        <v>2407</v>
      </c>
      <c r="Q56" s="34" t="s">
        <v>2471</v>
      </c>
      <c r="R56" s="5" t="s">
        <v>2538</v>
      </c>
      <c r="S56" s="5" t="s">
        <v>2472</v>
      </c>
      <c r="T56" s="5" t="s">
        <v>445</v>
      </c>
    </row>
    <row r="57" spans="3:20" ht="14">
      <c r="C57" s="5" t="s">
        <v>1857</v>
      </c>
      <c r="D57" s="214" t="s">
        <v>383</v>
      </c>
      <c r="E57" s="212" t="str">
        <f>+VLOOKUP(F57,Resumen_Base!$B$6:$F$69,5,0)</f>
        <v>Food &amp; Wine</v>
      </c>
      <c r="F57" s="34" t="s">
        <v>35</v>
      </c>
      <c r="G57" s="88" t="s">
        <v>34</v>
      </c>
      <c r="H57" s="5" t="str">
        <f t="shared" si="0"/>
        <v>DEL5250</v>
      </c>
      <c r="I57" s="307">
        <v>22700</v>
      </c>
      <c r="J57" s="6">
        <v>16.156583629893198</v>
      </c>
      <c r="K57" s="6">
        <v>1405</v>
      </c>
      <c r="L57" s="62" t="s">
        <v>2454</v>
      </c>
      <c r="M57" s="62" t="s">
        <v>452</v>
      </c>
      <c r="N57" s="62" t="s">
        <v>464</v>
      </c>
      <c r="O57" s="100" t="s">
        <v>2455</v>
      </c>
      <c r="P57" s="5" t="s">
        <v>2407</v>
      </c>
      <c r="Q57" s="34" t="s">
        <v>2456</v>
      </c>
      <c r="R57" s="5" t="s">
        <v>634</v>
      </c>
      <c r="S57" s="5" t="s">
        <v>2458</v>
      </c>
      <c r="T57" s="5" t="s">
        <v>445</v>
      </c>
    </row>
    <row r="58" spans="3:20" ht="14">
      <c r="C58" s="5" t="s">
        <v>1857</v>
      </c>
      <c r="D58" s="214" t="s">
        <v>383</v>
      </c>
      <c r="E58" s="212" t="str">
        <f>+VLOOKUP(F58,Resumen_Base!$B$6:$F$69,5,0)</f>
        <v>Food &amp; Wine</v>
      </c>
      <c r="F58" s="34" t="s">
        <v>35</v>
      </c>
      <c r="G58" s="88" t="s">
        <v>34</v>
      </c>
      <c r="H58" s="5" t="str">
        <f t="shared" si="0"/>
        <v>DEL5250</v>
      </c>
      <c r="I58" s="307">
        <v>91800</v>
      </c>
      <c r="J58" s="6">
        <v>65.338078291814995</v>
      </c>
      <c r="K58" s="6">
        <v>1405</v>
      </c>
      <c r="L58" s="62" t="s">
        <v>2469</v>
      </c>
      <c r="M58" s="62" t="s">
        <v>452</v>
      </c>
      <c r="N58" s="62" t="s">
        <v>464</v>
      </c>
      <c r="O58" s="100" t="s">
        <v>2470</v>
      </c>
      <c r="P58" s="5" t="s">
        <v>2407</v>
      </c>
      <c r="Q58" s="34" t="s">
        <v>2471</v>
      </c>
      <c r="R58" s="5" t="s">
        <v>634</v>
      </c>
      <c r="S58" s="5" t="s">
        <v>2472</v>
      </c>
      <c r="T58" s="5" t="s">
        <v>445</v>
      </c>
    </row>
    <row r="59" spans="3:20" ht="14">
      <c r="C59" s="5" t="s">
        <v>1857</v>
      </c>
      <c r="D59" s="214" t="s">
        <v>383</v>
      </c>
      <c r="E59" s="212" t="str">
        <f>+VLOOKUP(F59,Resumen_Base!$B$6:$F$69,5,0)</f>
        <v>Food &amp; Wine</v>
      </c>
      <c r="F59" s="34" t="s">
        <v>35</v>
      </c>
      <c r="G59" s="88" t="s">
        <v>34</v>
      </c>
      <c r="H59" s="5" t="str">
        <f t="shared" si="0"/>
        <v>DEL5250</v>
      </c>
      <c r="I59" s="307">
        <v>92700</v>
      </c>
      <c r="J59" s="6">
        <v>65.978647686832701</v>
      </c>
      <c r="K59" s="6">
        <v>1405</v>
      </c>
      <c r="L59" s="62" t="s">
        <v>2460</v>
      </c>
      <c r="M59" s="62" t="s">
        <v>452</v>
      </c>
      <c r="N59" s="62" t="s">
        <v>464</v>
      </c>
      <c r="O59" s="100" t="s">
        <v>2461</v>
      </c>
      <c r="P59" s="5" t="s">
        <v>2407</v>
      </c>
      <c r="Q59" s="34" t="s">
        <v>2462</v>
      </c>
      <c r="R59" s="5" t="s">
        <v>634</v>
      </c>
      <c r="S59" s="5" t="s">
        <v>2463</v>
      </c>
      <c r="T59" s="5" t="s">
        <v>445</v>
      </c>
    </row>
    <row r="60" spans="3:20" ht="14">
      <c r="C60" s="5" t="s">
        <v>1857</v>
      </c>
      <c r="D60" s="214" t="s">
        <v>383</v>
      </c>
      <c r="E60" s="212" t="str">
        <f>+VLOOKUP(F60,Resumen_Base!$B$6:$F$69,5,0)</f>
        <v>Food &amp; Wine</v>
      </c>
      <c r="F60" s="34" t="s">
        <v>35</v>
      </c>
      <c r="G60" s="88" t="s">
        <v>34</v>
      </c>
      <c r="H60" s="5" t="str">
        <f t="shared" si="0"/>
        <v>DEL5250</v>
      </c>
      <c r="I60" s="307">
        <v>115060</v>
      </c>
      <c r="J60" s="6">
        <v>81.893238434163706</v>
      </c>
      <c r="K60" s="6">
        <v>1405</v>
      </c>
      <c r="L60" s="62" t="s">
        <v>2460</v>
      </c>
      <c r="M60" s="62" t="s">
        <v>452</v>
      </c>
      <c r="N60" s="62" t="s">
        <v>464</v>
      </c>
      <c r="O60" s="100" t="s">
        <v>2461</v>
      </c>
      <c r="P60" s="5" t="s">
        <v>2407</v>
      </c>
      <c r="Q60" s="34" t="s">
        <v>2462</v>
      </c>
      <c r="R60" s="5" t="s">
        <v>634</v>
      </c>
      <c r="S60" s="5" t="s">
        <v>2463</v>
      </c>
      <c r="T60" s="5" t="s">
        <v>445</v>
      </c>
    </row>
    <row r="61" spans="3:20" ht="14">
      <c r="C61" s="5" t="s">
        <v>1857</v>
      </c>
      <c r="D61" s="214" t="s">
        <v>383</v>
      </c>
      <c r="E61" s="212" t="str">
        <f>+VLOOKUP(F61,Resumen_Base!$B$6:$F$69,5,0)</f>
        <v>Food &amp; Wine</v>
      </c>
      <c r="F61" s="34" t="s">
        <v>35</v>
      </c>
      <c r="G61" s="88" t="s">
        <v>34</v>
      </c>
      <c r="H61" s="5" t="str">
        <f t="shared" si="0"/>
        <v>DEL5250</v>
      </c>
      <c r="I61" s="307">
        <v>83053</v>
      </c>
      <c r="J61" s="6">
        <v>59.112455516014201</v>
      </c>
      <c r="K61" s="6">
        <v>1405</v>
      </c>
      <c r="L61" s="62" t="s">
        <v>2454</v>
      </c>
      <c r="M61" s="62" t="s">
        <v>452</v>
      </c>
      <c r="N61" s="62" t="s">
        <v>464</v>
      </c>
      <c r="O61" s="100" t="s">
        <v>2455</v>
      </c>
      <c r="P61" s="5" t="s">
        <v>2407</v>
      </c>
      <c r="Q61" s="34" t="s">
        <v>2456</v>
      </c>
      <c r="R61" s="5" t="s">
        <v>2550</v>
      </c>
      <c r="S61" s="5" t="s">
        <v>2458</v>
      </c>
      <c r="T61" s="5" t="s">
        <v>445</v>
      </c>
    </row>
    <row r="62" spans="3:20" ht="14">
      <c r="C62" s="5" t="s">
        <v>1857</v>
      </c>
      <c r="D62" s="214" t="s">
        <v>383</v>
      </c>
      <c r="E62" s="212" t="str">
        <f>+VLOOKUP(F62,Resumen_Base!$B$6:$F$69,5,0)</f>
        <v>Food &amp; Wine</v>
      </c>
      <c r="F62" s="34" t="s">
        <v>35</v>
      </c>
      <c r="G62" s="88" t="s">
        <v>34</v>
      </c>
      <c r="H62" s="5" t="str">
        <f t="shared" si="0"/>
        <v>DEL5250</v>
      </c>
      <c r="I62" s="307">
        <v>14913</v>
      </c>
      <c r="J62" s="6">
        <v>10.614234875444801</v>
      </c>
      <c r="K62" s="6">
        <v>1405</v>
      </c>
      <c r="L62" s="62" t="s">
        <v>2469</v>
      </c>
      <c r="M62" s="62" t="s">
        <v>452</v>
      </c>
      <c r="N62" s="62" t="s">
        <v>464</v>
      </c>
      <c r="O62" s="100" t="s">
        <v>2470</v>
      </c>
      <c r="P62" s="5" t="s">
        <v>2407</v>
      </c>
      <c r="Q62" s="34" t="s">
        <v>2471</v>
      </c>
      <c r="R62" s="5" t="s">
        <v>763</v>
      </c>
      <c r="S62" s="5" t="s">
        <v>2472</v>
      </c>
      <c r="T62" s="5" t="s">
        <v>445</v>
      </c>
    </row>
    <row r="63" spans="3:20" ht="14">
      <c r="C63" s="5" t="s">
        <v>1857</v>
      </c>
      <c r="D63" s="214" t="s">
        <v>383</v>
      </c>
      <c r="E63" s="212" t="str">
        <f>+VLOOKUP(F63,Resumen_Base!$B$6:$F$69,5,0)</f>
        <v>Food &amp; Wine</v>
      </c>
      <c r="F63" s="34" t="s">
        <v>35</v>
      </c>
      <c r="G63" s="88" t="s">
        <v>34</v>
      </c>
      <c r="H63" s="5" t="str">
        <f t="shared" si="0"/>
        <v>DEL5250</v>
      </c>
      <c r="I63" s="307">
        <v>265000</v>
      </c>
      <c r="J63" s="6">
        <v>188.61209964412799</v>
      </c>
      <c r="K63" s="6">
        <v>1405</v>
      </c>
      <c r="L63" s="62" t="s">
        <v>2418</v>
      </c>
      <c r="M63" s="62" t="s">
        <v>452</v>
      </c>
      <c r="N63" s="62" t="s">
        <v>464</v>
      </c>
      <c r="O63" s="100" t="s">
        <v>2584</v>
      </c>
      <c r="P63" s="5" t="s">
        <v>2407</v>
      </c>
      <c r="Q63" s="34" t="s">
        <v>2585</v>
      </c>
      <c r="R63" s="5" t="s">
        <v>2587</v>
      </c>
      <c r="S63" s="5" t="s">
        <v>2586</v>
      </c>
      <c r="T63" s="5" t="s">
        <v>445</v>
      </c>
    </row>
    <row r="64" spans="3:20" ht="14">
      <c r="C64" s="5" t="s">
        <v>1857</v>
      </c>
      <c r="D64" s="214" t="s">
        <v>383</v>
      </c>
      <c r="E64" s="212" t="str">
        <f>+VLOOKUP(F64,Resumen_Base!$B$6:$F$69,5,0)</f>
        <v>Food &amp; Wine</v>
      </c>
      <c r="F64" s="34" t="s">
        <v>35</v>
      </c>
      <c r="G64" s="88" t="s">
        <v>34</v>
      </c>
      <c r="H64" s="5" t="str">
        <f t="shared" si="0"/>
        <v>DEL5250</v>
      </c>
      <c r="I64" s="307">
        <v>554597</v>
      </c>
      <c r="J64" s="6">
        <v>394.73096085409298</v>
      </c>
      <c r="K64" s="6">
        <v>1405</v>
      </c>
      <c r="L64" s="62" t="s">
        <v>2418</v>
      </c>
      <c r="M64" s="62" t="s">
        <v>452</v>
      </c>
      <c r="N64" s="62" t="s">
        <v>464</v>
      </c>
      <c r="O64" s="100" t="s">
        <v>2584</v>
      </c>
      <c r="P64" s="5" t="s">
        <v>2407</v>
      </c>
      <c r="Q64" s="34" t="s">
        <v>2585</v>
      </c>
      <c r="R64" s="5" t="s">
        <v>2588</v>
      </c>
      <c r="S64" s="5" t="s">
        <v>2586</v>
      </c>
      <c r="T64" s="5" t="s">
        <v>445</v>
      </c>
    </row>
    <row r="65" spans="3:20" ht="14">
      <c r="C65" s="5" t="s">
        <v>1857</v>
      </c>
      <c r="D65" s="214" t="s">
        <v>383</v>
      </c>
      <c r="E65" s="212" t="str">
        <f>+VLOOKUP(F65,Resumen_Base!$B$6:$F$69,5,0)</f>
        <v>Food &amp; Wine</v>
      </c>
      <c r="F65" s="34" t="s">
        <v>35</v>
      </c>
      <c r="G65" s="88" t="s">
        <v>34</v>
      </c>
      <c r="H65" s="5" t="str">
        <f t="shared" si="0"/>
        <v>DEL5250</v>
      </c>
      <c r="I65" s="307">
        <v>700000</v>
      </c>
      <c r="J65" s="6">
        <v>498.22064056939502</v>
      </c>
      <c r="K65" s="6">
        <v>1405</v>
      </c>
      <c r="L65" s="62" t="s">
        <v>2418</v>
      </c>
      <c r="M65" s="62" t="s">
        <v>452</v>
      </c>
      <c r="N65" s="62" t="s">
        <v>464</v>
      </c>
      <c r="O65" s="100" t="s">
        <v>2584</v>
      </c>
      <c r="P65" s="5" t="s">
        <v>2407</v>
      </c>
      <c r="Q65" s="34" t="s">
        <v>2585</v>
      </c>
      <c r="R65" s="5" t="s">
        <v>2591</v>
      </c>
      <c r="S65" s="5" t="s">
        <v>2586</v>
      </c>
      <c r="T65" s="5" t="s">
        <v>445</v>
      </c>
    </row>
    <row r="66" spans="3:20" ht="14">
      <c r="C66" s="5" t="s">
        <v>1857</v>
      </c>
      <c r="D66" s="214" t="s">
        <v>383</v>
      </c>
      <c r="E66" s="212" t="str">
        <f>+VLOOKUP(F66,Resumen_Base!$B$6:$F$69,5,0)</f>
        <v>Food &amp; Wine</v>
      </c>
      <c r="F66" s="34" t="s">
        <v>35</v>
      </c>
      <c r="G66" s="88" t="s">
        <v>34</v>
      </c>
      <c r="H66" s="5" t="str">
        <f t="shared" si="0"/>
        <v>DEL5250</v>
      </c>
      <c r="I66" s="307">
        <v>229307</v>
      </c>
      <c r="J66" s="6">
        <v>163.20782918149499</v>
      </c>
      <c r="K66" s="6">
        <v>1405</v>
      </c>
      <c r="L66" s="62" t="s">
        <v>2571</v>
      </c>
      <c r="M66" s="62" t="s">
        <v>452</v>
      </c>
      <c r="N66" s="62" t="s">
        <v>464</v>
      </c>
      <c r="O66" s="100" t="s">
        <v>2572</v>
      </c>
      <c r="P66" s="5" t="s">
        <v>2407</v>
      </c>
      <c r="Q66" s="34" t="s">
        <v>2573</v>
      </c>
      <c r="R66" s="5" t="s">
        <v>2594</v>
      </c>
      <c r="S66" s="5" t="s">
        <v>2575</v>
      </c>
      <c r="T66" s="5" t="s">
        <v>445</v>
      </c>
    </row>
    <row r="67" spans="3:20" ht="14">
      <c r="C67" s="5" t="s">
        <v>1857</v>
      </c>
      <c r="D67" s="214" t="s">
        <v>383</v>
      </c>
      <c r="E67" s="212" t="str">
        <f>+VLOOKUP(F67,Resumen_Base!$B$6:$F$69,5,0)</f>
        <v>Food &amp; Wine</v>
      </c>
      <c r="F67" s="34" t="s">
        <v>35</v>
      </c>
      <c r="G67" s="88" t="s">
        <v>34</v>
      </c>
      <c r="H67" s="5" t="str">
        <f t="shared" si="0"/>
        <v>DEL5250</v>
      </c>
      <c r="I67" s="307">
        <v>138981</v>
      </c>
      <c r="J67" s="6">
        <v>98.918861209964405</v>
      </c>
      <c r="K67" s="6">
        <v>1405</v>
      </c>
      <c r="L67" s="62" t="s">
        <v>2595</v>
      </c>
      <c r="M67" s="62" t="s">
        <v>452</v>
      </c>
      <c r="N67" s="62" t="s">
        <v>464</v>
      </c>
      <c r="O67" s="100" t="s">
        <v>2596</v>
      </c>
      <c r="P67" s="5" t="s">
        <v>2407</v>
      </c>
      <c r="Q67" s="34" t="s">
        <v>2597</v>
      </c>
      <c r="R67" s="5" t="s">
        <v>2598</v>
      </c>
      <c r="S67" s="5" t="s">
        <v>2599</v>
      </c>
      <c r="T67" s="5" t="s">
        <v>445</v>
      </c>
    </row>
    <row r="68" spans="3:20" ht="14">
      <c r="C68" s="5" t="s">
        <v>1857</v>
      </c>
      <c r="D68" s="214" t="s">
        <v>383</v>
      </c>
      <c r="E68" s="212" t="str">
        <f>+VLOOKUP(F68,Resumen_Base!$B$6:$F$69,5,0)</f>
        <v>Food &amp; Wine</v>
      </c>
      <c r="F68" s="34" t="s">
        <v>35</v>
      </c>
      <c r="G68" s="88" t="s">
        <v>34</v>
      </c>
      <c r="H68" s="5" t="str">
        <f t="shared" si="0"/>
        <v>DEL5250</v>
      </c>
      <c r="I68" s="307">
        <v>344419</v>
      </c>
      <c r="J68" s="6">
        <v>245.13807829181499</v>
      </c>
      <c r="K68" s="6">
        <v>1405</v>
      </c>
      <c r="L68" s="62" t="s">
        <v>2405</v>
      </c>
      <c r="M68" s="62" t="s">
        <v>452</v>
      </c>
      <c r="N68" s="62" t="s">
        <v>464</v>
      </c>
      <c r="O68" s="100" t="s">
        <v>2567</v>
      </c>
      <c r="P68" s="5" t="s">
        <v>2407</v>
      </c>
      <c r="Q68" s="34" t="s">
        <v>2568</v>
      </c>
      <c r="R68" s="5" t="s">
        <v>2600</v>
      </c>
      <c r="S68" s="5" t="s">
        <v>2570</v>
      </c>
      <c r="T68" s="5" t="s">
        <v>445</v>
      </c>
    </row>
    <row r="69" spans="3:20" ht="14">
      <c r="C69" s="5" t="s">
        <v>1857</v>
      </c>
      <c r="D69" s="214" t="s">
        <v>383</v>
      </c>
      <c r="E69" s="212" t="str">
        <f>+VLOOKUP(F69,Resumen_Base!$B$6:$F$69,5,0)</f>
        <v>Food &amp; Wine</v>
      </c>
      <c r="F69" s="34" t="s">
        <v>33</v>
      </c>
      <c r="G69" s="88" t="s">
        <v>32</v>
      </c>
      <c r="H69" s="5" t="str">
        <f t="shared" si="0"/>
        <v>DEL5251</v>
      </c>
      <c r="I69" s="307">
        <v>6500</v>
      </c>
      <c r="J69" s="6">
        <v>4.6263345195729499</v>
      </c>
      <c r="K69" s="6">
        <v>1405</v>
      </c>
      <c r="L69" s="62" t="s">
        <v>2469</v>
      </c>
      <c r="M69" s="62" t="s">
        <v>452</v>
      </c>
      <c r="N69" s="62" t="s">
        <v>464</v>
      </c>
      <c r="O69" s="100" t="s">
        <v>2470</v>
      </c>
      <c r="P69" s="5" t="s">
        <v>2407</v>
      </c>
      <c r="Q69" s="34" t="s">
        <v>2471</v>
      </c>
      <c r="R69" s="5" t="s">
        <v>2478</v>
      </c>
      <c r="S69" s="5" t="s">
        <v>2472</v>
      </c>
      <c r="T69" s="5" t="s">
        <v>445</v>
      </c>
    </row>
    <row r="70" spans="3:20" ht="14">
      <c r="C70" s="5" t="s">
        <v>1857</v>
      </c>
      <c r="D70" s="214" t="s">
        <v>383</v>
      </c>
      <c r="E70" s="212" t="str">
        <f>+VLOOKUP(F70,Resumen_Base!$B$6:$F$69,5,0)</f>
        <v>Food &amp; Wine</v>
      </c>
      <c r="F70" s="34" t="s">
        <v>33</v>
      </c>
      <c r="G70" s="88" t="s">
        <v>32</v>
      </c>
      <c r="H70" s="5" t="str">
        <f t="shared" si="0"/>
        <v>DEL5251</v>
      </c>
      <c r="I70" s="307">
        <v>8700</v>
      </c>
      <c r="J70" s="6">
        <v>6.1921708185053399</v>
      </c>
      <c r="K70" s="6">
        <v>1405</v>
      </c>
      <c r="L70" s="62" t="s">
        <v>2405</v>
      </c>
      <c r="M70" s="62" t="s">
        <v>452</v>
      </c>
      <c r="N70" s="62" t="s">
        <v>464</v>
      </c>
      <c r="O70" s="100" t="s">
        <v>2464</v>
      </c>
      <c r="P70" s="5" t="s">
        <v>2407</v>
      </c>
      <c r="Q70" s="34" t="s">
        <v>2465</v>
      </c>
      <c r="R70" s="5" t="s">
        <v>2487</v>
      </c>
      <c r="S70" s="5" t="s">
        <v>2467</v>
      </c>
      <c r="T70" s="5" t="s">
        <v>445</v>
      </c>
    </row>
    <row r="71" spans="3:20" ht="14">
      <c r="C71" s="5" t="s">
        <v>1857</v>
      </c>
      <c r="D71" s="214" t="s">
        <v>383</v>
      </c>
      <c r="E71" s="212" t="str">
        <f>+VLOOKUP(F71,Resumen_Base!$B$6:$F$69,5,0)</f>
        <v>Food &amp; Wine</v>
      </c>
      <c r="F71" s="34" t="s">
        <v>33</v>
      </c>
      <c r="G71" s="88" t="s">
        <v>32</v>
      </c>
      <c r="H71" s="5" t="str">
        <f t="shared" si="0"/>
        <v>DEL5251</v>
      </c>
      <c r="I71" s="307">
        <v>16320</v>
      </c>
      <c r="J71" s="6">
        <v>11.615658362989301</v>
      </c>
      <c r="K71" s="6">
        <v>1405</v>
      </c>
      <c r="L71" s="62" t="s">
        <v>2454</v>
      </c>
      <c r="M71" s="62" t="s">
        <v>452</v>
      </c>
      <c r="N71" s="62" t="s">
        <v>464</v>
      </c>
      <c r="O71" s="100" t="s">
        <v>2455</v>
      </c>
      <c r="P71" s="5" t="s">
        <v>2407</v>
      </c>
      <c r="Q71" s="34" t="s">
        <v>2456</v>
      </c>
      <c r="R71" s="5" t="s">
        <v>2549</v>
      </c>
      <c r="S71" s="5" t="s">
        <v>2458</v>
      </c>
      <c r="T71" s="5" t="s">
        <v>445</v>
      </c>
    </row>
    <row r="72" spans="3:20" ht="14">
      <c r="C72" s="5" t="s">
        <v>1857</v>
      </c>
      <c r="D72" s="214" t="s">
        <v>383</v>
      </c>
      <c r="E72" s="212" t="str">
        <f>+VLOOKUP(F72,Resumen_Base!$B$6:$F$69,5,0)</f>
        <v>Maintenance Lodge</v>
      </c>
      <c r="F72" s="34" t="s">
        <v>31</v>
      </c>
      <c r="G72" s="88" t="s">
        <v>30</v>
      </c>
      <c r="H72" s="5" t="str">
        <f t="shared" si="0"/>
        <v>DEL5252</v>
      </c>
      <c r="I72" s="307">
        <v>12500</v>
      </c>
      <c r="J72" s="6">
        <v>8.8967971530249095</v>
      </c>
      <c r="K72" s="6">
        <v>1405</v>
      </c>
      <c r="L72" s="62" t="s">
        <v>2405</v>
      </c>
      <c r="M72" s="62" t="s">
        <v>452</v>
      </c>
      <c r="N72" s="62" t="s">
        <v>464</v>
      </c>
      <c r="O72" s="100" t="s">
        <v>2464</v>
      </c>
      <c r="P72" s="5" t="s">
        <v>2407</v>
      </c>
      <c r="Q72" s="34" t="s">
        <v>2465</v>
      </c>
      <c r="R72" s="5" t="s">
        <v>2466</v>
      </c>
      <c r="S72" s="5" t="s">
        <v>2467</v>
      </c>
      <c r="T72" s="5" t="s">
        <v>445</v>
      </c>
    </row>
    <row r="73" spans="3:20" ht="14">
      <c r="C73" s="5" t="s">
        <v>1857</v>
      </c>
      <c r="D73" s="214" t="s">
        <v>383</v>
      </c>
      <c r="E73" s="212" t="str">
        <f>+VLOOKUP(F73,Resumen_Base!$B$6:$F$69,5,0)</f>
        <v>Maintenance Lodge</v>
      </c>
      <c r="F73" s="34" t="s">
        <v>31</v>
      </c>
      <c r="G73" s="88" t="s">
        <v>30</v>
      </c>
      <c r="H73" s="5" t="str">
        <f t="shared" si="0"/>
        <v>DEL5252</v>
      </c>
      <c r="I73" s="307">
        <v>88000</v>
      </c>
      <c r="J73" s="6">
        <v>62.633451957295399</v>
      </c>
      <c r="K73" s="6">
        <v>1405</v>
      </c>
      <c r="L73" s="62" t="s">
        <v>2454</v>
      </c>
      <c r="M73" s="62" t="s">
        <v>452</v>
      </c>
      <c r="N73" s="62" t="s">
        <v>464</v>
      </c>
      <c r="O73" s="100" t="s">
        <v>2455</v>
      </c>
      <c r="P73" s="5" t="s">
        <v>2407</v>
      </c>
      <c r="Q73" s="34" t="s">
        <v>2456</v>
      </c>
      <c r="R73" s="5" t="s">
        <v>2473</v>
      </c>
      <c r="S73" s="5" t="s">
        <v>2458</v>
      </c>
      <c r="T73" s="5" t="s">
        <v>445</v>
      </c>
    </row>
    <row r="74" spans="3:20" ht="14">
      <c r="C74" s="5" t="s">
        <v>1857</v>
      </c>
      <c r="D74" s="214" t="s">
        <v>383</v>
      </c>
      <c r="E74" s="212" t="str">
        <f>+VLOOKUP(F74,Resumen_Base!$B$6:$F$69,5,0)</f>
        <v>Maintenance Lodge</v>
      </c>
      <c r="F74" s="34" t="s">
        <v>31</v>
      </c>
      <c r="G74" s="88" t="s">
        <v>30</v>
      </c>
      <c r="H74" s="5" t="str">
        <f t="shared" si="0"/>
        <v>DEL5252</v>
      </c>
      <c r="I74" s="307">
        <v>30000</v>
      </c>
      <c r="J74" s="6">
        <v>21.352313167259801</v>
      </c>
      <c r="K74" s="6">
        <v>1405</v>
      </c>
      <c r="L74" s="62" t="s">
        <v>2469</v>
      </c>
      <c r="M74" s="62" t="s">
        <v>452</v>
      </c>
      <c r="N74" s="62" t="s">
        <v>464</v>
      </c>
      <c r="O74" s="100" t="s">
        <v>2470</v>
      </c>
      <c r="P74" s="5" t="s">
        <v>2407</v>
      </c>
      <c r="Q74" s="34" t="s">
        <v>2471</v>
      </c>
      <c r="R74" s="5" t="s">
        <v>2474</v>
      </c>
      <c r="S74" s="5" t="s">
        <v>2472</v>
      </c>
      <c r="T74" s="5" t="s">
        <v>445</v>
      </c>
    </row>
    <row r="75" spans="3:20" ht="14">
      <c r="C75" s="5" t="s">
        <v>1857</v>
      </c>
      <c r="D75" s="214" t="s">
        <v>383</v>
      </c>
      <c r="E75" s="212" t="str">
        <f>+VLOOKUP(F75,Resumen_Base!$B$6:$F$69,5,0)</f>
        <v>Maintenance Lodge</v>
      </c>
      <c r="F75" s="34" t="s">
        <v>31</v>
      </c>
      <c r="G75" s="88" t="s">
        <v>30</v>
      </c>
      <c r="H75" s="5" t="str">
        <f t="shared" si="0"/>
        <v>DEL5252</v>
      </c>
      <c r="I75" s="307">
        <v>5000</v>
      </c>
      <c r="J75" s="6">
        <v>3.5587188612099601</v>
      </c>
      <c r="K75" s="6">
        <v>1405</v>
      </c>
      <c r="L75" s="62" t="s">
        <v>2454</v>
      </c>
      <c r="M75" s="62" t="s">
        <v>452</v>
      </c>
      <c r="N75" s="62" t="s">
        <v>464</v>
      </c>
      <c r="O75" s="100" t="s">
        <v>2455</v>
      </c>
      <c r="P75" s="5" t="s">
        <v>2407</v>
      </c>
      <c r="Q75" s="34" t="s">
        <v>2456</v>
      </c>
      <c r="R75" s="5" t="s">
        <v>2475</v>
      </c>
      <c r="S75" s="5" t="s">
        <v>2458</v>
      </c>
      <c r="T75" s="5" t="s">
        <v>445</v>
      </c>
    </row>
    <row r="76" spans="3:20" ht="14">
      <c r="C76" s="5" t="s">
        <v>1857</v>
      </c>
      <c r="D76" s="214" t="s">
        <v>383</v>
      </c>
      <c r="E76" s="212" t="str">
        <f>+VLOOKUP(F76,Resumen_Base!$B$6:$F$69,5,0)</f>
        <v>Maintenance Lodge</v>
      </c>
      <c r="F76" s="34" t="s">
        <v>31</v>
      </c>
      <c r="G76" s="88" t="s">
        <v>30</v>
      </c>
      <c r="H76" s="5" t="str">
        <f t="shared" ref="H76:H129" si="1">+D76&amp;F76</f>
        <v>DEL5252</v>
      </c>
      <c r="I76" s="307">
        <v>24600</v>
      </c>
      <c r="J76" s="6">
        <v>17.508896797153</v>
      </c>
      <c r="K76" s="6">
        <v>1405</v>
      </c>
      <c r="L76" s="62" t="s">
        <v>2405</v>
      </c>
      <c r="M76" s="62" t="s">
        <v>452</v>
      </c>
      <c r="N76" s="62" t="s">
        <v>464</v>
      </c>
      <c r="O76" s="100" t="s">
        <v>2464</v>
      </c>
      <c r="P76" s="5" t="s">
        <v>2407</v>
      </c>
      <c r="Q76" s="34" t="s">
        <v>2465</v>
      </c>
      <c r="R76" s="5" t="s">
        <v>2480</v>
      </c>
      <c r="S76" s="5" t="s">
        <v>2467</v>
      </c>
      <c r="T76" s="5" t="s">
        <v>445</v>
      </c>
    </row>
    <row r="77" spans="3:20" ht="14">
      <c r="C77" s="5" t="s">
        <v>1857</v>
      </c>
      <c r="D77" s="214" t="s">
        <v>383</v>
      </c>
      <c r="E77" s="212" t="str">
        <f>+VLOOKUP(F77,Resumen_Base!$B$6:$F$69,5,0)</f>
        <v>Maintenance Lodge</v>
      </c>
      <c r="F77" s="34" t="s">
        <v>31</v>
      </c>
      <c r="G77" s="88" t="s">
        <v>30</v>
      </c>
      <c r="H77" s="5" t="str">
        <f t="shared" si="1"/>
        <v>DEL5252</v>
      </c>
      <c r="I77" s="307">
        <v>37400</v>
      </c>
      <c r="J77" s="6">
        <v>26.619217081850501</v>
      </c>
      <c r="K77" s="6">
        <v>1405</v>
      </c>
      <c r="L77" s="62" t="s">
        <v>2405</v>
      </c>
      <c r="M77" s="62" t="s">
        <v>452</v>
      </c>
      <c r="N77" s="62" t="s">
        <v>464</v>
      </c>
      <c r="O77" s="100" t="s">
        <v>2464</v>
      </c>
      <c r="P77" s="5" t="s">
        <v>2407</v>
      </c>
      <c r="Q77" s="34" t="s">
        <v>2465</v>
      </c>
      <c r="R77" s="5" t="s">
        <v>2485</v>
      </c>
      <c r="S77" s="5" t="s">
        <v>2467</v>
      </c>
      <c r="T77" s="5" t="s">
        <v>445</v>
      </c>
    </row>
    <row r="78" spans="3:20" ht="14">
      <c r="C78" s="5" t="s">
        <v>1857</v>
      </c>
      <c r="D78" s="214" t="s">
        <v>383</v>
      </c>
      <c r="E78" s="212" t="str">
        <f>+VLOOKUP(F78,Resumen_Base!$B$6:$F$69,5,0)</f>
        <v>Maintenance Lodge</v>
      </c>
      <c r="F78" s="34" t="s">
        <v>31</v>
      </c>
      <c r="G78" s="88" t="s">
        <v>30</v>
      </c>
      <c r="H78" s="5" t="str">
        <f t="shared" si="1"/>
        <v>DEL5252</v>
      </c>
      <c r="I78" s="307">
        <v>55000</v>
      </c>
      <c r="J78" s="6">
        <v>39.145907473309599</v>
      </c>
      <c r="K78" s="6">
        <v>1405</v>
      </c>
      <c r="L78" s="62" t="s">
        <v>2469</v>
      </c>
      <c r="M78" s="62" t="s">
        <v>452</v>
      </c>
      <c r="N78" s="62" t="s">
        <v>464</v>
      </c>
      <c r="O78" s="100" t="s">
        <v>2470</v>
      </c>
      <c r="P78" s="5" t="s">
        <v>2407</v>
      </c>
      <c r="Q78" s="34" t="s">
        <v>2471</v>
      </c>
      <c r="R78" s="5" t="s">
        <v>2488</v>
      </c>
      <c r="S78" s="5" t="s">
        <v>2472</v>
      </c>
      <c r="T78" s="5" t="s">
        <v>445</v>
      </c>
    </row>
    <row r="79" spans="3:20" ht="14">
      <c r="C79" s="5" t="s">
        <v>1857</v>
      </c>
      <c r="D79" s="214" t="s">
        <v>383</v>
      </c>
      <c r="E79" s="212" t="str">
        <f>+VLOOKUP(F79,Resumen_Base!$B$6:$F$69,5,0)</f>
        <v>Maintenance Lodge</v>
      </c>
      <c r="F79" s="34" t="s">
        <v>31</v>
      </c>
      <c r="G79" s="88" t="s">
        <v>30</v>
      </c>
      <c r="H79" s="5" t="str">
        <f t="shared" si="1"/>
        <v>DEL5252</v>
      </c>
      <c r="I79" s="307">
        <v>146000</v>
      </c>
      <c r="J79" s="6">
        <v>103.914590747331</v>
      </c>
      <c r="K79" s="6">
        <v>1405</v>
      </c>
      <c r="L79" s="62" t="s">
        <v>2469</v>
      </c>
      <c r="M79" s="62" t="s">
        <v>452</v>
      </c>
      <c r="N79" s="62" t="s">
        <v>464</v>
      </c>
      <c r="O79" s="100" t="s">
        <v>2470</v>
      </c>
      <c r="P79" s="5" t="s">
        <v>2407</v>
      </c>
      <c r="Q79" s="34" t="s">
        <v>2471</v>
      </c>
      <c r="R79" s="5" t="s">
        <v>2489</v>
      </c>
      <c r="S79" s="5" t="s">
        <v>2472</v>
      </c>
      <c r="T79" s="5" t="s">
        <v>445</v>
      </c>
    </row>
    <row r="80" spans="3:20" ht="14">
      <c r="C80" s="5" t="s">
        <v>1857</v>
      </c>
      <c r="D80" s="214" t="s">
        <v>383</v>
      </c>
      <c r="E80" s="212" t="str">
        <f>+VLOOKUP(F80,Resumen_Base!$B$6:$F$69,5,0)</f>
        <v>Maintenance Lodge</v>
      </c>
      <c r="F80" s="34" t="s">
        <v>31</v>
      </c>
      <c r="G80" s="88" t="s">
        <v>30</v>
      </c>
      <c r="H80" s="5" t="str">
        <f t="shared" si="1"/>
        <v>DEL5252</v>
      </c>
      <c r="I80" s="307">
        <v>50200</v>
      </c>
      <c r="J80" s="6">
        <v>35.729537366548001</v>
      </c>
      <c r="K80" s="6">
        <v>1405</v>
      </c>
      <c r="L80" s="62" t="s">
        <v>2405</v>
      </c>
      <c r="M80" s="62" t="s">
        <v>452</v>
      </c>
      <c r="N80" s="62" t="s">
        <v>464</v>
      </c>
      <c r="O80" s="100" t="s">
        <v>2464</v>
      </c>
      <c r="P80" s="5" t="s">
        <v>2407</v>
      </c>
      <c r="Q80" s="34" t="s">
        <v>2465</v>
      </c>
      <c r="R80" s="5" t="s">
        <v>2491</v>
      </c>
      <c r="S80" s="5" t="s">
        <v>2467</v>
      </c>
      <c r="T80" s="5" t="s">
        <v>445</v>
      </c>
    </row>
    <row r="81" spans="3:20" ht="14">
      <c r="C81" s="5" t="s">
        <v>1857</v>
      </c>
      <c r="D81" s="214" t="s">
        <v>383</v>
      </c>
      <c r="E81" s="212" t="str">
        <f>+VLOOKUP(F81,Resumen_Base!$B$6:$F$69,5,0)</f>
        <v>Maintenance Lodge</v>
      </c>
      <c r="F81" s="34" t="s">
        <v>31</v>
      </c>
      <c r="G81" s="88" t="s">
        <v>30</v>
      </c>
      <c r="H81" s="5" t="str">
        <f t="shared" si="1"/>
        <v>DEL5252</v>
      </c>
      <c r="I81" s="307">
        <v>28800</v>
      </c>
      <c r="J81" s="6">
        <v>20.4982206405694</v>
      </c>
      <c r="K81" s="6">
        <v>1405</v>
      </c>
      <c r="L81" s="62" t="s">
        <v>2405</v>
      </c>
      <c r="M81" s="62" t="s">
        <v>452</v>
      </c>
      <c r="N81" s="62" t="s">
        <v>464</v>
      </c>
      <c r="O81" s="100" t="s">
        <v>2464</v>
      </c>
      <c r="P81" s="5" t="s">
        <v>2407</v>
      </c>
      <c r="Q81" s="34" t="s">
        <v>2465</v>
      </c>
      <c r="R81" s="5" t="s">
        <v>2492</v>
      </c>
      <c r="S81" s="5" t="s">
        <v>2467</v>
      </c>
      <c r="T81" s="5" t="s">
        <v>445</v>
      </c>
    </row>
    <row r="82" spans="3:20" ht="14">
      <c r="C82" s="5" t="s">
        <v>1857</v>
      </c>
      <c r="D82" s="214" t="s">
        <v>383</v>
      </c>
      <c r="E82" s="212" t="str">
        <f>+VLOOKUP(F82,Resumen_Base!$B$6:$F$69,5,0)</f>
        <v>Maintenance Lodge</v>
      </c>
      <c r="F82" s="34" t="s">
        <v>31</v>
      </c>
      <c r="G82" s="88" t="s">
        <v>30</v>
      </c>
      <c r="H82" s="5" t="str">
        <f t="shared" si="1"/>
        <v>DEL5252</v>
      </c>
      <c r="I82" s="307">
        <v>72000</v>
      </c>
      <c r="J82" s="6">
        <v>51.2455516014235</v>
      </c>
      <c r="K82" s="6">
        <v>1405</v>
      </c>
      <c r="L82" s="62" t="s">
        <v>2405</v>
      </c>
      <c r="M82" s="62" t="s">
        <v>452</v>
      </c>
      <c r="N82" s="62" t="s">
        <v>464</v>
      </c>
      <c r="O82" s="100" t="s">
        <v>2464</v>
      </c>
      <c r="P82" s="5" t="s">
        <v>2407</v>
      </c>
      <c r="Q82" s="34" t="s">
        <v>2465</v>
      </c>
      <c r="R82" s="5" t="s">
        <v>2493</v>
      </c>
      <c r="S82" s="5" t="s">
        <v>2467</v>
      </c>
      <c r="T82" s="5" t="s">
        <v>445</v>
      </c>
    </row>
    <row r="83" spans="3:20" ht="14">
      <c r="C83" s="5" t="s">
        <v>1857</v>
      </c>
      <c r="D83" s="214" t="s">
        <v>383</v>
      </c>
      <c r="E83" s="212" t="str">
        <f>+VLOOKUP(F83,Resumen_Base!$B$6:$F$69,5,0)</f>
        <v>Maintenance Lodge</v>
      </c>
      <c r="F83" s="34" t="s">
        <v>31</v>
      </c>
      <c r="G83" s="88" t="s">
        <v>30</v>
      </c>
      <c r="H83" s="5" t="str">
        <f t="shared" si="1"/>
        <v>DEL5252</v>
      </c>
      <c r="I83" s="307">
        <v>20000</v>
      </c>
      <c r="J83" s="6">
        <v>14.234875444839901</v>
      </c>
      <c r="K83" s="6">
        <v>1405</v>
      </c>
      <c r="L83" s="62" t="s">
        <v>2460</v>
      </c>
      <c r="M83" s="62" t="s">
        <v>452</v>
      </c>
      <c r="N83" s="62" t="s">
        <v>464</v>
      </c>
      <c r="O83" s="100" t="s">
        <v>2461</v>
      </c>
      <c r="P83" s="5" t="s">
        <v>2407</v>
      </c>
      <c r="Q83" s="34" t="s">
        <v>2462</v>
      </c>
      <c r="R83" s="5" t="s">
        <v>2507</v>
      </c>
      <c r="S83" s="5" t="s">
        <v>2463</v>
      </c>
      <c r="T83" s="5" t="s">
        <v>445</v>
      </c>
    </row>
    <row r="84" spans="3:20" ht="14">
      <c r="C84" s="5" t="s">
        <v>1857</v>
      </c>
      <c r="D84" s="214" t="s">
        <v>383</v>
      </c>
      <c r="E84" s="212" t="str">
        <f>+VLOOKUP(F84,Resumen_Base!$B$6:$F$69,5,0)</f>
        <v>Maintenance Lodge</v>
      </c>
      <c r="F84" s="34" t="s">
        <v>31</v>
      </c>
      <c r="G84" s="88" t="s">
        <v>30</v>
      </c>
      <c r="H84" s="5" t="str">
        <f t="shared" si="1"/>
        <v>DEL5252</v>
      </c>
      <c r="I84" s="307">
        <v>50000</v>
      </c>
      <c r="J84" s="6">
        <v>35.587188612099602</v>
      </c>
      <c r="K84" s="6">
        <v>1405</v>
      </c>
      <c r="L84" s="62" t="s">
        <v>2405</v>
      </c>
      <c r="M84" s="62" t="s">
        <v>452</v>
      </c>
      <c r="N84" s="62" t="s">
        <v>464</v>
      </c>
      <c r="O84" s="100" t="s">
        <v>2464</v>
      </c>
      <c r="P84" s="5" t="s">
        <v>2407</v>
      </c>
      <c r="Q84" s="34" t="s">
        <v>2465</v>
      </c>
      <c r="R84" s="5" t="s">
        <v>2508</v>
      </c>
      <c r="S84" s="5" t="s">
        <v>2467</v>
      </c>
      <c r="T84" s="5" t="s">
        <v>445</v>
      </c>
    </row>
    <row r="85" spans="3:20" ht="14">
      <c r="C85" s="5" t="s">
        <v>1857</v>
      </c>
      <c r="D85" s="214" t="s">
        <v>383</v>
      </c>
      <c r="E85" s="212" t="str">
        <f>+VLOOKUP(F85,Resumen_Base!$B$6:$F$69,5,0)</f>
        <v>Maintenance Lodge</v>
      </c>
      <c r="F85" s="34" t="s">
        <v>31</v>
      </c>
      <c r="G85" s="88" t="s">
        <v>30</v>
      </c>
      <c r="H85" s="5" t="str">
        <f t="shared" si="1"/>
        <v>DEL5252</v>
      </c>
      <c r="I85" s="307">
        <v>6000</v>
      </c>
      <c r="J85" s="6">
        <v>4.2704626334519604</v>
      </c>
      <c r="K85" s="6">
        <v>1405</v>
      </c>
      <c r="L85" s="62" t="s">
        <v>2469</v>
      </c>
      <c r="M85" s="62" t="s">
        <v>452</v>
      </c>
      <c r="N85" s="62" t="s">
        <v>464</v>
      </c>
      <c r="O85" s="100" t="s">
        <v>2470</v>
      </c>
      <c r="P85" s="5" t="s">
        <v>2407</v>
      </c>
      <c r="Q85" s="34" t="s">
        <v>2471</v>
      </c>
      <c r="R85" s="5" t="s">
        <v>2513</v>
      </c>
      <c r="S85" s="5" t="s">
        <v>2472</v>
      </c>
      <c r="T85" s="5" t="s">
        <v>445</v>
      </c>
    </row>
    <row r="86" spans="3:20" ht="14">
      <c r="C86" s="5" t="s">
        <v>1857</v>
      </c>
      <c r="D86" s="214" t="s">
        <v>383</v>
      </c>
      <c r="E86" s="212" t="str">
        <f>+VLOOKUP(F86,Resumen_Base!$B$6:$F$69,5,0)</f>
        <v>Maintenance Lodge</v>
      </c>
      <c r="F86" s="34" t="s">
        <v>31</v>
      </c>
      <c r="G86" s="88" t="s">
        <v>30</v>
      </c>
      <c r="H86" s="5" t="str">
        <f t="shared" si="1"/>
        <v>DEL5252</v>
      </c>
      <c r="I86" s="307">
        <v>20000</v>
      </c>
      <c r="J86" s="6">
        <v>14.234875444839901</v>
      </c>
      <c r="K86" s="6">
        <v>1405</v>
      </c>
      <c r="L86" s="62" t="s">
        <v>2454</v>
      </c>
      <c r="M86" s="62" t="s">
        <v>452</v>
      </c>
      <c r="N86" s="62" t="s">
        <v>464</v>
      </c>
      <c r="O86" s="100" t="s">
        <v>2455</v>
      </c>
      <c r="P86" s="5" t="s">
        <v>2407</v>
      </c>
      <c r="Q86" s="34" t="s">
        <v>2456</v>
      </c>
      <c r="R86" s="5" t="s">
        <v>2518</v>
      </c>
      <c r="S86" s="5" t="s">
        <v>2458</v>
      </c>
      <c r="T86" s="5" t="s">
        <v>445</v>
      </c>
    </row>
    <row r="87" spans="3:20" ht="14">
      <c r="C87" s="5" t="s">
        <v>1857</v>
      </c>
      <c r="D87" s="214" t="s">
        <v>383</v>
      </c>
      <c r="E87" s="212" t="str">
        <f>+VLOOKUP(F87,Resumen_Base!$B$6:$F$69,5,0)</f>
        <v>Maintenance Lodge</v>
      </c>
      <c r="F87" s="34" t="s">
        <v>31</v>
      </c>
      <c r="G87" s="88" t="s">
        <v>30</v>
      </c>
      <c r="H87" s="5" t="str">
        <f t="shared" si="1"/>
        <v>DEL5252</v>
      </c>
      <c r="I87" s="307">
        <v>30000</v>
      </c>
      <c r="J87" s="6">
        <v>21.352313167259801</v>
      </c>
      <c r="K87" s="6">
        <v>1405</v>
      </c>
      <c r="L87" s="62" t="s">
        <v>2460</v>
      </c>
      <c r="M87" s="62" t="s">
        <v>452</v>
      </c>
      <c r="N87" s="62" t="s">
        <v>464</v>
      </c>
      <c r="O87" s="100" t="s">
        <v>2461</v>
      </c>
      <c r="P87" s="5" t="s">
        <v>2407</v>
      </c>
      <c r="Q87" s="34" t="s">
        <v>2462</v>
      </c>
      <c r="R87" s="5" t="s">
        <v>2536</v>
      </c>
      <c r="S87" s="5" t="s">
        <v>2463</v>
      </c>
      <c r="T87" s="5" t="s">
        <v>445</v>
      </c>
    </row>
    <row r="88" spans="3:20" ht="14">
      <c r="C88" s="5" t="s">
        <v>1857</v>
      </c>
      <c r="D88" s="214" t="s">
        <v>383</v>
      </c>
      <c r="E88" s="212" t="str">
        <f>+VLOOKUP(F88,Resumen_Base!$B$6:$F$69,5,0)</f>
        <v>Maintenance Lodge</v>
      </c>
      <c r="F88" s="34" t="s">
        <v>31</v>
      </c>
      <c r="G88" s="88" t="s">
        <v>30</v>
      </c>
      <c r="H88" s="5" t="str">
        <f t="shared" si="1"/>
        <v>DEL5252</v>
      </c>
      <c r="I88" s="307">
        <v>21000</v>
      </c>
      <c r="J88" s="6">
        <v>14.946619217081899</v>
      </c>
      <c r="K88" s="6">
        <v>1405</v>
      </c>
      <c r="L88" s="62" t="s">
        <v>2469</v>
      </c>
      <c r="M88" s="62" t="s">
        <v>452</v>
      </c>
      <c r="N88" s="62" t="s">
        <v>464</v>
      </c>
      <c r="O88" s="100" t="s">
        <v>2470</v>
      </c>
      <c r="P88" s="5" t="s">
        <v>2407</v>
      </c>
      <c r="Q88" s="34" t="s">
        <v>2471</v>
      </c>
      <c r="R88" s="5" t="s">
        <v>2537</v>
      </c>
      <c r="S88" s="5" t="s">
        <v>2472</v>
      </c>
      <c r="T88" s="5" t="s">
        <v>445</v>
      </c>
    </row>
    <row r="89" spans="3:20" ht="14">
      <c r="C89" s="5" t="s">
        <v>1857</v>
      </c>
      <c r="D89" s="214" t="s">
        <v>383</v>
      </c>
      <c r="E89" s="212" t="str">
        <f>+VLOOKUP(F89,Resumen_Base!$B$6:$F$69,5,0)</f>
        <v>Maintenance Lodge</v>
      </c>
      <c r="F89" s="34" t="s">
        <v>31</v>
      </c>
      <c r="G89" s="88" t="s">
        <v>30</v>
      </c>
      <c r="H89" s="5" t="str">
        <f t="shared" si="1"/>
        <v>DEL5252</v>
      </c>
      <c r="I89" s="307">
        <v>15200</v>
      </c>
      <c r="J89" s="6">
        <v>10.8185053380783</v>
      </c>
      <c r="K89" s="6">
        <v>1405</v>
      </c>
      <c r="L89" s="62" t="s">
        <v>2469</v>
      </c>
      <c r="M89" s="62" t="s">
        <v>452</v>
      </c>
      <c r="N89" s="62" t="s">
        <v>464</v>
      </c>
      <c r="O89" s="100" t="s">
        <v>2470</v>
      </c>
      <c r="P89" s="5" t="s">
        <v>2407</v>
      </c>
      <c r="Q89" s="34" t="s">
        <v>2471</v>
      </c>
      <c r="R89" s="5" t="s">
        <v>2543</v>
      </c>
      <c r="S89" s="5" t="s">
        <v>2472</v>
      </c>
      <c r="T89" s="5" t="s">
        <v>445</v>
      </c>
    </row>
    <row r="90" spans="3:20" ht="14">
      <c r="C90" s="5" t="s">
        <v>1857</v>
      </c>
      <c r="D90" s="214" t="s">
        <v>383</v>
      </c>
      <c r="E90" s="212" t="str">
        <f>+VLOOKUP(F90,Resumen_Base!$B$6:$F$69,5,0)</f>
        <v>Maintenance Lodge</v>
      </c>
      <c r="F90" s="34" t="s">
        <v>31</v>
      </c>
      <c r="G90" s="88" t="s">
        <v>30</v>
      </c>
      <c r="H90" s="5" t="str">
        <f t="shared" si="1"/>
        <v>DEL5252</v>
      </c>
      <c r="I90" s="307">
        <v>10000</v>
      </c>
      <c r="J90" s="6">
        <v>7.1174377224199299</v>
      </c>
      <c r="K90" s="6">
        <v>1405</v>
      </c>
      <c r="L90" s="62" t="s">
        <v>2454</v>
      </c>
      <c r="M90" s="62" t="s">
        <v>452</v>
      </c>
      <c r="N90" s="62" t="s">
        <v>464</v>
      </c>
      <c r="O90" s="100" t="s">
        <v>2455</v>
      </c>
      <c r="P90" s="5" t="s">
        <v>2407</v>
      </c>
      <c r="Q90" s="34" t="s">
        <v>2456</v>
      </c>
      <c r="R90" s="5" t="s">
        <v>2545</v>
      </c>
      <c r="S90" s="5" t="s">
        <v>2458</v>
      </c>
      <c r="T90" s="5" t="s">
        <v>445</v>
      </c>
    </row>
    <row r="91" spans="3:20" ht="14">
      <c r="C91" s="5" t="s">
        <v>1857</v>
      </c>
      <c r="D91" s="214" t="s">
        <v>383</v>
      </c>
      <c r="E91" s="212" t="str">
        <f>+VLOOKUP(F91,Resumen_Base!$B$6:$F$69,5,0)</f>
        <v>Maintenance Lodge</v>
      </c>
      <c r="F91" s="34" t="s">
        <v>31</v>
      </c>
      <c r="G91" s="88" t="s">
        <v>30</v>
      </c>
      <c r="H91" s="5" t="str">
        <f t="shared" si="1"/>
        <v>DEL5252</v>
      </c>
      <c r="I91" s="307">
        <v>15000</v>
      </c>
      <c r="J91" s="6">
        <v>10.676156583629901</v>
      </c>
      <c r="K91" s="6">
        <v>1405</v>
      </c>
      <c r="L91" s="62" t="s">
        <v>2454</v>
      </c>
      <c r="M91" s="62" t="s">
        <v>452</v>
      </c>
      <c r="N91" s="62" t="s">
        <v>464</v>
      </c>
      <c r="O91" s="100" t="s">
        <v>2455</v>
      </c>
      <c r="P91" s="5" t="s">
        <v>2407</v>
      </c>
      <c r="Q91" s="34" t="s">
        <v>2456</v>
      </c>
      <c r="R91" s="5" t="s">
        <v>2554</v>
      </c>
      <c r="S91" s="5" t="s">
        <v>2458</v>
      </c>
      <c r="T91" s="5" t="s">
        <v>445</v>
      </c>
    </row>
    <row r="92" spans="3:20" ht="14">
      <c r="C92" s="5" t="s">
        <v>1857</v>
      </c>
      <c r="D92" s="214" t="s">
        <v>383</v>
      </c>
      <c r="E92" s="212" t="str">
        <f>+VLOOKUP(F92,Resumen_Base!$B$6:$F$69,5,0)</f>
        <v>Maintenance Lodge</v>
      </c>
      <c r="F92" s="34" t="s">
        <v>31</v>
      </c>
      <c r="G92" s="88" t="s">
        <v>30</v>
      </c>
      <c r="H92" s="5" t="str">
        <f t="shared" si="1"/>
        <v>DEL5252</v>
      </c>
      <c r="I92" s="307">
        <v>113000</v>
      </c>
      <c r="J92" s="6">
        <v>80.427046263345204</v>
      </c>
      <c r="K92" s="6">
        <v>1405</v>
      </c>
      <c r="L92" s="62" t="s">
        <v>2418</v>
      </c>
      <c r="M92" s="62" t="s">
        <v>452</v>
      </c>
      <c r="N92" s="62" t="s">
        <v>464</v>
      </c>
      <c r="O92" s="100" t="s">
        <v>2584</v>
      </c>
      <c r="P92" s="5" t="s">
        <v>2407</v>
      </c>
      <c r="Q92" s="34" t="s">
        <v>2585</v>
      </c>
      <c r="R92" s="5" t="s">
        <v>2593</v>
      </c>
      <c r="S92" s="5" t="s">
        <v>2586</v>
      </c>
      <c r="T92" s="5" t="s">
        <v>445</v>
      </c>
    </row>
    <row r="93" spans="3:20" ht="14">
      <c r="C93" s="5" t="s">
        <v>1857</v>
      </c>
      <c r="D93" s="214" t="s">
        <v>383</v>
      </c>
      <c r="E93" s="212" t="str">
        <f>+VLOOKUP(F93,Resumen_Base!$B$6:$F$69,5,0)</f>
        <v>Maintenance Lodge</v>
      </c>
      <c r="F93" s="34" t="s">
        <v>31</v>
      </c>
      <c r="G93" s="88" t="s">
        <v>30</v>
      </c>
      <c r="H93" s="5" t="str">
        <f t="shared" si="1"/>
        <v>DEL5252</v>
      </c>
      <c r="I93" s="307">
        <v>158400</v>
      </c>
      <c r="J93" s="6">
        <v>112.740213523132</v>
      </c>
      <c r="K93" s="6">
        <v>1405</v>
      </c>
      <c r="L93" s="62" t="s">
        <v>2571</v>
      </c>
      <c r="M93" s="62" t="s">
        <v>452</v>
      </c>
      <c r="N93" s="62" t="s">
        <v>464</v>
      </c>
      <c r="O93" s="100" t="s">
        <v>2572</v>
      </c>
      <c r="P93" s="5" t="s">
        <v>2407</v>
      </c>
      <c r="Q93" s="34" t="s">
        <v>2573</v>
      </c>
      <c r="R93" s="5" t="s">
        <v>2601</v>
      </c>
      <c r="S93" s="5" t="s">
        <v>2575</v>
      </c>
      <c r="T93" s="5" t="s">
        <v>445</v>
      </c>
    </row>
    <row r="94" spans="3:20" ht="14">
      <c r="C94" s="5" t="s">
        <v>1857</v>
      </c>
      <c r="D94" s="214" t="s">
        <v>383</v>
      </c>
      <c r="E94" s="212" t="str">
        <f>+VLOOKUP(F94,Resumen_Base!$B$6:$F$69,5,0)</f>
        <v>Maintenance Lodge</v>
      </c>
      <c r="F94" s="34" t="s">
        <v>31</v>
      </c>
      <c r="G94" s="88" t="s">
        <v>30</v>
      </c>
      <c r="H94" s="5" t="str">
        <f t="shared" si="1"/>
        <v>DEL5252</v>
      </c>
      <c r="I94" s="307">
        <v>176600</v>
      </c>
      <c r="J94" s="6">
        <v>125.693950177936</v>
      </c>
      <c r="K94" s="6">
        <v>1405</v>
      </c>
      <c r="L94" s="62" t="s">
        <v>2405</v>
      </c>
      <c r="M94" s="62" t="s">
        <v>452</v>
      </c>
      <c r="N94" s="62" t="s">
        <v>464</v>
      </c>
      <c r="O94" s="100" t="s">
        <v>2567</v>
      </c>
      <c r="P94" s="5" t="s">
        <v>2407</v>
      </c>
      <c r="Q94" s="34" t="s">
        <v>2568</v>
      </c>
      <c r="R94" s="5" t="s">
        <v>2602</v>
      </c>
      <c r="S94" s="5" t="s">
        <v>2570</v>
      </c>
      <c r="T94" s="5" t="s">
        <v>445</v>
      </c>
    </row>
    <row r="95" spans="3:20" ht="14">
      <c r="C95" s="5" t="s">
        <v>1857</v>
      </c>
      <c r="D95" s="214" t="s">
        <v>383</v>
      </c>
      <c r="E95" s="212" t="str">
        <f>+VLOOKUP(F95,Resumen_Base!$B$6:$F$69,5,0)</f>
        <v>Maintenance Lodge</v>
      </c>
      <c r="F95" s="34" t="s">
        <v>31</v>
      </c>
      <c r="G95" s="88" t="s">
        <v>30</v>
      </c>
      <c r="H95" s="5" t="str">
        <f t="shared" si="1"/>
        <v>DEL5252</v>
      </c>
      <c r="I95" s="307">
        <v>258500</v>
      </c>
      <c r="J95" s="6">
        <v>183.985765124555</v>
      </c>
      <c r="K95" s="6">
        <v>1405</v>
      </c>
      <c r="L95" s="62" t="s">
        <v>2595</v>
      </c>
      <c r="M95" s="62" t="s">
        <v>452</v>
      </c>
      <c r="N95" s="62" t="s">
        <v>464</v>
      </c>
      <c r="O95" s="100" t="s">
        <v>2596</v>
      </c>
      <c r="P95" s="5" t="s">
        <v>2407</v>
      </c>
      <c r="Q95" s="34" t="s">
        <v>2597</v>
      </c>
      <c r="R95" s="5" t="s">
        <v>2603</v>
      </c>
      <c r="S95" s="5" t="s">
        <v>2599</v>
      </c>
      <c r="T95" s="5" t="s">
        <v>445</v>
      </c>
    </row>
    <row r="96" spans="3:20" ht="14">
      <c r="C96" s="5" t="s">
        <v>1857</v>
      </c>
      <c r="D96" s="214" t="s">
        <v>383</v>
      </c>
      <c r="E96" s="212" t="str">
        <f>+VLOOKUP(F96,Resumen_Base!$B$6:$F$69,5,0)</f>
        <v>Maintenance  Boats / Vehicles</v>
      </c>
      <c r="F96" s="34" t="s">
        <v>62</v>
      </c>
      <c r="G96" s="88" t="s">
        <v>63</v>
      </c>
      <c r="H96" s="5" t="str">
        <f t="shared" si="1"/>
        <v>DEL5253</v>
      </c>
      <c r="I96" s="307">
        <v>2950000</v>
      </c>
      <c r="J96" s="6">
        <v>2099.64412811388</v>
      </c>
      <c r="K96" s="6">
        <v>1405</v>
      </c>
      <c r="L96" s="62" t="s">
        <v>2405</v>
      </c>
      <c r="M96" s="62" t="s">
        <v>452</v>
      </c>
      <c r="N96" s="62" t="s">
        <v>464</v>
      </c>
      <c r="O96" s="100" t="s">
        <v>2567</v>
      </c>
      <c r="P96" s="5" t="s">
        <v>2407</v>
      </c>
      <c r="Q96" s="34" t="s">
        <v>2568</v>
      </c>
      <c r="R96" s="5" t="s">
        <v>2592</v>
      </c>
      <c r="S96" s="5" t="s">
        <v>2570</v>
      </c>
      <c r="T96" s="5" t="s">
        <v>445</v>
      </c>
    </row>
    <row r="97" spans="3:20" ht="14">
      <c r="C97" s="5" t="s">
        <v>1857</v>
      </c>
      <c r="D97" s="214" t="s">
        <v>383</v>
      </c>
      <c r="E97" s="212" t="str">
        <f>+VLOOKUP(F97,Resumen_Base!$B$6:$F$69,5,0)</f>
        <v>Maintenance  Equipment</v>
      </c>
      <c r="F97" s="34" t="s">
        <v>29</v>
      </c>
      <c r="G97" s="88" t="s">
        <v>312</v>
      </c>
      <c r="H97" s="5" t="str">
        <f t="shared" si="1"/>
        <v>DEL5254</v>
      </c>
      <c r="I97" s="307">
        <v>27500</v>
      </c>
      <c r="J97" s="6">
        <v>19.572953736654799</v>
      </c>
      <c r="K97" s="6">
        <v>1405</v>
      </c>
      <c r="L97" s="62" t="s">
        <v>2469</v>
      </c>
      <c r="M97" s="62" t="s">
        <v>452</v>
      </c>
      <c r="N97" s="62" t="s">
        <v>464</v>
      </c>
      <c r="O97" s="100" t="s">
        <v>2470</v>
      </c>
      <c r="P97" s="5" t="s">
        <v>2407</v>
      </c>
      <c r="Q97" s="34" t="s">
        <v>2471</v>
      </c>
      <c r="R97" s="5" t="s">
        <v>2484</v>
      </c>
      <c r="S97" s="5" t="s">
        <v>2472</v>
      </c>
      <c r="T97" s="5" t="s">
        <v>445</v>
      </c>
    </row>
    <row r="98" spans="3:20" ht="14">
      <c r="C98" s="5" t="s">
        <v>1857</v>
      </c>
      <c r="D98" s="214" t="s">
        <v>383</v>
      </c>
      <c r="E98" s="212" t="str">
        <f>+VLOOKUP(F98,Resumen_Base!$B$6:$F$69,5,0)</f>
        <v>Travel for personnel (employees)</v>
      </c>
      <c r="F98" s="34" t="s">
        <v>64</v>
      </c>
      <c r="G98" s="88" t="s">
        <v>65</v>
      </c>
      <c r="H98" s="5" t="str">
        <f t="shared" si="1"/>
        <v>DEL5255</v>
      </c>
      <c r="I98" s="307">
        <v>60000</v>
      </c>
      <c r="J98" s="6">
        <v>42.704626334519602</v>
      </c>
      <c r="K98" s="6">
        <v>1405</v>
      </c>
      <c r="L98" s="62" t="s">
        <v>2405</v>
      </c>
      <c r="M98" s="62" t="s">
        <v>452</v>
      </c>
      <c r="N98" s="62" t="s">
        <v>464</v>
      </c>
      <c r="O98" s="100" t="s">
        <v>2464</v>
      </c>
      <c r="P98" s="5" t="s">
        <v>2407</v>
      </c>
      <c r="Q98" s="34" t="s">
        <v>2465</v>
      </c>
      <c r="R98" s="5" t="s">
        <v>2468</v>
      </c>
      <c r="S98" s="5" t="s">
        <v>2467</v>
      </c>
      <c r="T98" s="5" t="s">
        <v>445</v>
      </c>
    </row>
    <row r="99" spans="3:20" ht="14">
      <c r="C99" s="5" t="s">
        <v>1857</v>
      </c>
      <c r="D99" s="214" t="s">
        <v>383</v>
      </c>
      <c r="E99" s="212" t="str">
        <f>+VLOOKUP(F99,Resumen_Base!$B$6:$F$69,5,0)</f>
        <v>Travel for personnel (employees)</v>
      </c>
      <c r="F99" s="34" t="s">
        <v>64</v>
      </c>
      <c r="G99" s="88" t="s">
        <v>65</v>
      </c>
      <c r="H99" s="5" t="str">
        <f t="shared" si="1"/>
        <v>DEL5255</v>
      </c>
      <c r="I99" s="307">
        <v>35000</v>
      </c>
      <c r="J99" s="6">
        <v>24.911032028469801</v>
      </c>
      <c r="K99" s="6">
        <v>1405</v>
      </c>
      <c r="L99" s="62" t="s">
        <v>2469</v>
      </c>
      <c r="M99" s="62" t="s">
        <v>452</v>
      </c>
      <c r="N99" s="62" t="s">
        <v>464</v>
      </c>
      <c r="O99" s="100" t="s">
        <v>2470</v>
      </c>
      <c r="P99" s="5" t="s">
        <v>2407</v>
      </c>
      <c r="Q99" s="34" t="s">
        <v>2471</v>
      </c>
      <c r="R99" s="5" t="s">
        <v>703</v>
      </c>
      <c r="S99" s="5" t="s">
        <v>2472</v>
      </c>
      <c r="T99" s="5" t="s">
        <v>445</v>
      </c>
    </row>
    <row r="100" spans="3:20" ht="14">
      <c r="C100" s="5" t="s">
        <v>1857</v>
      </c>
      <c r="D100" s="214" t="s">
        <v>383</v>
      </c>
      <c r="E100" s="212" t="str">
        <f>+VLOOKUP(F100,Resumen_Base!$B$6:$F$69,5,0)</f>
        <v>Travel for personnel (employees)</v>
      </c>
      <c r="F100" s="34" t="s">
        <v>64</v>
      </c>
      <c r="G100" s="88" t="s">
        <v>65</v>
      </c>
      <c r="H100" s="5" t="str">
        <f t="shared" si="1"/>
        <v>DEL5255</v>
      </c>
      <c r="I100" s="307">
        <v>41000</v>
      </c>
      <c r="J100" s="6">
        <v>29.1814946619217</v>
      </c>
      <c r="K100" s="6">
        <v>1405</v>
      </c>
      <c r="L100" s="62" t="s">
        <v>2460</v>
      </c>
      <c r="M100" s="62" t="s">
        <v>452</v>
      </c>
      <c r="N100" s="62" t="s">
        <v>464</v>
      </c>
      <c r="O100" s="100" t="s">
        <v>2461</v>
      </c>
      <c r="P100" s="5" t="s">
        <v>2407</v>
      </c>
      <c r="Q100" s="34" t="s">
        <v>2462</v>
      </c>
      <c r="R100" s="5" t="s">
        <v>703</v>
      </c>
      <c r="S100" s="5" t="s">
        <v>2463</v>
      </c>
      <c r="T100" s="5" t="s">
        <v>445</v>
      </c>
    </row>
    <row r="101" spans="3:20" ht="14">
      <c r="C101" s="5" t="s">
        <v>1857</v>
      </c>
      <c r="D101" s="214" t="s">
        <v>383</v>
      </c>
      <c r="E101" s="212" t="str">
        <f>+VLOOKUP(F101,Resumen_Base!$B$6:$F$69,5,0)</f>
        <v>Travel for personnel (employees)</v>
      </c>
      <c r="F101" s="34" t="s">
        <v>64</v>
      </c>
      <c r="G101" s="88" t="s">
        <v>65</v>
      </c>
      <c r="H101" s="5" t="str">
        <f t="shared" si="1"/>
        <v>DEL5255</v>
      </c>
      <c r="I101" s="307">
        <v>16000</v>
      </c>
      <c r="J101" s="6">
        <v>11.387900355871899</v>
      </c>
      <c r="K101" s="6">
        <v>1405</v>
      </c>
      <c r="L101" s="62" t="s">
        <v>2469</v>
      </c>
      <c r="M101" s="62" t="s">
        <v>452</v>
      </c>
      <c r="N101" s="62" t="s">
        <v>464</v>
      </c>
      <c r="O101" s="100" t="s">
        <v>2470</v>
      </c>
      <c r="P101" s="5" t="s">
        <v>2407</v>
      </c>
      <c r="Q101" s="34" t="s">
        <v>2471</v>
      </c>
      <c r="R101" s="5" t="s">
        <v>2477</v>
      </c>
      <c r="S101" s="5" t="s">
        <v>2472</v>
      </c>
      <c r="T101" s="5" t="s">
        <v>445</v>
      </c>
    </row>
    <row r="102" spans="3:20" ht="14">
      <c r="C102" s="5" t="s">
        <v>1857</v>
      </c>
      <c r="D102" s="214" t="s">
        <v>383</v>
      </c>
      <c r="E102" s="212" t="str">
        <f>+VLOOKUP(F102,Resumen_Base!$B$6:$F$69,5,0)</f>
        <v>Travel for personnel (employees)</v>
      </c>
      <c r="F102" s="34" t="s">
        <v>64</v>
      </c>
      <c r="G102" s="88" t="s">
        <v>65</v>
      </c>
      <c r="H102" s="5" t="str">
        <f t="shared" si="1"/>
        <v>DEL5255</v>
      </c>
      <c r="I102" s="307">
        <v>82300</v>
      </c>
      <c r="J102" s="6">
        <v>58.576512455516003</v>
      </c>
      <c r="K102" s="6">
        <v>1405</v>
      </c>
      <c r="L102" s="62" t="s">
        <v>2460</v>
      </c>
      <c r="M102" s="62" t="s">
        <v>452</v>
      </c>
      <c r="N102" s="62" t="s">
        <v>464</v>
      </c>
      <c r="O102" s="100" t="s">
        <v>2461</v>
      </c>
      <c r="P102" s="5" t="s">
        <v>2407</v>
      </c>
      <c r="Q102" s="34" t="s">
        <v>2462</v>
      </c>
      <c r="R102" s="5" t="s">
        <v>2497</v>
      </c>
      <c r="S102" s="5" t="s">
        <v>2463</v>
      </c>
      <c r="T102" s="5" t="s">
        <v>445</v>
      </c>
    </row>
    <row r="103" spans="3:20" ht="14">
      <c r="C103" s="5" t="s">
        <v>1857</v>
      </c>
      <c r="D103" s="214" t="s">
        <v>383</v>
      </c>
      <c r="E103" s="212" t="str">
        <f>+VLOOKUP(F103,Resumen_Base!$B$6:$F$69,5,0)</f>
        <v>Travel for personnel (employees)</v>
      </c>
      <c r="F103" s="34" t="s">
        <v>64</v>
      </c>
      <c r="G103" s="88" t="s">
        <v>65</v>
      </c>
      <c r="H103" s="5" t="str">
        <f t="shared" si="1"/>
        <v>DEL5255</v>
      </c>
      <c r="I103" s="307">
        <v>80000</v>
      </c>
      <c r="J103" s="6">
        <v>56.939501779359396</v>
      </c>
      <c r="K103" s="6">
        <v>1405</v>
      </c>
      <c r="L103" s="62" t="s">
        <v>2454</v>
      </c>
      <c r="M103" s="62" t="s">
        <v>452</v>
      </c>
      <c r="N103" s="62" t="s">
        <v>464</v>
      </c>
      <c r="O103" s="100" t="s">
        <v>2455</v>
      </c>
      <c r="P103" s="5" t="s">
        <v>2407</v>
      </c>
      <c r="Q103" s="34" t="s">
        <v>2456</v>
      </c>
      <c r="R103" s="5" t="s">
        <v>2498</v>
      </c>
      <c r="S103" s="5" t="s">
        <v>2458</v>
      </c>
      <c r="T103" s="5" t="s">
        <v>445</v>
      </c>
    </row>
    <row r="104" spans="3:20" ht="14">
      <c r="C104" s="5" t="s">
        <v>1857</v>
      </c>
      <c r="D104" s="214" t="s">
        <v>383</v>
      </c>
      <c r="E104" s="212" t="str">
        <f>+VLOOKUP(F104,Resumen_Base!$B$6:$F$69,5,0)</f>
        <v>Travel for personnel (employees)</v>
      </c>
      <c r="F104" s="34" t="s">
        <v>64</v>
      </c>
      <c r="G104" s="88" t="s">
        <v>65</v>
      </c>
      <c r="H104" s="5" t="str">
        <f t="shared" si="1"/>
        <v>DEL5255</v>
      </c>
      <c r="I104" s="307">
        <v>82500</v>
      </c>
      <c r="J104" s="6">
        <v>58.718861209964402</v>
      </c>
      <c r="K104" s="6">
        <v>1405</v>
      </c>
      <c r="L104" s="62" t="s">
        <v>2469</v>
      </c>
      <c r="M104" s="62" t="s">
        <v>452</v>
      </c>
      <c r="N104" s="62" t="s">
        <v>464</v>
      </c>
      <c r="O104" s="100" t="s">
        <v>2470</v>
      </c>
      <c r="P104" s="5" t="s">
        <v>2407</v>
      </c>
      <c r="Q104" s="34" t="s">
        <v>2471</v>
      </c>
      <c r="R104" s="5" t="s">
        <v>2499</v>
      </c>
      <c r="S104" s="5" t="s">
        <v>2472</v>
      </c>
      <c r="T104" s="5" t="s">
        <v>445</v>
      </c>
    </row>
    <row r="105" spans="3:20" ht="14">
      <c r="C105" s="5" t="s">
        <v>1857</v>
      </c>
      <c r="D105" s="214" t="s">
        <v>383</v>
      </c>
      <c r="E105" s="212" t="str">
        <f>+VLOOKUP(F105,Resumen_Base!$B$6:$F$69,5,0)</f>
        <v>Travel for personnel (employees)</v>
      </c>
      <c r="F105" s="34" t="s">
        <v>64</v>
      </c>
      <c r="G105" s="88" t="s">
        <v>65</v>
      </c>
      <c r="H105" s="5" t="str">
        <f t="shared" si="1"/>
        <v>DEL5255</v>
      </c>
      <c r="I105" s="307">
        <v>90000</v>
      </c>
      <c r="J105" s="6">
        <v>64.056939501779397</v>
      </c>
      <c r="K105" s="6">
        <v>1405</v>
      </c>
      <c r="L105" s="62" t="s">
        <v>2405</v>
      </c>
      <c r="M105" s="62" t="s">
        <v>452</v>
      </c>
      <c r="N105" s="62" t="s">
        <v>464</v>
      </c>
      <c r="O105" s="100" t="s">
        <v>2464</v>
      </c>
      <c r="P105" s="5" t="s">
        <v>2407</v>
      </c>
      <c r="Q105" s="34" t="s">
        <v>2465</v>
      </c>
      <c r="R105" s="5" t="s">
        <v>2500</v>
      </c>
      <c r="S105" s="5" t="s">
        <v>2467</v>
      </c>
      <c r="T105" s="5" t="s">
        <v>445</v>
      </c>
    </row>
    <row r="106" spans="3:20" ht="14">
      <c r="C106" s="5" t="s">
        <v>1857</v>
      </c>
      <c r="D106" s="214" t="s">
        <v>383</v>
      </c>
      <c r="E106" s="212" t="str">
        <f>+VLOOKUP(F106,Resumen_Base!$B$6:$F$69,5,0)</f>
        <v>Travel for personnel (employees)</v>
      </c>
      <c r="F106" s="34" t="s">
        <v>64</v>
      </c>
      <c r="G106" s="88" t="s">
        <v>65</v>
      </c>
      <c r="H106" s="5" t="str">
        <f t="shared" si="1"/>
        <v>DEL5255</v>
      </c>
      <c r="I106" s="307">
        <v>34000</v>
      </c>
      <c r="J106" s="6">
        <v>24.199288256227799</v>
      </c>
      <c r="K106" s="6">
        <v>1405</v>
      </c>
      <c r="L106" s="62" t="s">
        <v>2469</v>
      </c>
      <c r="M106" s="62" t="s">
        <v>452</v>
      </c>
      <c r="N106" s="62" t="s">
        <v>464</v>
      </c>
      <c r="O106" s="100" t="s">
        <v>2470</v>
      </c>
      <c r="P106" s="5" t="s">
        <v>2407</v>
      </c>
      <c r="Q106" s="34" t="s">
        <v>2471</v>
      </c>
      <c r="R106" s="5" t="s">
        <v>2522</v>
      </c>
      <c r="S106" s="5" t="s">
        <v>2472</v>
      </c>
      <c r="T106" s="5" t="s">
        <v>445</v>
      </c>
    </row>
    <row r="107" spans="3:20" ht="14">
      <c r="C107" s="5" t="s">
        <v>1857</v>
      </c>
      <c r="D107" s="214" t="s">
        <v>383</v>
      </c>
      <c r="E107" s="212" t="str">
        <f>+VLOOKUP(F107,Resumen_Base!$B$6:$F$69,5,0)</f>
        <v>Travel for personnel (employees)</v>
      </c>
      <c r="F107" s="34" t="s">
        <v>64</v>
      </c>
      <c r="G107" s="88" t="s">
        <v>65</v>
      </c>
      <c r="H107" s="5" t="str">
        <f t="shared" si="1"/>
        <v>DEL5255</v>
      </c>
      <c r="I107" s="307">
        <v>30900</v>
      </c>
      <c r="J107" s="6">
        <v>21.9928825622776</v>
      </c>
      <c r="K107" s="6">
        <v>1405</v>
      </c>
      <c r="L107" s="62" t="s">
        <v>2469</v>
      </c>
      <c r="M107" s="62" t="s">
        <v>452</v>
      </c>
      <c r="N107" s="62" t="s">
        <v>464</v>
      </c>
      <c r="O107" s="100" t="s">
        <v>2470</v>
      </c>
      <c r="P107" s="5" t="s">
        <v>2407</v>
      </c>
      <c r="Q107" s="34" t="s">
        <v>2471</v>
      </c>
      <c r="R107" s="5" t="s">
        <v>2534</v>
      </c>
      <c r="S107" s="5" t="s">
        <v>2472</v>
      </c>
      <c r="T107" s="5" t="s">
        <v>445</v>
      </c>
    </row>
    <row r="108" spans="3:20" ht="14">
      <c r="C108" s="5" t="s">
        <v>1857</v>
      </c>
      <c r="D108" s="214" t="s">
        <v>383</v>
      </c>
      <c r="E108" s="212" t="str">
        <f>+VLOOKUP(F108,Resumen_Base!$B$6:$F$69,5,0)</f>
        <v>Travel for personnel (employees)</v>
      </c>
      <c r="F108" s="34" t="s">
        <v>64</v>
      </c>
      <c r="G108" s="88" t="s">
        <v>65</v>
      </c>
      <c r="H108" s="5" t="str">
        <f t="shared" si="1"/>
        <v>DEL5255</v>
      </c>
      <c r="I108" s="307">
        <v>30500</v>
      </c>
      <c r="J108" s="6">
        <v>21.708185053380799</v>
      </c>
      <c r="K108" s="6">
        <v>1405</v>
      </c>
      <c r="L108" s="62" t="s">
        <v>2469</v>
      </c>
      <c r="M108" s="62" t="s">
        <v>452</v>
      </c>
      <c r="N108" s="62" t="s">
        <v>464</v>
      </c>
      <c r="O108" s="100" t="s">
        <v>2470</v>
      </c>
      <c r="P108" s="5" t="s">
        <v>2407</v>
      </c>
      <c r="Q108" s="34" t="s">
        <v>2471</v>
      </c>
      <c r="R108" s="5" t="s">
        <v>2547</v>
      </c>
      <c r="S108" s="5" t="s">
        <v>2472</v>
      </c>
      <c r="T108" s="5" t="s">
        <v>445</v>
      </c>
    </row>
    <row r="109" spans="3:20" ht="14">
      <c r="C109" s="5" t="s">
        <v>1857</v>
      </c>
      <c r="D109" s="214" t="s">
        <v>383</v>
      </c>
      <c r="E109" s="212" t="str">
        <f>+VLOOKUP(F109,Resumen_Base!$B$6:$F$69,5,0)</f>
        <v>Travel for personnel (employees)</v>
      </c>
      <c r="F109" s="34" t="s">
        <v>64</v>
      </c>
      <c r="G109" s="88" t="s">
        <v>65</v>
      </c>
      <c r="H109" s="5" t="str">
        <f t="shared" si="1"/>
        <v>DEL5255</v>
      </c>
      <c r="I109" s="307">
        <v>14000</v>
      </c>
      <c r="J109" s="6">
        <v>9.9644128113879002</v>
      </c>
      <c r="K109" s="6">
        <v>1405</v>
      </c>
      <c r="L109" s="62" t="s">
        <v>2469</v>
      </c>
      <c r="M109" s="62" t="s">
        <v>452</v>
      </c>
      <c r="N109" s="62" t="s">
        <v>464</v>
      </c>
      <c r="O109" s="100" t="s">
        <v>2470</v>
      </c>
      <c r="P109" s="5" t="s">
        <v>2407</v>
      </c>
      <c r="Q109" s="34" t="s">
        <v>2471</v>
      </c>
      <c r="R109" s="5" t="s">
        <v>2548</v>
      </c>
      <c r="S109" s="5" t="s">
        <v>2472</v>
      </c>
      <c r="T109" s="5" t="s">
        <v>445</v>
      </c>
    </row>
    <row r="110" spans="3:20" ht="14">
      <c r="C110" s="5" t="s">
        <v>1857</v>
      </c>
      <c r="D110" s="214" t="s">
        <v>383</v>
      </c>
      <c r="E110" s="212" t="str">
        <f>+VLOOKUP(F110,Resumen_Base!$B$6:$F$69,5,0)</f>
        <v>Travel for personnel (employees)</v>
      </c>
      <c r="F110" s="34" t="s">
        <v>64</v>
      </c>
      <c r="G110" s="88" t="s">
        <v>65</v>
      </c>
      <c r="H110" s="5" t="str">
        <f t="shared" si="1"/>
        <v>DEL5255</v>
      </c>
      <c r="I110" s="307">
        <v>35000</v>
      </c>
      <c r="J110" s="6">
        <v>24.911032028469801</v>
      </c>
      <c r="K110" s="6">
        <v>1405</v>
      </c>
      <c r="L110" s="62" t="s">
        <v>2405</v>
      </c>
      <c r="M110" s="62" t="s">
        <v>452</v>
      </c>
      <c r="N110" s="62" t="s">
        <v>464</v>
      </c>
      <c r="O110" s="100" t="s">
        <v>2464</v>
      </c>
      <c r="P110" s="5" t="s">
        <v>2407</v>
      </c>
      <c r="Q110" s="34" t="s">
        <v>2465</v>
      </c>
      <c r="R110" s="5" t="s">
        <v>2553</v>
      </c>
      <c r="S110" s="5" t="s">
        <v>2467</v>
      </c>
      <c r="T110" s="5" t="s">
        <v>445</v>
      </c>
    </row>
    <row r="111" spans="3:20" ht="14">
      <c r="C111" s="5" t="s">
        <v>1857</v>
      </c>
      <c r="D111" s="214" t="s">
        <v>383</v>
      </c>
      <c r="E111" s="212" t="str">
        <f>+VLOOKUP(F111,Resumen_Base!$B$6:$F$69,5,0)</f>
        <v>Travel for personnel (employees)</v>
      </c>
      <c r="F111" s="34" t="s">
        <v>64</v>
      </c>
      <c r="G111" s="88" t="s">
        <v>65</v>
      </c>
      <c r="H111" s="5" t="str">
        <f t="shared" si="1"/>
        <v>DEL5255</v>
      </c>
      <c r="I111" s="307">
        <v>38923</v>
      </c>
      <c r="J111" s="6">
        <v>27.703202846975099</v>
      </c>
      <c r="K111" s="6">
        <v>1405</v>
      </c>
      <c r="L111" s="62" t="s">
        <v>2405</v>
      </c>
      <c r="M111" s="62" t="s">
        <v>452</v>
      </c>
      <c r="N111" s="62" t="s">
        <v>464</v>
      </c>
      <c r="O111" s="100" t="s">
        <v>2464</v>
      </c>
      <c r="P111" s="5" t="s">
        <v>2407</v>
      </c>
      <c r="Q111" s="34" t="s">
        <v>2465</v>
      </c>
      <c r="R111" s="5" t="s">
        <v>2553</v>
      </c>
      <c r="S111" s="5" t="s">
        <v>2467</v>
      </c>
      <c r="T111" s="5" t="s">
        <v>445</v>
      </c>
    </row>
    <row r="112" spans="3:20" ht="14">
      <c r="C112" s="5" t="s">
        <v>1857</v>
      </c>
      <c r="D112" s="214" t="s">
        <v>383</v>
      </c>
      <c r="E112" s="212" t="str">
        <f>+VLOOKUP(F112,Resumen_Base!$B$6:$F$69,5,0)</f>
        <v>Travel for personnel (employees)</v>
      </c>
      <c r="F112" s="34" t="s">
        <v>64</v>
      </c>
      <c r="G112" s="88" t="s">
        <v>65</v>
      </c>
      <c r="H112" s="5" t="str">
        <f t="shared" si="1"/>
        <v>DEL5255</v>
      </c>
      <c r="I112" s="307">
        <v>34000</v>
      </c>
      <c r="J112" s="6">
        <v>24.199288256227799</v>
      </c>
      <c r="K112" s="6">
        <v>1405</v>
      </c>
      <c r="L112" s="62" t="s">
        <v>2454</v>
      </c>
      <c r="M112" s="62" t="s">
        <v>452</v>
      </c>
      <c r="N112" s="62" t="s">
        <v>464</v>
      </c>
      <c r="O112" s="100" t="s">
        <v>2455</v>
      </c>
      <c r="P112" s="5" t="s">
        <v>2407</v>
      </c>
      <c r="Q112" s="34" t="s">
        <v>2456</v>
      </c>
      <c r="R112" s="5" t="s">
        <v>2555</v>
      </c>
      <c r="S112" s="5" t="s">
        <v>2458</v>
      </c>
      <c r="T112" s="5" t="s">
        <v>445</v>
      </c>
    </row>
    <row r="113" spans="3:20" ht="14">
      <c r="C113" s="5" t="s">
        <v>1857</v>
      </c>
      <c r="D113" s="214" t="s">
        <v>383</v>
      </c>
      <c r="E113" s="212" t="str">
        <f>+VLOOKUP(F113,Resumen_Base!$B$6:$F$69,5,0)</f>
        <v>Travel for personnel (employees)</v>
      </c>
      <c r="F113" s="34" t="s">
        <v>64</v>
      </c>
      <c r="G113" s="88" t="s">
        <v>65</v>
      </c>
      <c r="H113" s="5" t="str">
        <f t="shared" si="1"/>
        <v>DEL5255</v>
      </c>
      <c r="I113" s="307">
        <v>30400</v>
      </c>
      <c r="J113" s="6">
        <v>21.637010676156599</v>
      </c>
      <c r="K113" s="6">
        <v>1405</v>
      </c>
      <c r="L113" s="62" t="s">
        <v>2454</v>
      </c>
      <c r="M113" s="62" t="s">
        <v>452</v>
      </c>
      <c r="N113" s="62" t="s">
        <v>464</v>
      </c>
      <c r="O113" s="100" t="s">
        <v>2455</v>
      </c>
      <c r="P113" s="5" t="s">
        <v>2407</v>
      </c>
      <c r="Q113" s="34" t="s">
        <v>2456</v>
      </c>
      <c r="R113" s="5" t="s">
        <v>2556</v>
      </c>
      <c r="S113" s="5" t="s">
        <v>2458</v>
      </c>
      <c r="T113" s="5" t="s">
        <v>445</v>
      </c>
    </row>
    <row r="114" spans="3:20" ht="14">
      <c r="C114" s="5" t="s">
        <v>1857</v>
      </c>
      <c r="D114" s="214" t="s">
        <v>383</v>
      </c>
      <c r="E114" s="212" t="str">
        <f>+VLOOKUP(F114,Resumen_Base!$B$6:$F$69,5,0)</f>
        <v>Travel for personnel (employees)</v>
      </c>
      <c r="F114" s="34" t="s">
        <v>64</v>
      </c>
      <c r="G114" s="88" t="s">
        <v>65</v>
      </c>
      <c r="H114" s="5" t="str">
        <f t="shared" si="1"/>
        <v>DEL5255</v>
      </c>
      <c r="I114" s="307">
        <v>80000</v>
      </c>
      <c r="J114" s="6">
        <v>56.939501779359396</v>
      </c>
      <c r="K114" s="6">
        <v>1405</v>
      </c>
      <c r="L114" s="62" t="s">
        <v>2469</v>
      </c>
      <c r="M114" s="62" t="s">
        <v>452</v>
      </c>
      <c r="N114" s="62" t="s">
        <v>464</v>
      </c>
      <c r="O114" s="100" t="s">
        <v>2470</v>
      </c>
      <c r="P114" s="5" t="s">
        <v>2407</v>
      </c>
      <c r="Q114" s="34" t="s">
        <v>2471</v>
      </c>
      <c r="R114" s="5" t="s">
        <v>2557</v>
      </c>
      <c r="S114" s="5" t="s">
        <v>2472</v>
      </c>
      <c r="T114" s="5" t="s">
        <v>445</v>
      </c>
    </row>
    <row r="115" spans="3:20" ht="14">
      <c r="C115" s="5" t="s">
        <v>1857</v>
      </c>
      <c r="D115" s="214" t="s">
        <v>383</v>
      </c>
      <c r="E115" s="212" t="str">
        <f>+VLOOKUP(F115,Resumen_Base!$B$6:$F$69,5,0)</f>
        <v>Travel for personnel (employees)</v>
      </c>
      <c r="F115" s="34" t="s">
        <v>64</v>
      </c>
      <c r="G115" s="88" t="s">
        <v>65</v>
      </c>
      <c r="H115" s="5" t="str">
        <f t="shared" si="1"/>
        <v>DEL5255</v>
      </c>
      <c r="I115" s="307">
        <v>69453</v>
      </c>
      <c r="J115" s="6">
        <v>49.432740213523097</v>
      </c>
      <c r="K115" s="6">
        <v>1405</v>
      </c>
      <c r="L115" s="62" t="s">
        <v>2469</v>
      </c>
      <c r="M115" s="62" t="s">
        <v>452</v>
      </c>
      <c r="N115" s="62" t="s">
        <v>464</v>
      </c>
      <c r="O115" s="100" t="s">
        <v>2470</v>
      </c>
      <c r="P115" s="5" t="s">
        <v>2407</v>
      </c>
      <c r="Q115" s="34" t="s">
        <v>2471</v>
      </c>
      <c r="R115" s="5" t="s">
        <v>2558</v>
      </c>
      <c r="S115" s="5" t="s">
        <v>2472</v>
      </c>
      <c r="T115" s="5" t="s">
        <v>445</v>
      </c>
    </row>
    <row r="116" spans="3:20" ht="14">
      <c r="C116" s="5" t="s">
        <v>1857</v>
      </c>
      <c r="D116" s="214" t="s">
        <v>383</v>
      </c>
      <c r="E116" s="212" t="str">
        <f>+VLOOKUP(F116,Resumen_Base!$B$6:$F$69,5,0)</f>
        <v>Food &amp; Wine</v>
      </c>
      <c r="F116" s="34" t="s">
        <v>712</v>
      </c>
      <c r="G116" s="88" t="s">
        <v>713</v>
      </c>
      <c r="H116" s="5" t="str">
        <f t="shared" si="1"/>
        <v>DEL5257</v>
      </c>
      <c r="I116" s="307">
        <v>92852</v>
      </c>
      <c r="J116" s="6">
        <v>66.086832740213495</v>
      </c>
      <c r="K116" s="6">
        <v>1405</v>
      </c>
      <c r="L116" s="62" t="s">
        <v>2454</v>
      </c>
      <c r="M116" s="62" t="s">
        <v>452</v>
      </c>
      <c r="N116" s="62" t="s">
        <v>464</v>
      </c>
      <c r="O116" s="100" t="s">
        <v>2455</v>
      </c>
      <c r="P116" s="5" t="s">
        <v>2407</v>
      </c>
      <c r="Q116" s="34" t="s">
        <v>2456</v>
      </c>
      <c r="R116" s="5" t="s">
        <v>2476</v>
      </c>
      <c r="S116" s="5" t="s">
        <v>2458</v>
      </c>
      <c r="T116" s="5" t="s">
        <v>445</v>
      </c>
    </row>
    <row r="117" spans="3:20" ht="14">
      <c r="C117" s="5" t="s">
        <v>1857</v>
      </c>
      <c r="D117" s="214" t="s">
        <v>383</v>
      </c>
      <c r="E117" s="212" t="str">
        <f>+VLOOKUP(F117,Resumen_Base!$B$6:$F$69,5,0)</f>
        <v>Food &amp; Wine</v>
      </c>
      <c r="F117" s="34" t="s">
        <v>712</v>
      </c>
      <c r="G117" s="88" t="s">
        <v>713</v>
      </c>
      <c r="H117" s="5" t="str">
        <f t="shared" si="1"/>
        <v>DEL5257</v>
      </c>
      <c r="I117" s="307">
        <v>35000</v>
      </c>
      <c r="J117" s="6">
        <v>24.911032028469801</v>
      </c>
      <c r="K117" s="6">
        <v>1405</v>
      </c>
      <c r="L117" s="62" t="s">
        <v>2454</v>
      </c>
      <c r="M117" s="62" t="s">
        <v>452</v>
      </c>
      <c r="N117" s="62" t="s">
        <v>464</v>
      </c>
      <c r="O117" s="100" t="s">
        <v>2455</v>
      </c>
      <c r="P117" s="5" t="s">
        <v>2407</v>
      </c>
      <c r="Q117" s="34" t="s">
        <v>2456</v>
      </c>
      <c r="R117" s="5" t="s">
        <v>837</v>
      </c>
      <c r="S117" s="5" t="s">
        <v>2458</v>
      </c>
      <c r="T117" s="5" t="s">
        <v>445</v>
      </c>
    </row>
    <row r="118" spans="3:20" ht="14">
      <c r="C118" s="5" t="s">
        <v>1857</v>
      </c>
      <c r="D118" s="214" t="s">
        <v>383</v>
      </c>
      <c r="E118" s="212" t="str">
        <f>+VLOOKUP(F118,Resumen_Base!$B$6:$F$69,5,0)</f>
        <v>Food &amp; Wine</v>
      </c>
      <c r="F118" s="34" t="s">
        <v>712</v>
      </c>
      <c r="G118" s="88" t="s">
        <v>713</v>
      </c>
      <c r="H118" s="5" t="str">
        <f t="shared" si="1"/>
        <v>DEL5257</v>
      </c>
      <c r="I118" s="307">
        <v>52500</v>
      </c>
      <c r="J118" s="6">
        <v>37.366548042704601</v>
      </c>
      <c r="K118" s="6">
        <v>1405</v>
      </c>
      <c r="L118" s="62" t="s">
        <v>2460</v>
      </c>
      <c r="M118" s="62" t="s">
        <v>452</v>
      </c>
      <c r="N118" s="62" t="s">
        <v>464</v>
      </c>
      <c r="O118" s="100" t="s">
        <v>2461</v>
      </c>
      <c r="P118" s="5" t="s">
        <v>2407</v>
      </c>
      <c r="Q118" s="34" t="s">
        <v>2462</v>
      </c>
      <c r="R118" s="5" t="s">
        <v>837</v>
      </c>
      <c r="S118" s="5" t="s">
        <v>2463</v>
      </c>
      <c r="T118" s="5" t="s">
        <v>445</v>
      </c>
    </row>
    <row r="119" spans="3:20" ht="14">
      <c r="C119" s="5" t="s">
        <v>1857</v>
      </c>
      <c r="D119" s="214" t="s">
        <v>383</v>
      </c>
      <c r="E119" s="212" t="str">
        <f>+VLOOKUP(F119,Resumen_Base!$B$6:$F$69,5,0)</f>
        <v>Food &amp; Wine</v>
      </c>
      <c r="F119" s="34" t="s">
        <v>712</v>
      </c>
      <c r="G119" s="88" t="s">
        <v>713</v>
      </c>
      <c r="H119" s="5" t="str">
        <f t="shared" si="1"/>
        <v>DEL5257</v>
      </c>
      <c r="I119" s="307">
        <v>26000</v>
      </c>
      <c r="J119" s="6">
        <v>18.5053380782918</v>
      </c>
      <c r="K119" s="6">
        <v>1405</v>
      </c>
      <c r="L119" s="62" t="s">
        <v>2405</v>
      </c>
      <c r="M119" s="62" t="s">
        <v>452</v>
      </c>
      <c r="N119" s="62" t="s">
        <v>464</v>
      </c>
      <c r="O119" s="100" t="s">
        <v>2464</v>
      </c>
      <c r="P119" s="5" t="s">
        <v>2407</v>
      </c>
      <c r="Q119" s="34" t="s">
        <v>2465</v>
      </c>
      <c r="R119" s="5" t="s">
        <v>2486</v>
      </c>
      <c r="S119" s="5" t="s">
        <v>2467</v>
      </c>
      <c r="T119" s="5" t="s">
        <v>445</v>
      </c>
    </row>
    <row r="120" spans="3:20" ht="14">
      <c r="C120" s="5" t="s">
        <v>1857</v>
      </c>
      <c r="D120" s="214" t="s">
        <v>383</v>
      </c>
      <c r="E120" s="212" t="str">
        <f>+VLOOKUP(F120,Resumen_Base!$B$6:$F$69,5,0)</f>
        <v>Electricity</v>
      </c>
      <c r="F120" s="34" t="s">
        <v>66</v>
      </c>
      <c r="G120" s="88" t="s">
        <v>67</v>
      </c>
      <c r="H120" s="5" t="str">
        <f t="shared" si="1"/>
        <v>DEL5259</v>
      </c>
      <c r="I120" s="307">
        <v>17200</v>
      </c>
      <c r="J120" s="6">
        <v>12.2419928825623</v>
      </c>
      <c r="K120" s="6">
        <v>1405</v>
      </c>
      <c r="L120" s="62" t="s">
        <v>2454</v>
      </c>
      <c r="M120" s="62" t="s">
        <v>452</v>
      </c>
      <c r="N120" s="62" t="s">
        <v>464</v>
      </c>
      <c r="O120" s="100" t="s">
        <v>2455</v>
      </c>
      <c r="P120" s="5" t="s">
        <v>2407</v>
      </c>
      <c r="Q120" s="34" t="s">
        <v>2456</v>
      </c>
      <c r="R120" s="5" t="s">
        <v>2457</v>
      </c>
      <c r="S120" s="5" t="s">
        <v>2458</v>
      </c>
      <c r="T120" s="5" t="s">
        <v>445</v>
      </c>
    </row>
    <row r="121" spans="3:20" ht="14">
      <c r="C121" s="5" t="s">
        <v>1857</v>
      </c>
      <c r="D121" s="214" t="s">
        <v>383</v>
      </c>
      <c r="E121" s="212" t="str">
        <f>+VLOOKUP(F121,Resumen_Base!$B$6:$F$69,5,0)</f>
        <v>Electricity</v>
      </c>
      <c r="F121" s="34" t="s">
        <v>66</v>
      </c>
      <c r="G121" s="88" t="s">
        <v>67</v>
      </c>
      <c r="H121" s="5" t="str">
        <f t="shared" si="1"/>
        <v>DEL5259</v>
      </c>
      <c r="I121" s="307">
        <v>18800</v>
      </c>
      <c r="J121" s="6">
        <v>13.380782918149499</v>
      </c>
      <c r="K121" s="6">
        <v>1405</v>
      </c>
      <c r="L121" s="62" t="s">
        <v>2460</v>
      </c>
      <c r="M121" s="62" t="s">
        <v>452</v>
      </c>
      <c r="N121" s="62" t="s">
        <v>464</v>
      </c>
      <c r="O121" s="100" t="s">
        <v>2461</v>
      </c>
      <c r="P121" s="5" t="s">
        <v>2407</v>
      </c>
      <c r="Q121" s="34" t="s">
        <v>2462</v>
      </c>
      <c r="R121" s="5" t="s">
        <v>2227</v>
      </c>
      <c r="S121" s="5" t="s">
        <v>2463</v>
      </c>
      <c r="T121" s="5" t="s">
        <v>445</v>
      </c>
    </row>
    <row r="122" spans="3:20" ht="14">
      <c r="C122" s="5" t="s">
        <v>1857</v>
      </c>
      <c r="D122" s="214" t="s">
        <v>383</v>
      </c>
      <c r="E122" s="212" t="str">
        <f>+VLOOKUP(F122,Resumen_Base!$B$6:$F$69,5,0)</f>
        <v>Miscellaneous &amp; Shipping</v>
      </c>
      <c r="F122" s="34" t="s">
        <v>26</v>
      </c>
      <c r="G122" s="88" t="s">
        <v>313</v>
      </c>
      <c r="H122" s="5" t="str">
        <f t="shared" si="1"/>
        <v>DEL5263</v>
      </c>
      <c r="I122" s="307">
        <v>99000</v>
      </c>
      <c r="J122" s="6">
        <v>70.462633451957302</v>
      </c>
      <c r="K122" s="6">
        <v>1405</v>
      </c>
      <c r="L122" s="62" t="s">
        <v>2595</v>
      </c>
      <c r="M122" s="62" t="s">
        <v>452</v>
      </c>
      <c r="N122" s="62" t="s">
        <v>464</v>
      </c>
      <c r="O122" s="100" t="s">
        <v>2596</v>
      </c>
      <c r="P122" s="5" t="s">
        <v>2407</v>
      </c>
      <c r="Q122" s="34" t="s">
        <v>2597</v>
      </c>
      <c r="R122" s="5" t="s">
        <v>2609</v>
      </c>
      <c r="S122" s="5" t="s">
        <v>2599</v>
      </c>
      <c r="T122" s="5" t="s">
        <v>445</v>
      </c>
    </row>
    <row r="123" spans="3:20" ht="14">
      <c r="C123" s="5" t="s">
        <v>1857</v>
      </c>
      <c r="D123" s="214" t="s">
        <v>383</v>
      </c>
      <c r="E123" s="212" t="str">
        <f>+VLOOKUP(F123,Resumen_Base!$B$6:$F$69,5,0)</f>
        <v>Food &amp; Wine</v>
      </c>
      <c r="F123" s="34" t="s">
        <v>119</v>
      </c>
      <c r="G123" s="88" t="s">
        <v>120</v>
      </c>
      <c r="H123" s="5" t="str">
        <f t="shared" si="1"/>
        <v>DEL5289</v>
      </c>
      <c r="I123" s="307">
        <v>54400</v>
      </c>
      <c r="J123" s="6">
        <v>38.718861209964402</v>
      </c>
      <c r="K123" s="6">
        <v>1405</v>
      </c>
      <c r="L123" s="62" t="s">
        <v>2469</v>
      </c>
      <c r="M123" s="62" t="s">
        <v>452</v>
      </c>
      <c r="N123" s="62" t="s">
        <v>464</v>
      </c>
      <c r="O123" s="100" t="s">
        <v>2470</v>
      </c>
      <c r="P123" s="5" t="s">
        <v>2407</v>
      </c>
      <c r="Q123" s="34" t="s">
        <v>2471</v>
      </c>
      <c r="R123" s="5" t="s">
        <v>1327</v>
      </c>
      <c r="S123" s="5" t="s">
        <v>2472</v>
      </c>
      <c r="T123" s="5" t="s">
        <v>445</v>
      </c>
    </row>
    <row r="124" spans="3:20" ht="14">
      <c r="C124" s="5" t="s">
        <v>1857</v>
      </c>
      <c r="D124" s="214" t="s">
        <v>383</v>
      </c>
      <c r="E124" s="212" t="str">
        <f>+VLOOKUP(F124,Resumen_Base!$B$6:$F$69,5,0)</f>
        <v>Food &amp; Wine</v>
      </c>
      <c r="F124" s="34" t="s">
        <v>110</v>
      </c>
      <c r="G124" s="88" t="s">
        <v>111</v>
      </c>
      <c r="H124" s="5" t="str">
        <f t="shared" si="1"/>
        <v>DEL5291</v>
      </c>
      <c r="I124" s="307">
        <v>4500</v>
      </c>
      <c r="J124" s="6">
        <v>3.2028469750889701</v>
      </c>
      <c r="K124" s="6">
        <v>1405</v>
      </c>
      <c r="L124" s="62" t="s">
        <v>2469</v>
      </c>
      <c r="M124" s="62" t="s">
        <v>452</v>
      </c>
      <c r="N124" s="62" t="s">
        <v>464</v>
      </c>
      <c r="O124" s="100" t="s">
        <v>2470</v>
      </c>
      <c r="P124" s="5" t="s">
        <v>2407</v>
      </c>
      <c r="Q124" s="34" t="s">
        <v>2471</v>
      </c>
      <c r="R124" s="5" t="s">
        <v>2521</v>
      </c>
      <c r="S124" s="5" t="s">
        <v>2472</v>
      </c>
      <c r="T124" s="5" t="s">
        <v>445</v>
      </c>
    </row>
    <row r="125" spans="3:20" ht="14">
      <c r="C125" s="5" t="s">
        <v>1857</v>
      </c>
      <c r="D125" s="214" t="s">
        <v>383</v>
      </c>
      <c r="E125" s="212" t="str">
        <f>+VLOOKUP(F125,Resumen_Base!$B$6:$F$69,5,0)</f>
        <v>Food &amp; Wine</v>
      </c>
      <c r="F125" s="34" t="s">
        <v>110</v>
      </c>
      <c r="G125" s="88" t="s">
        <v>111</v>
      </c>
      <c r="H125" s="5" t="str">
        <f t="shared" si="1"/>
        <v>DEL5291</v>
      </c>
      <c r="I125" s="307">
        <v>4490</v>
      </c>
      <c r="J125" s="6">
        <v>3.19572953736655</v>
      </c>
      <c r="K125" s="6">
        <v>1405</v>
      </c>
      <c r="L125" s="62" t="s">
        <v>2469</v>
      </c>
      <c r="M125" s="62" t="s">
        <v>452</v>
      </c>
      <c r="N125" s="62" t="s">
        <v>464</v>
      </c>
      <c r="O125" s="100" t="s">
        <v>2470</v>
      </c>
      <c r="P125" s="5" t="s">
        <v>2407</v>
      </c>
      <c r="Q125" s="34" t="s">
        <v>2471</v>
      </c>
      <c r="R125" s="5" t="s">
        <v>2535</v>
      </c>
      <c r="S125" s="5" t="s">
        <v>2472</v>
      </c>
      <c r="T125" s="5" t="s">
        <v>445</v>
      </c>
    </row>
    <row r="126" spans="3:20" ht="14">
      <c r="C126" s="5" t="s">
        <v>1857</v>
      </c>
      <c r="D126" s="214" t="s">
        <v>383</v>
      </c>
      <c r="E126" s="212" t="str">
        <f>+VLOOKUP(F126,Resumen_Base!$B$6:$F$69,5,0)</f>
        <v>Food &amp; Wine</v>
      </c>
      <c r="F126" s="34" t="s">
        <v>110</v>
      </c>
      <c r="G126" s="88" t="s">
        <v>111</v>
      </c>
      <c r="H126" s="5" t="str">
        <f t="shared" si="1"/>
        <v>DEL5291</v>
      </c>
      <c r="I126" s="307">
        <v>20000</v>
      </c>
      <c r="J126" s="6">
        <v>14.234875444839901</v>
      </c>
      <c r="K126" s="6">
        <v>1405</v>
      </c>
      <c r="L126" s="62" t="s">
        <v>2469</v>
      </c>
      <c r="M126" s="62" t="s">
        <v>452</v>
      </c>
      <c r="N126" s="62" t="s">
        <v>464</v>
      </c>
      <c r="O126" s="100" t="s">
        <v>2470</v>
      </c>
      <c r="P126" s="5" t="s">
        <v>2407</v>
      </c>
      <c r="Q126" s="34" t="s">
        <v>2471</v>
      </c>
      <c r="R126" s="5" t="s">
        <v>2544</v>
      </c>
      <c r="S126" s="5" t="s">
        <v>2472</v>
      </c>
      <c r="T126" s="5" t="s">
        <v>445</v>
      </c>
    </row>
    <row r="127" spans="3:20" ht="14">
      <c r="C127" s="5" t="s">
        <v>1857</v>
      </c>
      <c r="D127" s="214" t="s">
        <v>383</v>
      </c>
      <c r="E127" s="212" t="str">
        <f>+VLOOKUP(F127,Resumen_Base!$B$6:$F$69,5,0)</f>
        <v>Food &amp; Wine</v>
      </c>
      <c r="F127" s="34" t="s">
        <v>110</v>
      </c>
      <c r="G127" s="88" t="s">
        <v>111</v>
      </c>
      <c r="H127" s="5" t="str">
        <f t="shared" si="1"/>
        <v>DEL5291</v>
      </c>
      <c r="I127" s="307">
        <v>11500</v>
      </c>
      <c r="J127" s="6">
        <v>8.1850533807829198</v>
      </c>
      <c r="K127" s="6">
        <v>1405</v>
      </c>
      <c r="L127" s="62" t="s">
        <v>2405</v>
      </c>
      <c r="M127" s="62" t="s">
        <v>452</v>
      </c>
      <c r="N127" s="62" t="s">
        <v>464</v>
      </c>
      <c r="O127" s="100" t="s">
        <v>2464</v>
      </c>
      <c r="P127" s="5" t="s">
        <v>2407</v>
      </c>
      <c r="Q127" s="34" t="s">
        <v>2465</v>
      </c>
      <c r="R127" s="5" t="s">
        <v>2546</v>
      </c>
      <c r="S127" s="5" t="s">
        <v>2467</v>
      </c>
      <c r="T127" s="5" t="s">
        <v>445</v>
      </c>
    </row>
    <row r="128" spans="3:20" ht="14">
      <c r="C128" s="5" t="s">
        <v>1857</v>
      </c>
      <c r="D128" s="214" t="s">
        <v>383</v>
      </c>
      <c r="E128" s="212" t="str">
        <f>+VLOOKUP(F128,Resumen_Base!$B$6:$F$69,5,0)</f>
        <v>Food &amp; Wine</v>
      </c>
      <c r="F128" s="34" t="s">
        <v>110</v>
      </c>
      <c r="G128" s="88" t="s">
        <v>111</v>
      </c>
      <c r="H128" s="5" t="str">
        <f t="shared" si="1"/>
        <v>DEL5291</v>
      </c>
      <c r="I128" s="307">
        <v>8000</v>
      </c>
      <c r="J128" s="6">
        <v>5.6939501779359398</v>
      </c>
      <c r="K128" s="6">
        <v>1405</v>
      </c>
      <c r="L128" s="62" t="s">
        <v>2454</v>
      </c>
      <c r="M128" s="62" t="s">
        <v>452</v>
      </c>
      <c r="N128" s="62" t="s">
        <v>464</v>
      </c>
      <c r="O128" s="100" t="s">
        <v>2455</v>
      </c>
      <c r="P128" s="5" t="s">
        <v>2407</v>
      </c>
      <c r="Q128" s="34" t="s">
        <v>2456</v>
      </c>
      <c r="R128" s="5" t="s">
        <v>2551</v>
      </c>
      <c r="S128" s="5" t="s">
        <v>2458</v>
      </c>
      <c r="T128" s="5" t="s">
        <v>445</v>
      </c>
    </row>
    <row r="129" spans="1:256" ht="14">
      <c r="C129" s="5" t="s">
        <v>1857</v>
      </c>
      <c r="D129" s="214" t="s">
        <v>383</v>
      </c>
      <c r="E129" s="212" t="str">
        <f>+VLOOKUP(F129,Resumen_Base!$B$6:$F$69,5,0)</f>
        <v>Food &amp; Wine</v>
      </c>
      <c r="F129" s="34" t="s">
        <v>110</v>
      </c>
      <c r="G129" s="88" t="s">
        <v>111</v>
      </c>
      <c r="H129" s="5" t="str">
        <f t="shared" si="1"/>
        <v>DEL5291</v>
      </c>
      <c r="I129" s="307">
        <v>37100</v>
      </c>
      <c r="J129" s="6">
        <v>26.405693950177898</v>
      </c>
      <c r="K129" s="6">
        <v>1405</v>
      </c>
      <c r="L129" s="62" t="s">
        <v>2460</v>
      </c>
      <c r="M129" s="62" t="s">
        <v>452</v>
      </c>
      <c r="N129" s="62" t="s">
        <v>464</v>
      </c>
      <c r="O129" s="100" t="s">
        <v>2461</v>
      </c>
      <c r="P129" s="5" t="s">
        <v>2407</v>
      </c>
      <c r="Q129" s="34" t="s">
        <v>2462</v>
      </c>
      <c r="R129" s="5" t="s">
        <v>2552</v>
      </c>
      <c r="S129" s="5" t="s">
        <v>2463</v>
      </c>
      <c r="T129" s="5" t="s">
        <v>445</v>
      </c>
    </row>
    <row r="131" spans="1:256">
      <c r="A131" s="214"/>
      <c r="B131" s="88"/>
      <c r="D131" s="214"/>
      <c r="F131" s="5"/>
      <c r="G131" s="34"/>
      <c r="I131" s="306"/>
      <c r="J131" s="307"/>
      <c r="K131" s="6"/>
      <c r="L131" s="5"/>
      <c r="M131" s="62"/>
      <c r="N131" s="62"/>
      <c r="O131" s="62"/>
      <c r="P131" s="100"/>
      <c r="R131" s="34"/>
    </row>
    <row r="133" spans="1:256" ht="15">
      <c r="A133" s="194"/>
      <c r="B133" s="194"/>
      <c r="C133" s="103"/>
      <c r="D133" s="194"/>
      <c r="E133" s="194"/>
      <c r="F133" s="193"/>
      <c r="G133" s="194"/>
      <c r="H133" s="194"/>
      <c r="I133" s="195"/>
      <c r="J133" s="195"/>
      <c r="K133" s="195"/>
      <c r="L133" s="2"/>
      <c r="M133" s="2"/>
      <c r="N133"/>
      <c r="O133"/>
      <c r="P133"/>
      <c r="Q133"/>
      <c r="R133"/>
      <c r="S133"/>
      <c r="T133"/>
      <c r="U133"/>
      <c r="V133"/>
      <c r="W133"/>
      <c r="X133" s="1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  <c r="BB133" s="194"/>
      <c r="BC133" s="194"/>
      <c r="BD133" s="194"/>
      <c r="BE133" s="194"/>
      <c r="BF133" s="194"/>
      <c r="BG133" s="194"/>
      <c r="BH133" s="194"/>
      <c r="BI133" s="194"/>
      <c r="BJ133" s="194"/>
      <c r="BK133" s="194"/>
      <c r="BL133" s="194"/>
      <c r="BM133" s="194"/>
      <c r="BN133" s="194"/>
      <c r="BO133" s="194"/>
      <c r="BP133" s="194"/>
      <c r="BQ133" s="194"/>
      <c r="BR133" s="194"/>
      <c r="BS133" s="194"/>
      <c r="BT133" s="194"/>
      <c r="BU133" s="194"/>
      <c r="BV133" s="194"/>
      <c r="BW133" s="194"/>
      <c r="BX133" s="194"/>
      <c r="BY133" s="194"/>
      <c r="BZ133" s="194"/>
      <c r="CA133" s="194"/>
      <c r="CB133" s="194"/>
      <c r="CC133" s="194"/>
      <c r="CD133" s="194"/>
      <c r="CE133" s="194"/>
      <c r="CF133" s="194"/>
      <c r="CG133" s="194"/>
      <c r="CH133" s="194"/>
      <c r="CI133" s="194"/>
      <c r="CJ133" s="194"/>
      <c r="CK133" s="194"/>
      <c r="CL133" s="194"/>
      <c r="CM133" s="194"/>
      <c r="CN133" s="194"/>
      <c r="CO133" s="194"/>
      <c r="CP133" s="194"/>
      <c r="CQ133" s="194"/>
      <c r="CR133" s="194"/>
      <c r="CS133" s="194"/>
      <c r="CT133" s="194"/>
      <c r="CU133" s="194"/>
      <c r="CV133" s="194"/>
      <c r="CW133" s="194"/>
      <c r="CX133" s="194"/>
      <c r="CY133" s="194"/>
      <c r="CZ133" s="194"/>
      <c r="DA133" s="194"/>
      <c r="DB133" s="194"/>
      <c r="DC133" s="194"/>
      <c r="DD133" s="194"/>
      <c r="DE133" s="194"/>
      <c r="DF133" s="194"/>
      <c r="DG133" s="194"/>
      <c r="DH133" s="194"/>
      <c r="DI133" s="194"/>
      <c r="DJ133" s="194"/>
      <c r="DK133" s="194"/>
      <c r="DL133" s="194"/>
      <c r="DM133" s="194"/>
      <c r="DN133" s="194"/>
      <c r="DO133" s="194"/>
      <c r="DP133" s="194"/>
      <c r="DQ133" s="194"/>
      <c r="DR133" s="194"/>
      <c r="DS133" s="194"/>
      <c r="DT133" s="194"/>
      <c r="DU133" s="194"/>
      <c r="DV133" s="194"/>
      <c r="DW133" s="194"/>
      <c r="DX133" s="194"/>
      <c r="DY133" s="194"/>
      <c r="DZ133" s="194"/>
      <c r="EA133" s="194"/>
      <c r="EB133" s="194"/>
      <c r="EC133" s="194"/>
      <c r="ED133" s="194"/>
      <c r="EE133" s="194"/>
      <c r="EF133" s="194"/>
      <c r="EG133" s="194"/>
      <c r="EH133" s="194"/>
      <c r="EI133" s="194"/>
      <c r="EJ133" s="194"/>
      <c r="EK133" s="194"/>
      <c r="EL133" s="194"/>
      <c r="EM133" s="194"/>
      <c r="EN133" s="194"/>
      <c r="EO133" s="194"/>
      <c r="EP133" s="194"/>
      <c r="EQ133" s="194"/>
      <c r="ER133" s="194"/>
      <c r="ES133" s="194"/>
      <c r="ET133" s="194"/>
      <c r="EU133" s="194"/>
      <c r="EV133" s="194"/>
      <c r="EW133" s="194"/>
      <c r="EX133" s="194"/>
      <c r="EY133" s="194"/>
      <c r="EZ133" s="194"/>
      <c r="FA133" s="194"/>
      <c r="FB133" s="194"/>
      <c r="FC133" s="194"/>
      <c r="FD133" s="194"/>
      <c r="FE133" s="194"/>
      <c r="FF133" s="194"/>
      <c r="FG133" s="194"/>
      <c r="FH133" s="194"/>
      <c r="FI133" s="194"/>
      <c r="FJ133" s="194"/>
      <c r="FK133" s="194"/>
      <c r="FL133" s="194"/>
      <c r="FM133" s="194"/>
      <c r="FN133" s="194"/>
      <c r="FO133" s="194"/>
      <c r="FP133" s="194"/>
      <c r="FQ133" s="194"/>
      <c r="FR133" s="194"/>
      <c r="FS133" s="194"/>
      <c r="FT133" s="194"/>
      <c r="FU133" s="194"/>
      <c r="FV133" s="194"/>
      <c r="FW133" s="194"/>
      <c r="FX133" s="194"/>
      <c r="FY133" s="194"/>
      <c r="FZ133" s="194"/>
      <c r="GA133" s="194"/>
      <c r="GB133" s="194"/>
      <c r="GC133" s="194"/>
      <c r="GD133" s="194"/>
      <c r="GE133" s="194"/>
      <c r="GF133" s="194"/>
      <c r="GG133" s="194"/>
      <c r="GH133" s="194"/>
      <c r="GI133" s="194"/>
      <c r="GJ133" s="194"/>
      <c r="GK133" s="194"/>
      <c r="GL133" s="194"/>
      <c r="GM133" s="194"/>
      <c r="GN133" s="194"/>
      <c r="GO133" s="194"/>
      <c r="GP133" s="194"/>
      <c r="GQ133" s="194"/>
      <c r="GR133" s="194"/>
      <c r="GS133" s="194"/>
      <c r="GT133" s="194"/>
      <c r="GU133" s="194"/>
      <c r="GV133" s="194"/>
      <c r="GW133" s="194"/>
      <c r="GX133" s="194"/>
      <c r="GY133" s="194"/>
      <c r="GZ133" s="194"/>
      <c r="HA133" s="194"/>
      <c r="HB133" s="194"/>
      <c r="HC133" s="194"/>
      <c r="HD133" s="194"/>
      <c r="HE133" s="194"/>
      <c r="HF133" s="194"/>
      <c r="HG133" s="194"/>
      <c r="HH133" s="194"/>
      <c r="HI133" s="194"/>
      <c r="HJ133" s="194"/>
      <c r="HK133" s="194"/>
      <c r="HL133" s="194"/>
      <c r="HM133" s="194"/>
      <c r="HN133" s="194"/>
      <c r="HO133" s="194"/>
      <c r="HP133" s="194"/>
      <c r="HQ133" s="194"/>
      <c r="HR133" s="194"/>
      <c r="HS133" s="194"/>
      <c r="HT133" s="194"/>
      <c r="HU133" s="194"/>
      <c r="HV133" s="194"/>
      <c r="HW133" s="194"/>
      <c r="HX133" s="194"/>
      <c r="HY133" s="194"/>
      <c r="HZ133" s="194"/>
      <c r="IA133" s="194"/>
      <c r="IB133" s="194"/>
      <c r="IC133" s="194"/>
      <c r="ID133" s="194"/>
      <c r="IE133" s="194"/>
      <c r="IF133" s="194"/>
      <c r="IG133" s="194"/>
      <c r="IH133" s="194"/>
      <c r="II133" s="194"/>
      <c r="IJ133" s="194"/>
      <c r="IK133" s="194"/>
      <c r="IL133" s="194"/>
      <c r="IM133" s="194"/>
      <c r="IN133" s="194"/>
      <c r="IO133" s="194"/>
      <c r="IP133" s="194"/>
      <c r="IQ133" s="194"/>
      <c r="IR133" s="194"/>
      <c r="IS133" s="194"/>
      <c r="IT133" s="194"/>
      <c r="IU133" s="194"/>
      <c r="IV133" s="194"/>
    </row>
    <row r="134" spans="1:256" ht="14">
      <c r="A134" s="10" t="s">
        <v>75</v>
      </c>
      <c r="B134" s="10" t="s">
        <v>75</v>
      </c>
      <c r="C134" s="10" t="s">
        <v>75</v>
      </c>
      <c r="D134" s="10" t="s">
        <v>75</v>
      </c>
      <c r="E134" s="10" t="s">
        <v>75</v>
      </c>
      <c r="F134" s="11" t="s">
        <v>75</v>
      </c>
      <c r="G134" s="11" t="s">
        <v>75</v>
      </c>
      <c r="H134" s="11" t="s">
        <v>75</v>
      </c>
      <c r="I134" s="35" t="s">
        <v>75</v>
      </c>
      <c r="J134" s="35" t="s">
        <v>75</v>
      </c>
      <c r="K134" s="35" t="s">
        <v>75</v>
      </c>
      <c r="L134" s="102" t="s">
        <v>75</v>
      </c>
      <c r="M134" s="11" t="s">
        <v>75</v>
      </c>
      <c r="N134" s="11" t="s">
        <v>75</v>
      </c>
      <c r="O134" s="11" t="s">
        <v>75</v>
      </c>
      <c r="P134" s="11" t="s">
        <v>75</v>
      </c>
      <c r="Q134" s="11" t="s">
        <v>75</v>
      </c>
      <c r="R134" s="11" t="s">
        <v>75</v>
      </c>
      <c r="S134" s="11" t="s">
        <v>75</v>
      </c>
      <c r="T134" s="11" t="s">
        <v>75</v>
      </c>
      <c r="U134" s="11" t="s">
        <v>75</v>
      </c>
      <c r="V134" s="11" t="s">
        <v>75</v>
      </c>
      <c r="W134" s="11" t="s">
        <v>75</v>
      </c>
    </row>
    <row r="137" spans="1:256" ht="14">
      <c r="C137" s="5" t="s">
        <v>1857</v>
      </c>
      <c r="D137" s="5"/>
      <c r="F137" s="34" t="s">
        <v>291</v>
      </c>
      <c r="G137" s="88" t="s">
        <v>292</v>
      </c>
      <c r="H137" s="88"/>
      <c r="I137" s="307">
        <v>9600000</v>
      </c>
      <c r="J137" s="6">
        <v>6832.7402135231296</v>
      </c>
      <c r="K137" s="6">
        <v>1405</v>
      </c>
      <c r="L137" s="62" t="s">
        <v>2634</v>
      </c>
      <c r="M137" s="62" t="s">
        <v>452</v>
      </c>
      <c r="N137" s="62" t="s">
        <v>442</v>
      </c>
      <c r="O137" s="100" t="s">
        <v>2635</v>
      </c>
      <c r="P137" s="5" t="s">
        <v>2407</v>
      </c>
      <c r="Q137" s="34" t="s">
        <v>2636</v>
      </c>
      <c r="R137" s="5" t="s">
        <v>2636</v>
      </c>
      <c r="S137" s="5" t="s">
        <v>2637</v>
      </c>
      <c r="T137" s="5" t="s">
        <v>445</v>
      </c>
    </row>
    <row r="138" spans="1:256" ht="14">
      <c r="C138" s="5" t="s">
        <v>1857</v>
      </c>
      <c r="D138" s="5"/>
      <c r="F138" s="34" t="s">
        <v>291</v>
      </c>
      <c r="G138" s="88" t="s">
        <v>292</v>
      </c>
      <c r="H138" s="88"/>
      <c r="I138" s="307">
        <v>1500000</v>
      </c>
      <c r="J138" s="6">
        <v>1067.61565836299</v>
      </c>
      <c r="K138" s="6">
        <v>1405</v>
      </c>
      <c r="L138" s="62" t="s">
        <v>2571</v>
      </c>
      <c r="M138" s="62" t="s">
        <v>452</v>
      </c>
      <c r="N138" s="62" t="s">
        <v>442</v>
      </c>
      <c r="O138" s="100" t="s">
        <v>2638</v>
      </c>
      <c r="P138" s="5" t="s">
        <v>2407</v>
      </c>
      <c r="Q138" s="34" t="s">
        <v>2639</v>
      </c>
      <c r="R138" s="5" t="s">
        <v>2639</v>
      </c>
      <c r="S138" s="5" t="s">
        <v>2640</v>
      </c>
      <c r="T138" s="5" t="s">
        <v>445</v>
      </c>
    </row>
    <row r="139" spans="1:256" ht="14">
      <c r="C139" s="5" t="s">
        <v>1857</v>
      </c>
      <c r="D139" s="5"/>
      <c r="F139" s="34" t="s">
        <v>291</v>
      </c>
      <c r="G139" s="88" t="s">
        <v>292</v>
      </c>
      <c r="H139" s="88"/>
      <c r="I139" s="307">
        <v>500000</v>
      </c>
      <c r="J139" s="6">
        <v>355.87188612099601</v>
      </c>
      <c r="K139" s="6">
        <v>1405</v>
      </c>
      <c r="L139" s="62" t="s">
        <v>2595</v>
      </c>
      <c r="M139" s="62" t="s">
        <v>452</v>
      </c>
      <c r="N139" s="62" t="s">
        <v>442</v>
      </c>
      <c r="O139" s="100" t="s">
        <v>2641</v>
      </c>
      <c r="P139" s="5" t="s">
        <v>2407</v>
      </c>
      <c r="Q139" s="34" t="s">
        <v>2642</v>
      </c>
      <c r="R139" s="5" t="s">
        <v>2642</v>
      </c>
      <c r="S139" s="5" t="s">
        <v>2643</v>
      </c>
      <c r="T139" s="5" t="s">
        <v>445</v>
      </c>
    </row>
    <row r="140" spans="1:256" ht="14">
      <c r="C140" s="5" t="s">
        <v>1857</v>
      </c>
      <c r="D140" s="5"/>
      <c r="F140" s="34" t="s">
        <v>291</v>
      </c>
      <c r="G140" s="88" t="s">
        <v>292</v>
      </c>
      <c r="H140" s="88"/>
      <c r="I140" s="307">
        <v>5600000</v>
      </c>
      <c r="J140" s="6">
        <v>3985.7651245551601</v>
      </c>
      <c r="K140" s="6">
        <v>1405</v>
      </c>
      <c r="L140" s="62" t="s">
        <v>2418</v>
      </c>
      <c r="M140" s="62" t="s">
        <v>452</v>
      </c>
      <c r="N140" s="62" t="s">
        <v>442</v>
      </c>
      <c r="O140" s="100" t="s">
        <v>2644</v>
      </c>
      <c r="P140" s="5" t="s">
        <v>2407</v>
      </c>
      <c r="Q140" s="34" t="s">
        <v>2645</v>
      </c>
      <c r="R140" s="5" t="s">
        <v>2645</v>
      </c>
      <c r="S140" s="5" t="s">
        <v>2646</v>
      </c>
      <c r="T140" s="5" t="s">
        <v>445</v>
      </c>
    </row>
    <row r="141" spans="1:256" ht="14">
      <c r="C141" s="5" t="s">
        <v>1857</v>
      </c>
      <c r="D141" s="5"/>
      <c r="F141" s="34" t="s">
        <v>291</v>
      </c>
      <c r="G141" s="88" t="s">
        <v>292</v>
      </c>
      <c r="H141" s="88"/>
      <c r="I141" s="307">
        <v>-447943</v>
      </c>
      <c r="J141" s="6">
        <v>-318.82064056939498</v>
      </c>
      <c r="K141" s="6">
        <v>1405</v>
      </c>
      <c r="L141" s="62" t="s">
        <v>2405</v>
      </c>
      <c r="M141" s="62" t="s">
        <v>452</v>
      </c>
      <c r="N141" s="62" t="s">
        <v>464</v>
      </c>
      <c r="O141" s="100" t="s">
        <v>2563</v>
      </c>
      <c r="P141" s="5" t="s">
        <v>2407</v>
      </c>
      <c r="Q141" s="34" t="s">
        <v>2564</v>
      </c>
      <c r="R141" s="5" t="s">
        <v>2565</v>
      </c>
      <c r="S141" s="5" t="s">
        <v>2566</v>
      </c>
      <c r="T141" s="5" t="s">
        <v>445</v>
      </c>
    </row>
    <row r="142" spans="1:256" ht="14">
      <c r="C142" s="5" t="s">
        <v>1857</v>
      </c>
      <c r="D142" s="5"/>
      <c r="F142" s="34" t="s">
        <v>291</v>
      </c>
      <c r="G142" s="88" t="s">
        <v>292</v>
      </c>
      <c r="H142" s="88"/>
      <c r="I142" s="307">
        <v>-165112.5</v>
      </c>
      <c r="J142" s="6">
        <v>-117.517793594306</v>
      </c>
      <c r="K142" s="6">
        <v>1405</v>
      </c>
      <c r="L142" s="62" t="s">
        <v>2405</v>
      </c>
      <c r="M142" s="62" t="s">
        <v>452</v>
      </c>
      <c r="N142" s="62" t="s">
        <v>464</v>
      </c>
      <c r="O142" s="100" t="s">
        <v>2567</v>
      </c>
      <c r="P142" s="5" t="s">
        <v>2407</v>
      </c>
      <c r="Q142" s="34" t="s">
        <v>2568</v>
      </c>
      <c r="R142" s="5" t="s">
        <v>2569</v>
      </c>
      <c r="S142" s="5" t="s">
        <v>2570</v>
      </c>
      <c r="T142" s="5" t="s">
        <v>445</v>
      </c>
    </row>
    <row r="143" spans="1:256" ht="14">
      <c r="C143" s="5" t="s">
        <v>1857</v>
      </c>
      <c r="D143" s="5"/>
      <c r="F143" s="34" t="s">
        <v>291</v>
      </c>
      <c r="G143" s="88" t="s">
        <v>292</v>
      </c>
      <c r="H143" s="88"/>
      <c r="I143" s="307">
        <v>-400000</v>
      </c>
      <c r="J143" s="6">
        <v>-284.69750889679699</v>
      </c>
      <c r="K143" s="6">
        <v>1405</v>
      </c>
      <c r="L143" s="62" t="s">
        <v>2571</v>
      </c>
      <c r="M143" s="62" t="s">
        <v>452</v>
      </c>
      <c r="N143" s="62" t="s">
        <v>464</v>
      </c>
      <c r="O143" s="100" t="s">
        <v>2572</v>
      </c>
      <c r="P143" s="5" t="s">
        <v>2407</v>
      </c>
      <c r="Q143" s="34" t="s">
        <v>2573</v>
      </c>
      <c r="R143" s="5" t="s">
        <v>2574</v>
      </c>
      <c r="S143" s="5" t="s">
        <v>2575</v>
      </c>
      <c r="T143" s="5" t="s">
        <v>445</v>
      </c>
    </row>
    <row r="144" spans="1:256" ht="14">
      <c r="C144" s="5" t="s">
        <v>1857</v>
      </c>
      <c r="D144" s="5"/>
      <c r="F144" s="34" t="s">
        <v>291</v>
      </c>
      <c r="G144" s="88" t="s">
        <v>292</v>
      </c>
      <c r="H144" s="88"/>
      <c r="I144" s="307">
        <v>-3780000</v>
      </c>
      <c r="J144" s="6">
        <v>-2690.3914590747299</v>
      </c>
      <c r="K144" s="6">
        <v>1405</v>
      </c>
      <c r="L144" s="62" t="s">
        <v>2418</v>
      </c>
      <c r="M144" s="62" t="s">
        <v>452</v>
      </c>
      <c r="N144" s="62" t="s">
        <v>464</v>
      </c>
      <c r="O144" s="100" t="s">
        <v>2584</v>
      </c>
      <c r="P144" s="5" t="s">
        <v>2407</v>
      </c>
      <c r="Q144" s="34" t="s">
        <v>2585</v>
      </c>
      <c r="R144" s="5" t="s">
        <v>2582</v>
      </c>
      <c r="S144" s="5" t="s">
        <v>2586</v>
      </c>
      <c r="T144" s="5" t="s">
        <v>445</v>
      </c>
    </row>
    <row r="145" spans="3:20" ht="14">
      <c r="C145" s="5" t="s">
        <v>1857</v>
      </c>
      <c r="D145" s="5"/>
      <c r="F145" s="34" t="s">
        <v>291</v>
      </c>
      <c r="G145" s="88" t="s">
        <v>292</v>
      </c>
      <c r="H145" s="88"/>
      <c r="I145" s="307">
        <v>-265000</v>
      </c>
      <c r="J145" s="6">
        <v>-188.61209964412799</v>
      </c>
      <c r="K145" s="6">
        <v>1405</v>
      </c>
      <c r="L145" s="62" t="s">
        <v>2418</v>
      </c>
      <c r="M145" s="62" t="s">
        <v>452</v>
      </c>
      <c r="N145" s="62" t="s">
        <v>464</v>
      </c>
      <c r="O145" s="100" t="s">
        <v>2584</v>
      </c>
      <c r="P145" s="5" t="s">
        <v>2407</v>
      </c>
      <c r="Q145" s="34" t="s">
        <v>2585</v>
      </c>
      <c r="R145" s="5" t="s">
        <v>2587</v>
      </c>
      <c r="S145" s="5" t="s">
        <v>2586</v>
      </c>
      <c r="T145" s="5" t="s">
        <v>445</v>
      </c>
    </row>
    <row r="146" spans="3:20" ht="14">
      <c r="C146" s="5" t="s">
        <v>1857</v>
      </c>
      <c r="D146" s="5"/>
      <c r="F146" s="34" t="s">
        <v>291</v>
      </c>
      <c r="G146" s="88" t="s">
        <v>292</v>
      </c>
      <c r="H146" s="88"/>
      <c r="I146" s="307">
        <v>-554597</v>
      </c>
      <c r="J146" s="6">
        <v>-394.73096085409298</v>
      </c>
      <c r="K146" s="6">
        <v>1405</v>
      </c>
      <c r="L146" s="62" t="s">
        <v>2418</v>
      </c>
      <c r="M146" s="62" t="s">
        <v>452</v>
      </c>
      <c r="N146" s="62" t="s">
        <v>464</v>
      </c>
      <c r="O146" s="100" t="s">
        <v>2584</v>
      </c>
      <c r="P146" s="5" t="s">
        <v>2407</v>
      </c>
      <c r="Q146" s="34" t="s">
        <v>2585</v>
      </c>
      <c r="R146" s="5" t="s">
        <v>2588</v>
      </c>
      <c r="S146" s="5" t="s">
        <v>2586</v>
      </c>
      <c r="T146" s="5" t="s">
        <v>445</v>
      </c>
    </row>
    <row r="147" spans="3:20" ht="14">
      <c r="C147" s="5" t="s">
        <v>1857</v>
      </c>
      <c r="D147" s="5"/>
      <c r="F147" s="34" t="s">
        <v>291</v>
      </c>
      <c r="G147" s="88" t="s">
        <v>292</v>
      </c>
      <c r="H147" s="88"/>
      <c r="I147" s="307">
        <v>-5600</v>
      </c>
      <c r="J147" s="6">
        <v>-3.9857651245551602</v>
      </c>
      <c r="K147" s="6">
        <v>1405</v>
      </c>
      <c r="L147" s="62" t="s">
        <v>2418</v>
      </c>
      <c r="M147" s="62" t="s">
        <v>452</v>
      </c>
      <c r="N147" s="62" t="s">
        <v>464</v>
      </c>
      <c r="O147" s="100" t="s">
        <v>2584</v>
      </c>
      <c r="P147" s="5" t="s">
        <v>2407</v>
      </c>
      <c r="Q147" s="34" t="s">
        <v>2585</v>
      </c>
      <c r="R147" s="5" t="s">
        <v>2589</v>
      </c>
      <c r="S147" s="5" t="s">
        <v>2586</v>
      </c>
      <c r="T147" s="5" t="s">
        <v>445</v>
      </c>
    </row>
    <row r="148" spans="3:20" ht="14">
      <c r="C148" s="5" t="s">
        <v>1857</v>
      </c>
      <c r="D148" s="5"/>
      <c r="F148" s="34" t="s">
        <v>291</v>
      </c>
      <c r="G148" s="88" t="s">
        <v>292</v>
      </c>
      <c r="H148" s="88"/>
      <c r="I148" s="307">
        <v>-384000</v>
      </c>
      <c r="J148" s="6">
        <v>-273.30960854092501</v>
      </c>
      <c r="K148" s="6">
        <v>1405</v>
      </c>
      <c r="L148" s="62" t="s">
        <v>2405</v>
      </c>
      <c r="M148" s="62" t="s">
        <v>452</v>
      </c>
      <c r="N148" s="62" t="s">
        <v>464</v>
      </c>
      <c r="O148" s="100" t="s">
        <v>2563</v>
      </c>
      <c r="P148" s="5" t="s">
        <v>2407</v>
      </c>
      <c r="Q148" s="34" t="s">
        <v>2564</v>
      </c>
      <c r="R148" s="5" t="s">
        <v>2590</v>
      </c>
      <c r="S148" s="5" t="s">
        <v>2566</v>
      </c>
      <c r="T148" s="5" t="s">
        <v>445</v>
      </c>
    </row>
    <row r="149" spans="3:20" ht="14">
      <c r="C149" s="5" t="s">
        <v>1857</v>
      </c>
      <c r="D149" s="5"/>
      <c r="F149" s="34" t="s">
        <v>291</v>
      </c>
      <c r="G149" s="88" t="s">
        <v>292</v>
      </c>
      <c r="H149" s="88"/>
      <c r="I149" s="307">
        <v>-700000</v>
      </c>
      <c r="J149" s="6">
        <v>-498.22064056939502</v>
      </c>
      <c r="K149" s="6">
        <v>1405</v>
      </c>
      <c r="L149" s="62" t="s">
        <v>2418</v>
      </c>
      <c r="M149" s="62" t="s">
        <v>452</v>
      </c>
      <c r="N149" s="62" t="s">
        <v>464</v>
      </c>
      <c r="O149" s="100" t="s">
        <v>2584</v>
      </c>
      <c r="P149" s="5" t="s">
        <v>2407</v>
      </c>
      <c r="Q149" s="34" t="s">
        <v>2585</v>
      </c>
      <c r="R149" s="5" t="s">
        <v>2591</v>
      </c>
      <c r="S149" s="5" t="s">
        <v>2586</v>
      </c>
      <c r="T149" s="5" t="s">
        <v>445</v>
      </c>
    </row>
    <row r="150" spans="3:20" ht="14">
      <c r="C150" s="5" t="s">
        <v>1857</v>
      </c>
      <c r="D150" s="5"/>
      <c r="F150" s="34" t="s">
        <v>291</v>
      </c>
      <c r="G150" s="88" t="s">
        <v>292</v>
      </c>
      <c r="H150" s="88"/>
      <c r="I150" s="307">
        <v>-2950000</v>
      </c>
      <c r="J150" s="6">
        <v>-2099.64412811388</v>
      </c>
      <c r="K150" s="6">
        <v>1405</v>
      </c>
      <c r="L150" s="62" t="s">
        <v>2405</v>
      </c>
      <c r="M150" s="62" t="s">
        <v>452</v>
      </c>
      <c r="N150" s="62" t="s">
        <v>464</v>
      </c>
      <c r="O150" s="100" t="s">
        <v>2567</v>
      </c>
      <c r="P150" s="5" t="s">
        <v>2407</v>
      </c>
      <c r="Q150" s="34" t="s">
        <v>2568</v>
      </c>
      <c r="R150" s="5" t="s">
        <v>2592</v>
      </c>
      <c r="S150" s="5" t="s">
        <v>2570</v>
      </c>
      <c r="T150" s="5" t="s">
        <v>445</v>
      </c>
    </row>
    <row r="151" spans="3:20" ht="14">
      <c r="C151" s="5" t="s">
        <v>1857</v>
      </c>
      <c r="D151" s="5"/>
      <c r="F151" s="34" t="s">
        <v>291</v>
      </c>
      <c r="G151" s="88" t="s">
        <v>292</v>
      </c>
      <c r="H151" s="88"/>
      <c r="I151" s="307">
        <v>-113000</v>
      </c>
      <c r="J151" s="6">
        <v>-80.427046263345204</v>
      </c>
      <c r="K151" s="6">
        <v>1405</v>
      </c>
      <c r="L151" s="62" t="s">
        <v>2418</v>
      </c>
      <c r="M151" s="62" t="s">
        <v>452</v>
      </c>
      <c r="N151" s="62" t="s">
        <v>464</v>
      </c>
      <c r="O151" s="100" t="s">
        <v>2584</v>
      </c>
      <c r="P151" s="5" t="s">
        <v>2407</v>
      </c>
      <c r="Q151" s="34" t="s">
        <v>2585</v>
      </c>
      <c r="R151" s="5" t="s">
        <v>2593</v>
      </c>
      <c r="S151" s="5" t="s">
        <v>2586</v>
      </c>
      <c r="T151" s="5" t="s">
        <v>445</v>
      </c>
    </row>
    <row r="152" spans="3:20" ht="14">
      <c r="C152" s="5" t="s">
        <v>1857</v>
      </c>
      <c r="D152" s="5"/>
      <c r="F152" s="34" t="s">
        <v>291</v>
      </c>
      <c r="G152" s="88" t="s">
        <v>292</v>
      </c>
      <c r="H152" s="88"/>
      <c r="I152" s="307">
        <v>-229307</v>
      </c>
      <c r="J152" s="6">
        <v>-163.20782918149499</v>
      </c>
      <c r="K152" s="6">
        <v>1405</v>
      </c>
      <c r="L152" s="62" t="s">
        <v>2571</v>
      </c>
      <c r="M152" s="62" t="s">
        <v>452</v>
      </c>
      <c r="N152" s="62" t="s">
        <v>464</v>
      </c>
      <c r="O152" s="100" t="s">
        <v>2572</v>
      </c>
      <c r="P152" s="5" t="s">
        <v>2407</v>
      </c>
      <c r="Q152" s="34" t="s">
        <v>2573</v>
      </c>
      <c r="R152" s="5" t="s">
        <v>2594</v>
      </c>
      <c r="S152" s="5" t="s">
        <v>2575</v>
      </c>
      <c r="T152" s="5" t="s">
        <v>445</v>
      </c>
    </row>
    <row r="153" spans="3:20" ht="14">
      <c r="C153" s="5" t="s">
        <v>1857</v>
      </c>
      <c r="D153" s="5"/>
      <c r="F153" s="34" t="s">
        <v>291</v>
      </c>
      <c r="G153" s="88" t="s">
        <v>292</v>
      </c>
      <c r="H153" s="88"/>
      <c r="I153" s="307">
        <v>-138981</v>
      </c>
      <c r="J153" s="6">
        <v>-98.918861209964405</v>
      </c>
      <c r="K153" s="6">
        <v>1405</v>
      </c>
      <c r="L153" s="62" t="s">
        <v>2595</v>
      </c>
      <c r="M153" s="62" t="s">
        <v>452</v>
      </c>
      <c r="N153" s="62" t="s">
        <v>464</v>
      </c>
      <c r="O153" s="100" t="s">
        <v>2596</v>
      </c>
      <c r="P153" s="5" t="s">
        <v>2407</v>
      </c>
      <c r="Q153" s="34" t="s">
        <v>2597</v>
      </c>
      <c r="R153" s="5" t="s">
        <v>2598</v>
      </c>
      <c r="S153" s="5" t="s">
        <v>2599</v>
      </c>
      <c r="T153" s="5" t="s">
        <v>445</v>
      </c>
    </row>
    <row r="154" spans="3:20" ht="14">
      <c r="C154" s="5" t="s">
        <v>1857</v>
      </c>
      <c r="D154" s="5"/>
      <c r="F154" s="34" t="s">
        <v>291</v>
      </c>
      <c r="G154" s="88" t="s">
        <v>292</v>
      </c>
      <c r="H154" s="88"/>
      <c r="I154" s="307">
        <v>-344419</v>
      </c>
      <c r="J154" s="6">
        <v>-245.13807829181499</v>
      </c>
      <c r="K154" s="6">
        <v>1405</v>
      </c>
      <c r="L154" s="62" t="s">
        <v>2405</v>
      </c>
      <c r="M154" s="62" t="s">
        <v>452</v>
      </c>
      <c r="N154" s="62" t="s">
        <v>464</v>
      </c>
      <c r="O154" s="100" t="s">
        <v>2567</v>
      </c>
      <c r="P154" s="5" t="s">
        <v>2407</v>
      </c>
      <c r="Q154" s="34" t="s">
        <v>2568</v>
      </c>
      <c r="R154" s="5" t="s">
        <v>2600</v>
      </c>
      <c r="S154" s="5" t="s">
        <v>2570</v>
      </c>
      <c r="T154" s="5" t="s">
        <v>445</v>
      </c>
    </row>
    <row r="155" spans="3:20" ht="14">
      <c r="C155" s="5" t="s">
        <v>1857</v>
      </c>
      <c r="D155" s="5"/>
      <c r="F155" s="34" t="s">
        <v>291</v>
      </c>
      <c r="G155" s="88" t="s">
        <v>292</v>
      </c>
      <c r="H155" s="88"/>
      <c r="I155" s="307">
        <v>-158400</v>
      </c>
      <c r="J155" s="6">
        <v>-112.740213523132</v>
      </c>
      <c r="K155" s="6">
        <v>1405</v>
      </c>
      <c r="L155" s="62" t="s">
        <v>2571</v>
      </c>
      <c r="M155" s="62" t="s">
        <v>452</v>
      </c>
      <c r="N155" s="62" t="s">
        <v>464</v>
      </c>
      <c r="O155" s="100" t="s">
        <v>2572</v>
      </c>
      <c r="P155" s="5" t="s">
        <v>2407</v>
      </c>
      <c r="Q155" s="34" t="s">
        <v>2573</v>
      </c>
      <c r="R155" s="5" t="s">
        <v>2601</v>
      </c>
      <c r="S155" s="5" t="s">
        <v>2575</v>
      </c>
      <c r="T155" s="5" t="s">
        <v>445</v>
      </c>
    </row>
    <row r="156" spans="3:20" ht="14">
      <c r="C156" s="5" t="s">
        <v>1857</v>
      </c>
      <c r="D156" s="5"/>
      <c r="F156" s="34" t="s">
        <v>291</v>
      </c>
      <c r="G156" s="88" t="s">
        <v>292</v>
      </c>
      <c r="H156" s="88"/>
      <c r="I156" s="307">
        <v>-176600</v>
      </c>
      <c r="J156" s="6">
        <v>-125.693950177936</v>
      </c>
      <c r="K156" s="6">
        <v>1405</v>
      </c>
      <c r="L156" s="62" t="s">
        <v>2405</v>
      </c>
      <c r="M156" s="62" t="s">
        <v>452</v>
      </c>
      <c r="N156" s="62" t="s">
        <v>464</v>
      </c>
      <c r="O156" s="100" t="s">
        <v>2567</v>
      </c>
      <c r="P156" s="5" t="s">
        <v>2407</v>
      </c>
      <c r="Q156" s="34" t="s">
        <v>2568</v>
      </c>
      <c r="R156" s="5" t="s">
        <v>2602</v>
      </c>
      <c r="S156" s="5" t="s">
        <v>2570</v>
      </c>
      <c r="T156" s="5" t="s">
        <v>445</v>
      </c>
    </row>
    <row r="157" spans="3:20" ht="14">
      <c r="C157" s="5" t="s">
        <v>1857</v>
      </c>
      <c r="D157" s="5"/>
      <c r="F157" s="34" t="s">
        <v>291</v>
      </c>
      <c r="G157" s="88" t="s">
        <v>292</v>
      </c>
      <c r="H157" s="88"/>
      <c r="I157" s="307">
        <v>-258500</v>
      </c>
      <c r="J157" s="6">
        <v>-183.985765124555</v>
      </c>
      <c r="K157" s="6">
        <v>1405</v>
      </c>
      <c r="L157" s="62" t="s">
        <v>2595</v>
      </c>
      <c r="M157" s="62" t="s">
        <v>452</v>
      </c>
      <c r="N157" s="62" t="s">
        <v>464</v>
      </c>
      <c r="O157" s="100" t="s">
        <v>2596</v>
      </c>
      <c r="P157" s="5" t="s">
        <v>2407</v>
      </c>
      <c r="Q157" s="34" t="s">
        <v>2597</v>
      </c>
      <c r="R157" s="5" t="s">
        <v>2603</v>
      </c>
      <c r="S157" s="5" t="s">
        <v>2599</v>
      </c>
      <c r="T157" s="5" t="s">
        <v>445</v>
      </c>
    </row>
    <row r="158" spans="3:20" ht="14">
      <c r="C158" s="5" t="s">
        <v>1857</v>
      </c>
      <c r="D158" s="5"/>
      <c r="F158" s="34" t="s">
        <v>291</v>
      </c>
      <c r="G158" s="88" t="s">
        <v>292</v>
      </c>
      <c r="H158" s="88"/>
      <c r="I158" s="307">
        <v>-89000</v>
      </c>
      <c r="J158" s="6">
        <v>-63.345195729537402</v>
      </c>
      <c r="K158" s="6">
        <v>1405</v>
      </c>
      <c r="L158" s="62" t="s">
        <v>2418</v>
      </c>
      <c r="M158" s="62" t="s">
        <v>452</v>
      </c>
      <c r="N158" s="62" t="s">
        <v>464</v>
      </c>
      <c r="O158" s="100" t="s">
        <v>2584</v>
      </c>
      <c r="P158" s="5" t="s">
        <v>2407</v>
      </c>
      <c r="Q158" s="34" t="s">
        <v>2585</v>
      </c>
      <c r="R158" s="5" t="s">
        <v>2608</v>
      </c>
      <c r="S158" s="5" t="s">
        <v>2586</v>
      </c>
      <c r="T158" s="5" t="s">
        <v>445</v>
      </c>
    </row>
    <row r="159" spans="3:20" ht="14">
      <c r="C159" s="5" t="s">
        <v>1857</v>
      </c>
      <c r="D159" s="5"/>
      <c r="F159" s="34" t="s">
        <v>291</v>
      </c>
      <c r="G159" s="88" t="s">
        <v>292</v>
      </c>
      <c r="H159" s="88"/>
      <c r="I159" s="307">
        <v>-99000</v>
      </c>
      <c r="J159" s="6">
        <v>-70.462633451957302</v>
      </c>
      <c r="K159" s="6">
        <v>1405</v>
      </c>
      <c r="L159" s="62" t="s">
        <v>2595</v>
      </c>
      <c r="M159" s="62" t="s">
        <v>452</v>
      </c>
      <c r="N159" s="62" t="s">
        <v>464</v>
      </c>
      <c r="O159" s="100" t="s">
        <v>2596</v>
      </c>
      <c r="P159" s="5" t="s">
        <v>2407</v>
      </c>
      <c r="Q159" s="34" t="s">
        <v>2597</v>
      </c>
      <c r="R159" s="5" t="s">
        <v>2609</v>
      </c>
      <c r="S159" s="5" t="s">
        <v>2599</v>
      </c>
      <c r="T159" s="5" t="s">
        <v>445</v>
      </c>
    </row>
    <row r="160" spans="3:20" ht="14">
      <c r="C160" s="5" t="s">
        <v>1857</v>
      </c>
      <c r="D160" s="5"/>
      <c r="F160" s="34" t="s">
        <v>293</v>
      </c>
      <c r="G160" s="88" t="s">
        <v>294</v>
      </c>
      <c r="H160" s="88"/>
      <c r="I160" s="307">
        <v>-9599999.6999999993</v>
      </c>
      <c r="J160" s="6">
        <v>-6832.74</v>
      </c>
      <c r="K160" s="6">
        <v>1405</v>
      </c>
      <c r="L160" s="62" t="s">
        <v>2634</v>
      </c>
      <c r="M160" s="62" t="s">
        <v>452</v>
      </c>
      <c r="N160" s="62" t="s">
        <v>442</v>
      </c>
      <c r="O160" s="100" t="s">
        <v>2635</v>
      </c>
      <c r="P160" s="5" t="s">
        <v>2407</v>
      </c>
      <c r="Q160" s="34" t="s">
        <v>2636</v>
      </c>
      <c r="R160" s="5" t="s">
        <v>2636</v>
      </c>
      <c r="S160" s="5" t="s">
        <v>2637</v>
      </c>
      <c r="T160" s="5" t="s">
        <v>445</v>
      </c>
    </row>
    <row r="161" spans="3:20" ht="14">
      <c r="C161" s="5" t="s">
        <v>1857</v>
      </c>
      <c r="D161" s="5"/>
      <c r="F161" s="34" t="s">
        <v>293</v>
      </c>
      <c r="G161" s="88" t="s">
        <v>294</v>
      </c>
      <c r="H161" s="88"/>
      <c r="I161" s="307">
        <v>-1500006.1</v>
      </c>
      <c r="J161" s="6">
        <v>-1067.6199999999999</v>
      </c>
      <c r="K161" s="6">
        <v>1405</v>
      </c>
      <c r="L161" s="62" t="s">
        <v>2571</v>
      </c>
      <c r="M161" s="62" t="s">
        <v>452</v>
      </c>
      <c r="N161" s="62" t="s">
        <v>442</v>
      </c>
      <c r="O161" s="100" t="s">
        <v>2638</v>
      </c>
      <c r="P161" s="5" t="s">
        <v>2407</v>
      </c>
      <c r="Q161" s="34" t="s">
        <v>2639</v>
      </c>
      <c r="R161" s="5" t="s">
        <v>2639</v>
      </c>
      <c r="S161" s="5" t="s">
        <v>2640</v>
      </c>
      <c r="T161" s="5" t="s">
        <v>445</v>
      </c>
    </row>
    <row r="162" spans="3:20" ht="14">
      <c r="C162" s="5" t="s">
        <v>1857</v>
      </c>
      <c r="D162" s="5"/>
      <c r="F162" s="34" t="s">
        <v>293</v>
      </c>
      <c r="G162" s="88" t="s">
        <v>294</v>
      </c>
      <c r="H162" s="88"/>
      <c r="I162" s="307">
        <v>-499997.35</v>
      </c>
      <c r="J162" s="6">
        <v>-355.87</v>
      </c>
      <c r="K162" s="6">
        <v>1405</v>
      </c>
      <c r="L162" s="62" t="s">
        <v>2595</v>
      </c>
      <c r="M162" s="62" t="s">
        <v>452</v>
      </c>
      <c r="N162" s="62" t="s">
        <v>442</v>
      </c>
      <c r="O162" s="100" t="s">
        <v>2641</v>
      </c>
      <c r="P162" s="5" t="s">
        <v>2407</v>
      </c>
      <c r="Q162" s="34" t="s">
        <v>2642</v>
      </c>
      <c r="R162" s="5" t="s">
        <v>2642</v>
      </c>
      <c r="S162" s="5" t="s">
        <v>2643</v>
      </c>
      <c r="T162" s="5" t="s">
        <v>445</v>
      </c>
    </row>
    <row r="163" spans="3:20" ht="14">
      <c r="C163" s="5" t="s">
        <v>1857</v>
      </c>
      <c r="D163" s="5"/>
      <c r="F163" s="34" t="s">
        <v>293</v>
      </c>
      <c r="G163" s="88" t="s">
        <v>294</v>
      </c>
      <c r="H163" s="88"/>
      <c r="I163" s="307">
        <v>-5600006.8499999996</v>
      </c>
      <c r="J163" s="6">
        <v>-3985.77</v>
      </c>
      <c r="K163" s="6">
        <v>1405</v>
      </c>
      <c r="L163" s="62" t="s">
        <v>2418</v>
      </c>
      <c r="M163" s="62" t="s">
        <v>452</v>
      </c>
      <c r="N163" s="62" t="s">
        <v>442</v>
      </c>
      <c r="O163" s="100" t="s">
        <v>2644</v>
      </c>
      <c r="P163" s="5" t="s">
        <v>2407</v>
      </c>
      <c r="Q163" s="34" t="s">
        <v>2645</v>
      </c>
      <c r="R163" s="5" t="s">
        <v>2645</v>
      </c>
      <c r="S163" s="5" t="s">
        <v>2646</v>
      </c>
      <c r="T163" s="5" t="s">
        <v>445</v>
      </c>
    </row>
    <row r="164" spans="3:20" ht="14">
      <c r="C164" s="5" t="s">
        <v>1857</v>
      </c>
      <c r="D164" s="5"/>
      <c r="F164" s="34" t="s">
        <v>293</v>
      </c>
      <c r="G164" s="88" t="s">
        <v>294</v>
      </c>
      <c r="H164" s="88"/>
      <c r="I164" s="307">
        <v>-29392.6</v>
      </c>
      <c r="J164" s="6">
        <v>-20.92</v>
      </c>
      <c r="K164" s="6">
        <v>1405</v>
      </c>
      <c r="L164" s="62" t="s">
        <v>2405</v>
      </c>
      <c r="M164" s="62" t="s">
        <v>452</v>
      </c>
      <c r="N164" s="62" t="s">
        <v>464</v>
      </c>
      <c r="O164" s="100" t="s">
        <v>2406</v>
      </c>
      <c r="P164" s="5" t="s">
        <v>2407</v>
      </c>
      <c r="Q164" s="34" t="s">
        <v>2408</v>
      </c>
      <c r="R164" s="5" t="s">
        <v>2409</v>
      </c>
      <c r="S164" s="5" t="s">
        <v>2410</v>
      </c>
      <c r="T164" s="5" t="s">
        <v>445</v>
      </c>
    </row>
    <row r="165" spans="3:20" ht="14">
      <c r="C165" s="5" t="s">
        <v>1857</v>
      </c>
      <c r="D165" s="5"/>
      <c r="F165" s="34" t="s">
        <v>293</v>
      </c>
      <c r="G165" s="88" t="s">
        <v>294</v>
      </c>
      <c r="H165" s="88"/>
      <c r="I165" s="307">
        <v>-297860</v>
      </c>
      <c r="J165" s="6">
        <v>-212</v>
      </c>
      <c r="K165" s="6">
        <v>1405</v>
      </c>
      <c r="L165" s="62" t="s">
        <v>2405</v>
      </c>
      <c r="M165" s="62" t="s">
        <v>452</v>
      </c>
      <c r="N165" s="62" t="s">
        <v>464</v>
      </c>
      <c r="O165" s="100" t="s">
        <v>2411</v>
      </c>
      <c r="P165" s="5" t="s">
        <v>2407</v>
      </c>
      <c r="Q165" s="34" t="s">
        <v>2412</v>
      </c>
      <c r="R165" s="5" t="s">
        <v>2413</v>
      </c>
      <c r="S165" s="5" t="s">
        <v>2414</v>
      </c>
      <c r="T165" s="5" t="s">
        <v>445</v>
      </c>
    </row>
    <row r="166" spans="3:20" ht="14">
      <c r="C166" s="5" t="s">
        <v>1857</v>
      </c>
      <c r="D166" s="5"/>
      <c r="F166" s="34" t="s">
        <v>293</v>
      </c>
      <c r="G166" s="88" t="s">
        <v>294</v>
      </c>
      <c r="H166" s="88"/>
      <c r="I166" s="307">
        <v>-840190</v>
      </c>
      <c r="J166" s="6">
        <v>-598</v>
      </c>
      <c r="K166" s="6">
        <v>1405</v>
      </c>
      <c r="L166" s="62" t="s">
        <v>2405</v>
      </c>
      <c r="M166" s="62" t="s">
        <v>452</v>
      </c>
      <c r="N166" s="62" t="s">
        <v>464</v>
      </c>
      <c r="O166" s="100" t="s">
        <v>2411</v>
      </c>
      <c r="P166" s="5" t="s">
        <v>2407</v>
      </c>
      <c r="Q166" s="34" t="s">
        <v>2412</v>
      </c>
      <c r="R166" s="5" t="s">
        <v>2415</v>
      </c>
      <c r="S166" s="5" t="s">
        <v>2414</v>
      </c>
      <c r="T166" s="5" t="s">
        <v>445</v>
      </c>
    </row>
    <row r="167" spans="3:20" ht="14">
      <c r="C167" s="5" t="s">
        <v>1857</v>
      </c>
      <c r="D167" s="5"/>
      <c r="F167" s="34" t="s">
        <v>293</v>
      </c>
      <c r="G167" s="88" t="s">
        <v>294</v>
      </c>
      <c r="H167" s="88"/>
      <c r="I167" s="307">
        <v>-732005</v>
      </c>
      <c r="J167" s="6">
        <v>-521</v>
      </c>
      <c r="K167" s="6">
        <v>1405</v>
      </c>
      <c r="L167" s="62" t="s">
        <v>2405</v>
      </c>
      <c r="M167" s="62" t="s">
        <v>452</v>
      </c>
      <c r="N167" s="62" t="s">
        <v>464</v>
      </c>
      <c r="O167" s="100" t="s">
        <v>2411</v>
      </c>
      <c r="P167" s="5" t="s">
        <v>2407</v>
      </c>
      <c r="Q167" s="34" t="s">
        <v>2412</v>
      </c>
      <c r="R167" s="5" t="s">
        <v>2416</v>
      </c>
      <c r="S167" s="5" t="s">
        <v>2414</v>
      </c>
      <c r="T167" s="5" t="s">
        <v>445</v>
      </c>
    </row>
    <row r="168" spans="3:20" ht="14">
      <c r="C168" s="5" t="s">
        <v>1857</v>
      </c>
      <c r="D168" s="5"/>
      <c r="F168" s="34" t="s">
        <v>293</v>
      </c>
      <c r="G168" s="88" t="s">
        <v>294</v>
      </c>
      <c r="H168" s="88"/>
      <c r="I168" s="307">
        <v>-2069565</v>
      </c>
      <c r="J168" s="6">
        <v>-1473</v>
      </c>
      <c r="K168" s="6">
        <v>1405</v>
      </c>
      <c r="L168" s="62" t="s">
        <v>2405</v>
      </c>
      <c r="M168" s="62" t="s">
        <v>452</v>
      </c>
      <c r="N168" s="62" t="s">
        <v>464</v>
      </c>
      <c r="O168" s="100" t="s">
        <v>2411</v>
      </c>
      <c r="P168" s="5" t="s">
        <v>2407</v>
      </c>
      <c r="Q168" s="34" t="s">
        <v>2412</v>
      </c>
      <c r="R168" s="5" t="s">
        <v>2417</v>
      </c>
      <c r="S168" s="5" t="s">
        <v>2414</v>
      </c>
      <c r="T168" s="5" t="s">
        <v>445</v>
      </c>
    </row>
    <row r="169" spans="3:20" ht="14">
      <c r="C169" s="5" t="s">
        <v>1857</v>
      </c>
      <c r="D169" s="5"/>
      <c r="F169" s="34" t="s">
        <v>293</v>
      </c>
      <c r="G169" s="88" t="s">
        <v>294</v>
      </c>
      <c r="H169" s="88"/>
      <c r="I169" s="307">
        <v>1482275</v>
      </c>
      <c r="J169" s="6">
        <v>1055</v>
      </c>
      <c r="K169" s="6">
        <v>1405</v>
      </c>
      <c r="L169" s="62" t="s">
        <v>2418</v>
      </c>
      <c r="M169" s="62" t="s">
        <v>452</v>
      </c>
      <c r="N169" s="62" t="s">
        <v>464</v>
      </c>
      <c r="O169" s="100" t="s">
        <v>2419</v>
      </c>
      <c r="P169" s="5" t="s">
        <v>2407</v>
      </c>
      <c r="Q169" s="34" t="s">
        <v>2420</v>
      </c>
      <c r="R169" s="5" t="s">
        <v>2421</v>
      </c>
      <c r="S169" s="5" t="s">
        <v>2422</v>
      </c>
      <c r="T169" s="5" t="s">
        <v>445</v>
      </c>
    </row>
    <row r="170" spans="3:20" ht="14">
      <c r="C170" s="5" t="s">
        <v>1857</v>
      </c>
      <c r="D170" s="5"/>
      <c r="F170" s="34" t="s">
        <v>293</v>
      </c>
      <c r="G170" s="88" t="s">
        <v>294</v>
      </c>
      <c r="H170" s="88"/>
      <c r="I170" s="307">
        <v>7411375</v>
      </c>
      <c r="J170" s="6">
        <v>5275</v>
      </c>
      <c r="K170" s="6">
        <v>1405</v>
      </c>
      <c r="L170" s="62" t="s">
        <v>2405</v>
      </c>
      <c r="M170" s="62" t="s">
        <v>452</v>
      </c>
      <c r="N170" s="62" t="s">
        <v>464</v>
      </c>
      <c r="O170" s="100" t="s">
        <v>2423</v>
      </c>
      <c r="P170" s="5" t="s">
        <v>2407</v>
      </c>
      <c r="Q170" s="34" t="s">
        <v>2424</v>
      </c>
      <c r="R170" s="5" t="s">
        <v>2425</v>
      </c>
      <c r="S170" s="5" t="s">
        <v>2426</v>
      </c>
      <c r="T170" s="5" t="s">
        <v>445</v>
      </c>
    </row>
    <row r="171" spans="3:20" ht="14">
      <c r="C171" s="5" t="s">
        <v>1857</v>
      </c>
      <c r="D171" s="5"/>
      <c r="F171" s="34" t="s">
        <v>293</v>
      </c>
      <c r="G171" s="88" t="s">
        <v>294</v>
      </c>
      <c r="H171" s="88"/>
      <c r="I171" s="307">
        <v>-259405.15</v>
      </c>
      <c r="J171" s="6">
        <v>-184.63</v>
      </c>
      <c r="K171" s="6">
        <v>1405</v>
      </c>
      <c r="L171" s="62" t="s">
        <v>2405</v>
      </c>
      <c r="M171" s="62" t="s">
        <v>452</v>
      </c>
      <c r="N171" s="62" t="s">
        <v>464</v>
      </c>
      <c r="O171" s="100" t="s">
        <v>2427</v>
      </c>
      <c r="P171" s="5" t="s">
        <v>2407</v>
      </c>
      <c r="Q171" s="34" t="s">
        <v>2428</v>
      </c>
      <c r="R171" s="5" t="s">
        <v>2429</v>
      </c>
      <c r="S171" s="5" t="s">
        <v>2430</v>
      </c>
      <c r="T171" s="5" t="s">
        <v>445</v>
      </c>
    </row>
    <row r="172" spans="3:20" ht="14">
      <c r="C172" s="5" t="s">
        <v>1857</v>
      </c>
      <c r="D172" s="5"/>
      <c r="F172" s="34" t="s">
        <v>293</v>
      </c>
      <c r="G172" s="88" t="s">
        <v>294</v>
      </c>
      <c r="H172" s="88"/>
      <c r="I172" s="307">
        <v>2562986.9500000002</v>
      </c>
      <c r="J172" s="6">
        <v>1824.19</v>
      </c>
      <c r="K172" s="6">
        <v>1405</v>
      </c>
      <c r="L172" s="62" t="s">
        <v>2405</v>
      </c>
      <c r="M172" s="62" t="s">
        <v>452</v>
      </c>
      <c r="N172" s="62" t="s">
        <v>464</v>
      </c>
      <c r="O172" s="100" t="s">
        <v>2423</v>
      </c>
      <c r="P172" s="5" t="s">
        <v>2407</v>
      </c>
      <c r="Q172" s="34" t="s">
        <v>2424</v>
      </c>
      <c r="R172" s="5" t="s">
        <v>2431</v>
      </c>
      <c r="S172" s="5" t="s">
        <v>2426</v>
      </c>
      <c r="T172" s="5" t="s">
        <v>445</v>
      </c>
    </row>
    <row r="173" spans="3:20" ht="14">
      <c r="C173" s="5" t="s">
        <v>1857</v>
      </c>
      <c r="D173" s="5"/>
      <c r="F173" s="34" t="s">
        <v>293</v>
      </c>
      <c r="G173" s="88" t="s">
        <v>294</v>
      </c>
      <c r="H173" s="88"/>
      <c r="I173" s="307">
        <v>-89709.25</v>
      </c>
      <c r="J173" s="6">
        <v>-63.85</v>
      </c>
      <c r="K173" s="6">
        <v>1405</v>
      </c>
      <c r="L173" s="62" t="s">
        <v>2405</v>
      </c>
      <c r="M173" s="62" t="s">
        <v>452</v>
      </c>
      <c r="N173" s="62" t="s">
        <v>464</v>
      </c>
      <c r="O173" s="100" t="s">
        <v>2427</v>
      </c>
      <c r="P173" s="5" t="s">
        <v>2407</v>
      </c>
      <c r="Q173" s="34" t="s">
        <v>2428</v>
      </c>
      <c r="R173" s="5" t="s">
        <v>2432</v>
      </c>
      <c r="S173" s="5" t="s">
        <v>2430</v>
      </c>
      <c r="T173" s="5" t="s">
        <v>445</v>
      </c>
    </row>
    <row r="174" spans="3:20" ht="14">
      <c r="C174" s="5" t="s">
        <v>1857</v>
      </c>
      <c r="D174" s="5"/>
      <c r="F174" s="34" t="s">
        <v>293</v>
      </c>
      <c r="G174" s="88" t="s">
        <v>294</v>
      </c>
      <c r="H174" s="88"/>
      <c r="I174" s="307">
        <v>2562986.9500000002</v>
      </c>
      <c r="J174" s="6">
        <v>1824.19</v>
      </c>
      <c r="K174" s="6">
        <v>1405</v>
      </c>
      <c r="L174" s="62" t="s">
        <v>2405</v>
      </c>
      <c r="M174" s="62" t="s">
        <v>452</v>
      </c>
      <c r="N174" s="62" t="s">
        <v>464</v>
      </c>
      <c r="O174" s="100" t="s">
        <v>2423</v>
      </c>
      <c r="P174" s="5" t="s">
        <v>2407</v>
      </c>
      <c r="Q174" s="34" t="s">
        <v>2424</v>
      </c>
      <c r="R174" s="5" t="s">
        <v>2433</v>
      </c>
      <c r="S174" s="5" t="s">
        <v>2426</v>
      </c>
      <c r="T174" s="5" t="s">
        <v>445</v>
      </c>
    </row>
    <row r="175" spans="3:20" ht="14">
      <c r="C175" s="5" t="s">
        <v>1857</v>
      </c>
      <c r="D175" s="5"/>
      <c r="F175" s="34" t="s">
        <v>293</v>
      </c>
      <c r="G175" s="88" t="s">
        <v>294</v>
      </c>
      <c r="H175" s="88"/>
      <c r="I175" s="307">
        <v>-89709.25</v>
      </c>
      <c r="J175" s="6">
        <v>-63.85</v>
      </c>
      <c r="K175" s="6">
        <v>1405</v>
      </c>
      <c r="L175" s="62" t="s">
        <v>2405</v>
      </c>
      <c r="M175" s="62" t="s">
        <v>452</v>
      </c>
      <c r="N175" s="62" t="s">
        <v>464</v>
      </c>
      <c r="O175" s="100" t="s">
        <v>2427</v>
      </c>
      <c r="P175" s="5" t="s">
        <v>2407</v>
      </c>
      <c r="Q175" s="34" t="s">
        <v>2428</v>
      </c>
      <c r="R175" s="5" t="s">
        <v>2434</v>
      </c>
      <c r="S175" s="5" t="s">
        <v>2430</v>
      </c>
      <c r="T175" s="5" t="s">
        <v>445</v>
      </c>
    </row>
    <row r="176" spans="3:20" ht="14">
      <c r="C176" s="5" t="s">
        <v>1857</v>
      </c>
      <c r="D176" s="5"/>
      <c r="F176" s="34" t="s">
        <v>293</v>
      </c>
      <c r="G176" s="88" t="s">
        <v>294</v>
      </c>
      <c r="H176" s="88"/>
      <c r="I176" s="307">
        <v>2562986.9500000002</v>
      </c>
      <c r="J176" s="6">
        <v>1824.19</v>
      </c>
      <c r="K176" s="6">
        <v>1405</v>
      </c>
      <c r="L176" s="62" t="s">
        <v>2405</v>
      </c>
      <c r="M176" s="62" t="s">
        <v>452</v>
      </c>
      <c r="N176" s="62" t="s">
        <v>464</v>
      </c>
      <c r="O176" s="100" t="s">
        <v>2423</v>
      </c>
      <c r="P176" s="5" t="s">
        <v>2407</v>
      </c>
      <c r="Q176" s="34" t="s">
        <v>2424</v>
      </c>
      <c r="R176" s="5" t="s">
        <v>2435</v>
      </c>
      <c r="S176" s="5" t="s">
        <v>2426</v>
      </c>
      <c r="T176" s="5" t="s">
        <v>445</v>
      </c>
    </row>
    <row r="177" spans="3:20" ht="14">
      <c r="C177" s="5" t="s">
        <v>1857</v>
      </c>
      <c r="D177" s="5"/>
      <c r="F177" s="34" t="s">
        <v>293</v>
      </c>
      <c r="G177" s="88" t="s">
        <v>294</v>
      </c>
      <c r="H177" s="88"/>
      <c r="I177" s="307">
        <v>-89709.25</v>
      </c>
      <c r="J177" s="6">
        <v>-63.85</v>
      </c>
      <c r="K177" s="6">
        <v>1405</v>
      </c>
      <c r="L177" s="62" t="s">
        <v>2405</v>
      </c>
      <c r="M177" s="62" t="s">
        <v>452</v>
      </c>
      <c r="N177" s="62" t="s">
        <v>464</v>
      </c>
      <c r="O177" s="100" t="s">
        <v>2427</v>
      </c>
      <c r="P177" s="5" t="s">
        <v>2407</v>
      </c>
      <c r="Q177" s="34" t="s">
        <v>2428</v>
      </c>
      <c r="R177" s="5" t="s">
        <v>2436</v>
      </c>
      <c r="S177" s="5" t="s">
        <v>2430</v>
      </c>
      <c r="T177" s="5" t="s">
        <v>445</v>
      </c>
    </row>
    <row r="178" spans="3:20" ht="14">
      <c r="C178" s="5" t="s">
        <v>1857</v>
      </c>
      <c r="D178" s="5"/>
      <c r="F178" s="34" t="s">
        <v>293</v>
      </c>
      <c r="G178" s="88" t="s">
        <v>294</v>
      </c>
      <c r="H178" s="88"/>
      <c r="I178" s="307">
        <v>1369875</v>
      </c>
      <c r="J178" s="6">
        <v>975</v>
      </c>
      <c r="K178" s="6">
        <v>1405</v>
      </c>
      <c r="L178" s="62" t="s">
        <v>2405</v>
      </c>
      <c r="M178" s="62" t="s">
        <v>452</v>
      </c>
      <c r="N178" s="62" t="s">
        <v>464</v>
      </c>
      <c r="O178" s="100" t="s">
        <v>2423</v>
      </c>
      <c r="P178" s="5" t="s">
        <v>2407</v>
      </c>
      <c r="Q178" s="34" t="s">
        <v>2424</v>
      </c>
      <c r="R178" s="5" t="s">
        <v>2437</v>
      </c>
      <c r="S178" s="5" t="s">
        <v>2426</v>
      </c>
      <c r="T178" s="5" t="s">
        <v>445</v>
      </c>
    </row>
    <row r="179" spans="3:20" ht="14">
      <c r="C179" s="5" t="s">
        <v>1857</v>
      </c>
      <c r="D179" s="5"/>
      <c r="F179" s="34" t="s">
        <v>293</v>
      </c>
      <c r="G179" s="88" t="s">
        <v>294</v>
      </c>
      <c r="H179" s="88"/>
      <c r="I179" s="307">
        <v>1369875</v>
      </c>
      <c r="J179" s="6">
        <v>975</v>
      </c>
      <c r="K179" s="6">
        <v>1405</v>
      </c>
      <c r="L179" s="62" t="s">
        <v>2405</v>
      </c>
      <c r="M179" s="62" t="s">
        <v>452</v>
      </c>
      <c r="N179" s="62" t="s">
        <v>464</v>
      </c>
      <c r="O179" s="100" t="s">
        <v>2423</v>
      </c>
      <c r="P179" s="5" t="s">
        <v>2407</v>
      </c>
      <c r="Q179" s="34" t="s">
        <v>2424</v>
      </c>
      <c r="R179" s="5" t="s">
        <v>2437</v>
      </c>
      <c r="S179" s="5" t="s">
        <v>2426</v>
      </c>
      <c r="T179" s="5" t="s">
        <v>445</v>
      </c>
    </row>
    <row r="180" spans="3:20" ht="14">
      <c r="C180" s="5" t="s">
        <v>1857</v>
      </c>
      <c r="D180" s="5"/>
      <c r="F180" s="34" t="s">
        <v>293</v>
      </c>
      <c r="G180" s="88" t="s">
        <v>294</v>
      </c>
      <c r="H180" s="88"/>
      <c r="I180" s="307">
        <v>-47952.65</v>
      </c>
      <c r="J180" s="6">
        <v>-34.130000000000003</v>
      </c>
      <c r="K180" s="6">
        <v>1405</v>
      </c>
      <c r="L180" s="62" t="s">
        <v>2405</v>
      </c>
      <c r="M180" s="62" t="s">
        <v>452</v>
      </c>
      <c r="N180" s="62" t="s">
        <v>464</v>
      </c>
      <c r="O180" s="100" t="s">
        <v>2427</v>
      </c>
      <c r="P180" s="5" t="s">
        <v>2407</v>
      </c>
      <c r="Q180" s="34" t="s">
        <v>2428</v>
      </c>
      <c r="R180" s="5" t="s">
        <v>2438</v>
      </c>
      <c r="S180" s="5" t="s">
        <v>2430</v>
      </c>
      <c r="T180" s="5" t="s">
        <v>445</v>
      </c>
    </row>
    <row r="181" spans="3:20" ht="14">
      <c r="C181" s="5" t="s">
        <v>1857</v>
      </c>
      <c r="D181" s="5"/>
      <c r="F181" s="34" t="s">
        <v>293</v>
      </c>
      <c r="G181" s="88" t="s">
        <v>294</v>
      </c>
      <c r="H181" s="88"/>
      <c r="I181" s="307">
        <v>-47952.65</v>
      </c>
      <c r="J181" s="6">
        <v>-34.130000000000003</v>
      </c>
      <c r="K181" s="6">
        <v>1405</v>
      </c>
      <c r="L181" s="62" t="s">
        <v>2405</v>
      </c>
      <c r="M181" s="62" t="s">
        <v>452</v>
      </c>
      <c r="N181" s="62" t="s">
        <v>464</v>
      </c>
      <c r="O181" s="100" t="s">
        <v>2427</v>
      </c>
      <c r="P181" s="5" t="s">
        <v>2407</v>
      </c>
      <c r="Q181" s="34" t="s">
        <v>2428</v>
      </c>
      <c r="R181" s="5" t="s">
        <v>2438</v>
      </c>
      <c r="S181" s="5" t="s">
        <v>2430</v>
      </c>
      <c r="T181" s="5" t="s">
        <v>445</v>
      </c>
    </row>
    <row r="182" spans="3:20" ht="14">
      <c r="C182" s="5" t="s">
        <v>1857</v>
      </c>
      <c r="D182" s="5"/>
      <c r="F182" s="34" t="s">
        <v>293</v>
      </c>
      <c r="G182" s="88" t="s">
        <v>294</v>
      </c>
      <c r="H182" s="88"/>
      <c r="I182" s="307">
        <v>2739750</v>
      </c>
      <c r="J182" s="6">
        <v>1950</v>
      </c>
      <c r="K182" s="6">
        <v>1405</v>
      </c>
      <c r="L182" s="62" t="s">
        <v>2405</v>
      </c>
      <c r="M182" s="62" t="s">
        <v>452</v>
      </c>
      <c r="N182" s="62" t="s">
        <v>464</v>
      </c>
      <c r="O182" s="100" t="s">
        <v>2423</v>
      </c>
      <c r="P182" s="5" t="s">
        <v>2407</v>
      </c>
      <c r="Q182" s="34" t="s">
        <v>2424</v>
      </c>
      <c r="R182" s="5" t="s">
        <v>2439</v>
      </c>
      <c r="S182" s="5" t="s">
        <v>2426</v>
      </c>
      <c r="T182" s="5" t="s">
        <v>445</v>
      </c>
    </row>
    <row r="183" spans="3:20" ht="14">
      <c r="C183" s="5" t="s">
        <v>1857</v>
      </c>
      <c r="D183" s="5"/>
      <c r="F183" s="34" t="s">
        <v>293</v>
      </c>
      <c r="G183" s="88" t="s">
        <v>294</v>
      </c>
      <c r="H183" s="88"/>
      <c r="I183" s="307">
        <v>-95891.25</v>
      </c>
      <c r="J183" s="6">
        <v>-68.25</v>
      </c>
      <c r="K183" s="6">
        <v>1405</v>
      </c>
      <c r="L183" s="62" t="s">
        <v>2405</v>
      </c>
      <c r="M183" s="62" t="s">
        <v>452</v>
      </c>
      <c r="N183" s="62" t="s">
        <v>464</v>
      </c>
      <c r="O183" s="100" t="s">
        <v>2427</v>
      </c>
      <c r="P183" s="5" t="s">
        <v>2407</v>
      </c>
      <c r="Q183" s="34" t="s">
        <v>2428</v>
      </c>
      <c r="R183" s="5" t="s">
        <v>2440</v>
      </c>
      <c r="S183" s="5" t="s">
        <v>2430</v>
      </c>
      <c r="T183" s="5" t="s">
        <v>445</v>
      </c>
    </row>
    <row r="184" spans="3:20" ht="14">
      <c r="C184" s="5" t="s">
        <v>1857</v>
      </c>
      <c r="D184" s="5"/>
      <c r="F184" s="34" t="s">
        <v>293</v>
      </c>
      <c r="G184" s="88" t="s">
        <v>294</v>
      </c>
      <c r="H184" s="88"/>
      <c r="I184" s="307">
        <v>1124000</v>
      </c>
      <c r="J184" s="6">
        <v>800</v>
      </c>
      <c r="K184" s="6">
        <v>1405</v>
      </c>
      <c r="L184" s="62" t="s">
        <v>2405</v>
      </c>
      <c r="M184" s="62" t="s">
        <v>452</v>
      </c>
      <c r="N184" s="62" t="s">
        <v>464</v>
      </c>
      <c r="O184" s="100" t="s">
        <v>2423</v>
      </c>
      <c r="P184" s="5" t="s">
        <v>2407</v>
      </c>
      <c r="Q184" s="34" t="s">
        <v>2424</v>
      </c>
      <c r="R184" s="5" t="s">
        <v>2441</v>
      </c>
      <c r="S184" s="5" t="s">
        <v>2426</v>
      </c>
      <c r="T184" s="5" t="s">
        <v>445</v>
      </c>
    </row>
    <row r="185" spans="3:20" ht="14">
      <c r="C185" s="5" t="s">
        <v>1857</v>
      </c>
      <c r="D185" s="5"/>
      <c r="F185" s="34" t="s">
        <v>293</v>
      </c>
      <c r="G185" s="88" t="s">
        <v>294</v>
      </c>
      <c r="H185" s="88"/>
      <c r="I185" s="307">
        <v>-39340</v>
      </c>
      <c r="J185" s="6">
        <v>-28</v>
      </c>
      <c r="K185" s="6">
        <v>1405</v>
      </c>
      <c r="L185" s="62" t="s">
        <v>2405</v>
      </c>
      <c r="M185" s="62" t="s">
        <v>452</v>
      </c>
      <c r="N185" s="62" t="s">
        <v>464</v>
      </c>
      <c r="O185" s="100" t="s">
        <v>2427</v>
      </c>
      <c r="P185" s="5" t="s">
        <v>2407</v>
      </c>
      <c r="Q185" s="34" t="s">
        <v>2428</v>
      </c>
      <c r="R185" s="5" t="s">
        <v>2442</v>
      </c>
      <c r="S185" s="5" t="s">
        <v>2430</v>
      </c>
      <c r="T185" s="5" t="s">
        <v>445</v>
      </c>
    </row>
    <row r="186" spans="3:20" ht="14">
      <c r="C186" s="5" t="s">
        <v>1857</v>
      </c>
      <c r="D186" s="5"/>
      <c r="F186" s="34" t="s">
        <v>293</v>
      </c>
      <c r="G186" s="88" t="s">
        <v>294</v>
      </c>
      <c r="H186" s="88"/>
      <c r="I186" s="307">
        <v>1331237.5</v>
      </c>
      <c r="J186" s="6">
        <v>947.5</v>
      </c>
      <c r="K186" s="6">
        <v>1405</v>
      </c>
      <c r="L186" s="62" t="s">
        <v>2405</v>
      </c>
      <c r="M186" s="62" t="s">
        <v>452</v>
      </c>
      <c r="N186" s="62" t="s">
        <v>464</v>
      </c>
      <c r="O186" s="100" t="s">
        <v>2423</v>
      </c>
      <c r="P186" s="5" t="s">
        <v>2407</v>
      </c>
      <c r="Q186" s="34" t="s">
        <v>2424</v>
      </c>
      <c r="R186" s="5" t="s">
        <v>2443</v>
      </c>
      <c r="S186" s="5" t="s">
        <v>2426</v>
      </c>
      <c r="T186" s="5" t="s">
        <v>445</v>
      </c>
    </row>
    <row r="187" spans="3:20" ht="14">
      <c r="C187" s="5" t="s">
        <v>1857</v>
      </c>
      <c r="D187" s="5"/>
      <c r="F187" s="34" t="s">
        <v>293</v>
      </c>
      <c r="G187" s="88" t="s">
        <v>294</v>
      </c>
      <c r="H187" s="88"/>
      <c r="I187" s="307">
        <v>-46589.8</v>
      </c>
      <c r="J187" s="6">
        <v>-33.159999999999997</v>
      </c>
      <c r="K187" s="6">
        <v>1405</v>
      </c>
      <c r="L187" s="62" t="s">
        <v>2405</v>
      </c>
      <c r="M187" s="62" t="s">
        <v>452</v>
      </c>
      <c r="N187" s="62" t="s">
        <v>464</v>
      </c>
      <c r="O187" s="100" t="s">
        <v>2427</v>
      </c>
      <c r="P187" s="5" t="s">
        <v>2407</v>
      </c>
      <c r="Q187" s="34" t="s">
        <v>2428</v>
      </c>
      <c r="R187" s="5" t="s">
        <v>2444</v>
      </c>
      <c r="S187" s="5" t="s">
        <v>2430</v>
      </c>
      <c r="T187" s="5" t="s">
        <v>445</v>
      </c>
    </row>
    <row r="188" spans="3:20" ht="14">
      <c r="C188" s="5" t="s">
        <v>1857</v>
      </c>
      <c r="D188" s="5"/>
      <c r="F188" s="34" t="s">
        <v>293</v>
      </c>
      <c r="G188" s="88" t="s">
        <v>294</v>
      </c>
      <c r="H188" s="88"/>
      <c r="I188" s="307">
        <v>24587.5</v>
      </c>
      <c r="J188" s="6">
        <v>17.5</v>
      </c>
      <c r="K188" s="6">
        <v>1405</v>
      </c>
      <c r="L188" s="62" t="s">
        <v>2405</v>
      </c>
      <c r="M188" s="62" t="s">
        <v>452</v>
      </c>
      <c r="N188" s="62" t="s">
        <v>464</v>
      </c>
      <c r="O188" s="100" t="s">
        <v>2445</v>
      </c>
      <c r="P188" s="5" t="s">
        <v>2407</v>
      </c>
      <c r="Q188" s="34" t="s">
        <v>2446</v>
      </c>
      <c r="R188" s="5" t="s">
        <v>2447</v>
      </c>
      <c r="S188" s="5" t="s">
        <v>2448</v>
      </c>
      <c r="T188" s="5" t="s">
        <v>445</v>
      </c>
    </row>
    <row r="189" spans="3:20" ht="14">
      <c r="C189" s="5" t="s">
        <v>1857</v>
      </c>
      <c r="D189" s="5"/>
      <c r="F189" s="34" t="s">
        <v>293</v>
      </c>
      <c r="G189" s="88" t="s">
        <v>294</v>
      </c>
      <c r="H189" s="88"/>
      <c r="I189" s="307">
        <v>-25444.55</v>
      </c>
      <c r="J189" s="6">
        <v>-18.11</v>
      </c>
      <c r="K189" s="6">
        <v>1405</v>
      </c>
      <c r="L189" s="62" t="s">
        <v>2405</v>
      </c>
      <c r="M189" s="62" t="s">
        <v>452</v>
      </c>
      <c r="N189" s="62" t="s">
        <v>464</v>
      </c>
      <c r="O189" s="100" t="s">
        <v>2427</v>
      </c>
      <c r="P189" s="5" t="s">
        <v>2407</v>
      </c>
      <c r="Q189" s="34" t="s">
        <v>2428</v>
      </c>
      <c r="R189" s="5" t="s">
        <v>2449</v>
      </c>
      <c r="S189" s="5" t="s">
        <v>2430</v>
      </c>
      <c r="T189" s="5" t="s">
        <v>445</v>
      </c>
    </row>
    <row r="190" spans="3:20" ht="14">
      <c r="C190" s="5" t="s">
        <v>1857</v>
      </c>
      <c r="D190" s="5"/>
      <c r="F190" s="34" t="s">
        <v>293</v>
      </c>
      <c r="G190" s="88" t="s">
        <v>294</v>
      </c>
      <c r="H190" s="88"/>
      <c r="I190" s="307">
        <v>-1334750</v>
      </c>
      <c r="J190" s="6">
        <v>-950</v>
      </c>
      <c r="K190" s="6">
        <v>1405</v>
      </c>
      <c r="L190" s="62" t="s">
        <v>2405</v>
      </c>
      <c r="M190" s="62" t="s">
        <v>452</v>
      </c>
      <c r="N190" s="62" t="s">
        <v>464</v>
      </c>
      <c r="O190" s="100" t="s">
        <v>2411</v>
      </c>
      <c r="P190" s="5" t="s">
        <v>2407</v>
      </c>
      <c r="Q190" s="34" t="s">
        <v>2412</v>
      </c>
      <c r="R190" s="5" t="s">
        <v>2450</v>
      </c>
      <c r="S190" s="5" t="s">
        <v>2414</v>
      </c>
      <c r="T190" s="5" t="s">
        <v>445</v>
      </c>
    </row>
    <row r="191" spans="3:20" ht="14">
      <c r="C191" s="5" t="s">
        <v>1857</v>
      </c>
      <c r="D191" s="5"/>
      <c r="F191" s="34" t="s">
        <v>293</v>
      </c>
      <c r="G191" s="88" t="s">
        <v>294</v>
      </c>
      <c r="H191" s="88"/>
      <c r="I191" s="307">
        <v>8851.5</v>
      </c>
      <c r="J191" s="6">
        <v>6.3</v>
      </c>
      <c r="K191" s="6">
        <v>1405</v>
      </c>
      <c r="L191" s="62" t="s">
        <v>2405</v>
      </c>
      <c r="M191" s="62" t="s">
        <v>452</v>
      </c>
      <c r="N191" s="62" t="s">
        <v>464</v>
      </c>
      <c r="O191" s="100" t="s">
        <v>2445</v>
      </c>
      <c r="P191" s="5" t="s">
        <v>2407</v>
      </c>
      <c r="Q191" s="34" t="s">
        <v>2446</v>
      </c>
      <c r="R191" s="5" t="s">
        <v>2451</v>
      </c>
      <c r="S191" s="5" t="s">
        <v>2448</v>
      </c>
      <c r="T191" s="5" t="s">
        <v>445</v>
      </c>
    </row>
    <row r="192" spans="3:20" ht="14">
      <c r="C192" s="5" t="s">
        <v>1857</v>
      </c>
      <c r="D192" s="5"/>
      <c r="F192" s="34" t="s">
        <v>293</v>
      </c>
      <c r="G192" s="88" t="s">
        <v>294</v>
      </c>
      <c r="H192" s="88"/>
      <c r="I192" s="307">
        <v>-9160.6</v>
      </c>
      <c r="J192" s="6">
        <v>-6.52</v>
      </c>
      <c r="K192" s="6">
        <v>1405</v>
      </c>
      <c r="L192" s="62" t="s">
        <v>2405</v>
      </c>
      <c r="M192" s="62" t="s">
        <v>452</v>
      </c>
      <c r="N192" s="62" t="s">
        <v>464</v>
      </c>
      <c r="O192" s="100" t="s">
        <v>2427</v>
      </c>
      <c r="P192" s="5" t="s">
        <v>2407</v>
      </c>
      <c r="Q192" s="34" t="s">
        <v>2428</v>
      </c>
      <c r="R192" s="5" t="s">
        <v>2452</v>
      </c>
      <c r="S192" s="5" t="s">
        <v>2430</v>
      </c>
      <c r="T192" s="5" t="s">
        <v>445</v>
      </c>
    </row>
    <row r="193" spans="3:20" ht="14">
      <c r="C193" s="5" t="s">
        <v>1857</v>
      </c>
      <c r="D193" s="5"/>
      <c r="F193" s="34" t="s">
        <v>293</v>
      </c>
      <c r="G193" s="88" t="s">
        <v>294</v>
      </c>
      <c r="H193" s="88"/>
      <c r="I193" s="307">
        <v>1482275</v>
      </c>
      <c r="J193" s="6">
        <v>1055</v>
      </c>
      <c r="K193" s="6">
        <v>1405</v>
      </c>
      <c r="L193" s="62" t="s">
        <v>2418</v>
      </c>
      <c r="M193" s="62" t="s">
        <v>452</v>
      </c>
      <c r="N193" s="62" t="s">
        <v>464</v>
      </c>
      <c r="O193" s="100" t="s">
        <v>2419</v>
      </c>
      <c r="P193" s="5" t="s">
        <v>2407</v>
      </c>
      <c r="Q193" s="34" t="s">
        <v>2420</v>
      </c>
      <c r="R193" s="5" t="s">
        <v>2453</v>
      </c>
      <c r="S193" s="5" t="s">
        <v>2422</v>
      </c>
      <c r="T193" s="5" t="s">
        <v>445</v>
      </c>
    </row>
    <row r="194" spans="3:20" ht="14">
      <c r="C194" s="5" t="s">
        <v>1857</v>
      </c>
      <c r="D194" s="5"/>
      <c r="F194" s="34" t="s">
        <v>293</v>
      </c>
      <c r="G194" s="88" t="s">
        <v>294</v>
      </c>
      <c r="H194" s="88"/>
      <c r="I194" s="307">
        <v>-2810000</v>
      </c>
      <c r="J194" s="6">
        <v>-2000</v>
      </c>
      <c r="K194" s="6">
        <v>1405</v>
      </c>
      <c r="L194" s="62" t="s">
        <v>2405</v>
      </c>
      <c r="M194" s="62" t="s">
        <v>452</v>
      </c>
      <c r="N194" s="62" t="s">
        <v>464</v>
      </c>
      <c r="O194" s="100" t="s">
        <v>2411</v>
      </c>
      <c r="P194" s="5" t="s">
        <v>2407</v>
      </c>
      <c r="Q194" s="34" t="s">
        <v>2412</v>
      </c>
      <c r="R194" s="5" t="s">
        <v>2559</v>
      </c>
      <c r="S194" s="5" t="s">
        <v>2414</v>
      </c>
      <c r="T194" s="5" t="s">
        <v>445</v>
      </c>
    </row>
    <row r="195" spans="3:20" ht="14">
      <c r="C195" s="5" t="s">
        <v>1857</v>
      </c>
      <c r="D195" s="5"/>
      <c r="F195" s="34" t="s">
        <v>293</v>
      </c>
      <c r="G195" s="88" t="s">
        <v>294</v>
      </c>
      <c r="H195" s="88"/>
      <c r="I195" s="307">
        <v>-421500</v>
      </c>
      <c r="J195" s="6">
        <v>-300</v>
      </c>
      <c r="K195" s="6">
        <v>1405</v>
      </c>
      <c r="L195" s="62" t="s">
        <v>2405</v>
      </c>
      <c r="M195" s="62" t="s">
        <v>452</v>
      </c>
      <c r="N195" s="62" t="s">
        <v>464</v>
      </c>
      <c r="O195" s="100" t="s">
        <v>2427</v>
      </c>
      <c r="P195" s="5" t="s">
        <v>2407</v>
      </c>
      <c r="Q195" s="34" t="s">
        <v>2428</v>
      </c>
      <c r="R195" s="5" t="s">
        <v>2560</v>
      </c>
      <c r="S195" s="5" t="s">
        <v>2430</v>
      </c>
      <c r="T195" s="5" t="s">
        <v>445</v>
      </c>
    </row>
    <row r="196" spans="3:20" ht="14">
      <c r="C196" s="5" t="s">
        <v>1857</v>
      </c>
      <c r="D196" s="5"/>
      <c r="F196" s="34" t="s">
        <v>293</v>
      </c>
      <c r="G196" s="88" t="s">
        <v>294</v>
      </c>
      <c r="H196" s="88"/>
      <c r="I196" s="307">
        <v>-58251.3</v>
      </c>
      <c r="J196" s="6">
        <v>-41.46</v>
      </c>
      <c r="K196" s="6">
        <v>1405</v>
      </c>
      <c r="L196" s="62" t="s">
        <v>2405</v>
      </c>
      <c r="M196" s="62" t="s">
        <v>452</v>
      </c>
      <c r="N196" s="62" t="s">
        <v>464</v>
      </c>
      <c r="O196" s="100" t="s">
        <v>2427</v>
      </c>
      <c r="P196" s="5" t="s">
        <v>2407</v>
      </c>
      <c r="Q196" s="34" t="s">
        <v>2428</v>
      </c>
      <c r="R196" s="5" t="s">
        <v>2561</v>
      </c>
      <c r="S196" s="5" t="s">
        <v>2430</v>
      </c>
      <c r="T196" s="5" t="s">
        <v>445</v>
      </c>
    </row>
    <row r="197" spans="3:20" ht="14">
      <c r="C197" s="5" t="s">
        <v>1857</v>
      </c>
      <c r="D197" s="5"/>
      <c r="F197" s="34" t="s">
        <v>293</v>
      </c>
      <c r="G197" s="88" t="s">
        <v>294</v>
      </c>
      <c r="H197" s="88"/>
      <c r="I197" s="307">
        <v>-5072.05</v>
      </c>
      <c r="J197" s="6">
        <v>-3.61</v>
      </c>
      <c r="K197" s="6">
        <v>1405</v>
      </c>
      <c r="L197" s="62" t="s">
        <v>2405</v>
      </c>
      <c r="M197" s="62" t="s">
        <v>452</v>
      </c>
      <c r="N197" s="62" t="s">
        <v>464</v>
      </c>
      <c r="O197" s="100" t="s">
        <v>2427</v>
      </c>
      <c r="P197" s="5" t="s">
        <v>2407</v>
      </c>
      <c r="Q197" s="34" t="s">
        <v>2428</v>
      </c>
      <c r="R197" s="5" t="s">
        <v>2562</v>
      </c>
      <c r="S197" s="5" t="s">
        <v>2430</v>
      </c>
      <c r="T197" s="5" t="s">
        <v>445</v>
      </c>
    </row>
    <row r="198" spans="3:20" ht="14">
      <c r="C198" s="5" t="s">
        <v>1857</v>
      </c>
      <c r="D198" s="5"/>
      <c r="F198" s="34" t="s">
        <v>293</v>
      </c>
      <c r="G198" s="88" t="s">
        <v>294</v>
      </c>
      <c r="H198" s="88"/>
      <c r="I198" s="307">
        <v>-5198500</v>
      </c>
      <c r="J198" s="6">
        <v>-3700</v>
      </c>
      <c r="K198" s="6">
        <v>1405</v>
      </c>
      <c r="L198" s="62" t="s">
        <v>2571</v>
      </c>
      <c r="M198" s="62" t="s">
        <v>452</v>
      </c>
      <c r="N198" s="62" t="s">
        <v>464</v>
      </c>
      <c r="O198" s="100" t="s">
        <v>2576</v>
      </c>
      <c r="P198" s="5" t="s">
        <v>2407</v>
      </c>
      <c r="Q198" s="34" t="s">
        <v>2577</v>
      </c>
      <c r="R198" s="5" t="s">
        <v>2578</v>
      </c>
      <c r="S198" s="5" t="s">
        <v>2579</v>
      </c>
      <c r="T198" s="5" t="s">
        <v>445</v>
      </c>
    </row>
    <row r="199" spans="3:20" ht="14">
      <c r="C199" s="5" t="s">
        <v>1857</v>
      </c>
      <c r="D199" s="5"/>
      <c r="F199" s="34" t="s">
        <v>293</v>
      </c>
      <c r="G199" s="88" t="s">
        <v>294</v>
      </c>
      <c r="H199" s="88"/>
      <c r="I199" s="307">
        <v>-12504500</v>
      </c>
      <c r="J199" s="6">
        <v>-8900</v>
      </c>
      <c r="K199" s="6">
        <v>1405</v>
      </c>
      <c r="L199" s="62" t="s">
        <v>2418</v>
      </c>
      <c r="M199" s="62" t="s">
        <v>452</v>
      </c>
      <c r="N199" s="62" t="s">
        <v>464</v>
      </c>
      <c r="O199" s="100" t="s">
        <v>2580</v>
      </c>
      <c r="P199" s="5" t="s">
        <v>2407</v>
      </c>
      <c r="Q199" s="34" t="s">
        <v>2581</v>
      </c>
      <c r="R199" s="5" t="s">
        <v>2582</v>
      </c>
      <c r="S199" s="5" t="s">
        <v>2583</v>
      </c>
      <c r="T199" s="5" t="s">
        <v>445</v>
      </c>
    </row>
    <row r="200" spans="3:20" ht="14">
      <c r="C200" s="5" t="s">
        <v>1857</v>
      </c>
      <c r="D200" s="5"/>
      <c r="F200" s="34" t="s">
        <v>293</v>
      </c>
      <c r="G200" s="88" t="s">
        <v>294</v>
      </c>
      <c r="H200" s="88"/>
      <c r="I200" s="307">
        <v>-4699725</v>
      </c>
      <c r="J200" s="6">
        <v>-3345</v>
      </c>
      <c r="K200" s="6">
        <v>1405</v>
      </c>
      <c r="L200" s="62" t="s">
        <v>2595</v>
      </c>
      <c r="M200" s="62" t="s">
        <v>452</v>
      </c>
      <c r="N200" s="62" t="s">
        <v>464</v>
      </c>
      <c r="O200" s="100" t="s">
        <v>2604</v>
      </c>
      <c r="P200" s="5" t="s">
        <v>2407</v>
      </c>
      <c r="Q200" s="34" t="s">
        <v>2605</v>
      </c>
      <c r="R200" s="5" t="s">
        <v>2606</v>
      </c>
      <c r="S200" s="5" t="s">
        <v>2607</v>
      </c>
      <c r="T200" s="5" t="s">
        <v>445</v>
      </c>
    </row>
    <row r="201" spans="3:20" ht="14">
      <c r="C201" s="5" t="s">
        <v>1857</v>
      </c>
      <c r="D201" s="5"/>
      <c r="F201" s="34" t="s">
        <v>293</v>
      </c>
      <c r="G201" s="88" t="s">
        <v>294</v>
      </c>
      <c r="H201" s="88"/>
      <c r="I201" s="307">
        <v>-140949.6</v>
      </c>
      <c r="J201" s="6">
        <v>-100.32</v>
      </c>
      <c r="K201" s="6">
        <v>1405</v>
      </c>
      <c r="L201" s="62" t="s">
        <v>2405</v>
      </c>
      <c r="M201" s="62" t="s">
        <v>452</v>
      </c>
      <c r="N201" s="62" t="s">
        <v>464</v>
      </c>
      <c r="O201" s="100" t="s">
        <v>2427</v>
      </c>
      <c r="P201" s="5" t="s">
        <v>2407</v>
      </c>
      <c r="Q201" s="34" t="s">
        <v>2428</v>
      </c>
      <c r="R201" s="5" t="s">
        <v>2610</v>
      </c>
      <c r="S201" s="5" t="s">
        <v>2430</v>
      </c>
      <c r="T201" s="5" t="s">
        <v>445</v>
      </c>
    </row>
    <row r="202" spans="3:20" ht="14">
      <c r="C202" s="5" t="s">
        <v>1857</v>
      </c>
      <c r="D202" s="5"/>
      <c r="F202" s="34" t="s">
        <v>293</v>
      </c>
      <c r="G202" s="88" t="s">
        <v>294</v>
      </c>
      <c r="H202" s="88"/>
      <c r="I202" s="307">
        <v>702500</v>
      </c>
      <c r="J202" s="6">
        <v>500</v>
      </c>
      <c r="K202" s="6">
        <v>1405</v>
      </c>
      <c r="L202" s="62" t="s">
        <v>2405</v>
      </c>
      <c r="M202" s="62" t="s">
        <v>1416</v>
      </c>
      <c r="N202" s="62" t="s">
        <v>464</v>
      </c>
      <c r="O202" s="100" t="s">
        <v>2628</v>
      </c>
      <c r="P202" s="5" t="s">
        <v>2625</v>
      </c>
      <c r="Q202" s="34" t="s">
        <v>2629</v>
      </c>
      <c r="R202" s="5" t="s">
        <v>2629</v>
      </c>
      <c r="S202" s="5" t="s">
        <v>2630</v>
      </c>
      <c r="T202" s="5" t="s">
        <v>445</v>
      </c>
    </row>
    <row r="203" spans="3:20" ht="14">
      <c r="C203" s="5" t="s">
        <v>1857</v>
      </c>
      <c r="D203" s="5"/>
      <c r="F203" s="34" t="s">
        <v>293</v>
      </c>
      <c r="G203" s="88" t="s">
        <v>294</v>
      </c>
      <c r="H203" s="88"/>
      <c r="I203" s="307">
        <v>252900</v>
      </c>
      <c r="J203" s="6">
        <v>180</v>
      </c>
      <c r="K203" s="6">
        <v>1405</v>
      </c>
      <c r="L203" s="62" t="s">
        <v>2405</v>
      </c>
      <c r="M203" s="62" t="s">
        <v>1416</v>
      </c>
      <c r="N203" s="62" t="s">
        <v>464</v>
      </c>
      <c r="O203" s="100" t="s">
        <v>2631</v>
      </c>
      <c r="P203" s="5" t="s">
        <v>2625</v>
      </c>
      <c r="Q203" s="34" t="s">
        <v>2632</v>
      </c>
      <c r="R203" s="5" t="s">
        <v>2632</v>
      </c>
      <c r="S203" s="5" t="s">
        <v>2633</v>
      </c>
      <c r="T203" s="5" t="s">
        <v>445</v>
      </c>
    </row>
    <row r="204" spans="3:20" ht="14">
      <c r="C204" s="5" t="s">
        <v>1857</v>
      </c>
      <c r="D204" s="5"/>
      <c r="F204" s="34" t="s">
        <v>295</v>
      </c>
      <c r="G204" s="88" t="s">
        <v>296</v>
      </c>
      <c r="H204" s="88"/>
      <c r="I204" s="307">
        <v>-17200</v>
      </c>
      <c r="J204" s="6">
        <v>-12.2419928825623</v>
      </c>
      <c r="K204" s="6">
        <v>1405</v>
      </c>
      <c r="L204" s="62" t="s">
        <v>2454</v>
      </c>
      <c r="M204" s="62" t="s">
        <v>452</v>
      </c>
      <c r="N204" s="62" t="s">
        <v>464</v>
      </c>
      <c r="O204" s="100" t="s">
        <v>2455</v>
      </c>
      <c r="P204" s="5" t="s">
        <v>2407</v>
      </c>
      <c r="Q204" s="34" t="s">
        <v>2456</v>
      </c>
      <c r="R204" s="5" t="s">
        <v>2457</v>
      </c>
      <c r="S204" s="5" t="s">
        <v>2458</v>
      </c>
      <c r="T204" s="5" t="s">
        <v>445</v>
      </c>
    </row>
    <row r="205" spans="3:20" ht="14">
      <c r="C205" s="5" t="s">
        <v>1857</v>
      </c>
      <c r="D205" s="5"/>
      <c r="F205" s="34" t="s">
        <v>295</v>
      </c>
      <c r="G205" s="88" t="s">
        <v>296</v>
      </c>
      <c r="H205" s="88"/>
      <c r="I205" s="307">
        <v>-126000</v>
      </c>
      <c r="J205" s="6">
        <v>-89.679715302491104</v>
      </c>
      <c r="K205" s="6">
        <v>1405</v>
      </c>
      <c r="L205" s="62" t="s">
        <v>2454</v>
      </c>
      <c r="M205" s="62" t="s">
        <v>452</v>
      </c>
      <c r="N205" s="62" t="s">
        <v>464</v>
      </c>
      <c r="O205" s="100" t="s">
        <v>2455</v>
      </c>
      <c r="P205" s="5" t="s">
        <v>2407</v>
      </c>
      <c r="Q205" s="34" t="s">
        <v>2456</v>
      </c>
      <c r="R205" s="5" t="s">
        <v>2459</v>
      </c>
      <c r="S205" s="5" t="s">
        <v>2458</v>
      </c>
      <c r="T205" s="5" t="s">
        <v>445</v>
      </c>
    </row>
    <row r="206" spans="3:20" ht="14">
      <c r="C206" s="5" t="s">
        <v>1857</v>
      </c>
      <c r="D206" s="5"/>
      <c r="F206" s="34" t="s">
        <v>295</v>
      </c>
      <c r="G206" s="88" t="s">
        <v>296</v>
      </c>
      <c r="H206" s="88"/>
      <c r="I206" s="307">
        <v>-189000</v>
      </c>
      <c r="J206" s="6">
        <v>-134.519572953737</v>
      </c>
      <c r="K206" s="6">
        <v>1405</v>
      </c>
      <c r="L206" s="62" t="s">
        <v>2460</v>
      </c>
      <c r="M206" s="62" t="s">
        <v>452</v>
      </c>
      <c r="N206" s="62" t="s">
        <v>464</v>
      </c>
      <c r="O206" s="100" t="s">
        <v>2461</v>
      </c>
      <c r="P206" s="5" t="s">
        <v>2407</v>
      </c>
      <c r="Q206" s="34" t="s">
        <v>2462</v>
      </c>
      <c r="R206" s="5" t="s">
        <v>1962</v>
      </c>
      <c r="S206" s="5" t="s">
        <v>2463</v>
      </c>
      <c r="T206" s="5" t="s">
        <v>445</v>
      </c>
    </row>
    <row r="207" spans="3:20" ht="14">
      <c r="C207" s="5" t="s">
        <v>1857</v>
      </c>
      <c r="D207" s="5"/>
      <c r="F207" s="34" t="s">
        <v>295</v>
      </c>
      <c r="G207" s="88" t="s">
        <v>296</v>
      </c>
      <c r="H207" s="88"/>
      <c r="I207" s="307">
        <v>-12500</v>
      </c>
      <c r="J207" s="6">
        <v>-8.8967971530249095</v>
      </c>
      <c r="K207" s="6">
        <v>1405</v>
      </c>
      <c r="L207" s="62" t="s">
        <v>2405</v>
      </c>
      <c r="M207" s="62" t="s">
        <v>452</v>
      </c>
      <c r="N207" s="62" t="s">
        <v>464</v>
      </c>
      <c r="O207" s="100" t="s">
        <v>2464</v>
      </c>
      <c r="P207" s="5" t="s">
        <v>2407</v>
      </c>
      <c r="Q207" s="34" t="s">
        <v>2465</v>
      </c>
      <c r="R207" s="5" t="s">
        <v>2466</v>
      </c>
      <c r="S207" s="5" t="s">
        <v>2467</v>
      </c>
      <c r="T207" s="5" t="s">
        <v>445</v>
      </c>
    </row>
    <row r="208" spans="3:20" ht="14">
      <c r="C208" s="5" t="s">
        <v>1857</v>
      </c>
      <c r="D208" s="5"/>
      <c r="F208" s="34" t="s">
        <v>295</v>
      </c>
      <c r="G208" s="88" t="s">
        <v>296</v>
      </c>
      <c r="H208" s="88"/>
      <c r="I208" s="307">
        <v>-60000</v>
      </c>
      <c r="J208" s="6">
        <v>-42.704626334519602</v>
      </c>
      <c r="K208" s="6">
        <v>1405</v>
      </c>
      <c r="L208" s="62" t="s">
        <v>2405</v>
      </c>
      <c r="M208" s="62" t="s">
        <v>452</v>
      </c>
      <c r="N208" s="62" t="s">
        <v>464</v>
      </c>
      <c r="O208" s="100" t="s">
        <v>2464</v>
      </c>
      <c r="P208" s="5" t="s">
        <v>2407</v>
      </c>
      <c r="Q208" s="34" t="s">
        <v>2465</v>
      </c>
      <c r="R208" s="5" t="s">
        <v>2468</v>
      </c>
      <c r="S208" s="5" t="s">
        <v>2467</v>
      </c>
      <c r="T208" s="5" t="s">
        <v>445</v>
      </c>
    </row>
    <row r="209" spans="3:20" ht="14">
      <c r="C209" s="5" t="s">
        <v>1857</v>
      </c>
      <c r="D209" s="5"/>
      <c r="F209" s="34" t="s">
        <v>295</v>
      </c>
      <c r="G209" s="88" t="s">
        <v>296</v>
      </c>
      <c r="H209" s="88"/>
      <c r="I209" s="307">
        <v>-35000</v>
      </c>
      <c r="J209" s="6">
        <v>-24.911032028469801</v>
      </c>
      <c r="K209" s="6">
        <v>1405</v>
      </c>
      <c r="L209" s="62" t="s">
        <v>2469</v>
      </c>
      <c r="M209" s="62" t="s">
        <v>452</v>
      </c>
      <c r="N209" s="62" t="s">
        <v>464</v>
      </c>
      <c r="O209" s="100" t="s">
        <v>2470</v>
      </c>
      <c r="P209" s="5" t="s">
        <v>2407</v>
      </c>
      <c r="Q209" s="34" t="s">
        <v>2471</v>
      </c>
      <c r="R209" s="5" t="s">
        <v>703</v>
      </c>
      <c r="S209" s="5" t="s">
        <v>2472</v>
      </c>
      <c r="T209" s="5" t="s">
        <v>445</v>
      </c>
    </row>
    <row r="210" spans="3:20" ht="14">
      <c r="C210" s="5" t="s">
        <v>1857</v>
      </c>
      <c r="D210" s="5"/>
      <c r="F210" s="34" t="s">
        <v>295</v>
      </c>
      <c r="G210" s="88" t="s">
        <v>296</v>
      </c>
      <c r="H210" s="88"/>
      <c r="I210" s="307">
        <v>-41000</v>
      </c>
      <c r="J210" s="6">
        <v>-29.1814946619217</v>
      </c>
      <c r="K210" s="6">
        <v>1405</v>
      </c>
      <c r="L210" s="62" t="s">
        <v>2460</v>
      </c>
      <c r="M210" s="62" t="s">
        <v>452</v>
      </c>
      <c r="N210" s="62" t="s">
        <v>464</v>
      </c>
      <c r="O210" s="100" t="s">
        <v>2461</v>
      </c>
      <c r="P210" s="5" t="s">
        <v>2407</v>
      </c>
      <c r="Q210" s="34" t="s">
        <v>2462</v>
      </c>
      <c r="R210" s="5" t="s">
        <v>703</v>
      </c>
      <c r="S210" s="5" t="s">
        <v>2463</v>
      </c>
      <c r="T210" s="5" t="s">
        <v>445</v>
      </c>
    </row>
    <row r="211" spans="3:20" ht="14">
      <c r="C211" s="5" t="s">
        <v>1857</v>
      </c>
      <c r="D211" s="5"/>
      <c r="F211" s="34" t="s">
        <v>295</v>
      </c>
      <c r="G211" s="88" t="s">
        <v>296</v>
      </c>
      <c r="H211" s="88"/>
      <c r="I211" s="307">
        <v>-88000</v>
      </c>
      <c r="J211" s="6">
        <v>-62.633451957295399</v>
      </c>
      <c r="K211" s="6">
        <v>1405</v>
      </c>
      <c r="L211" s="62" t="s">
        <v>2454</v>
      </c>
      <c r="M211" s="62" t="s">
        <v>452</v>
      </c>
      <c r="N211" s="62" t="s">
        <v>464</v>
      </c>
      <c r="O211" s="100" t="s">
        <v>2455</v>
      </c>
      <c r="P211" s="5" t="s">
        <v>2407</v>
      </c>
      <c r="Q211" s="34" t="s">
        <v>2456</v>
      </c>
      <c r="R211" s="5" t="s">
        <v>2473</v>
      </c>
      <c r="S211" s="5" t="s">
        <v>2458</v>
      </c>
      <c r="T211" s="5" t="s">
        <v>445</v>
      </c>
    </row>
    <row r="212" spans="3:20" ht="14">
      <c r="C212" s="5" t="s">
        <v>1857</v>
      </c>
      <c r="D212" s="5"/>
      <c r="F212" s="34" t="s">
        <v>295</v>
      </c>
      <c r="G212" s="88" t="s">
        <v>296</v>
      </c>
      <c r="H212" s="88"/>
      <c r="I212" s="307">
        <v>-30000</v>
      </c>
      <c r="J212" s="6">
        <v>-21.352313167259801</v>
      </c>
      <c r="K212" s="6">
        <v>1405</v>
      </c>
      <c r="L212" s="62" t="s">
        <v>2469</v>
      </c>
      <c r="M212" s="62" t="s">
        <v>452</v>
      </c>
      <c r="N212" s="62" t="s">
        <v>464</v>
      </c>
      <c r="O212" s="100" t="s">
        <v>2470</v>
      </c>
      <c r="P212" s="5" t="s">
        <v>2407</v>
      </c>
      <c r="Q212" s="34" t="s">
        <v>2471</v>
      </c>
      <c r="R212" s="5" t="s">
        <v>2474</v>
      </c>
      <c r="S212" s="5" t="s">
        <v>2472</v>
      </c>
      <c r="T212" s="5" t="s">
        <v>445</v>
      </c>
    </row>
    <row r="213" spans="3:20" ht="14">
      <c r="C213" s="5" t="s">
        <v>1857</v>
      </c>
      <c r="D213" s="5"/>
      <c r="F213" s="34" t="s">
        <v>295</v>
      </c>
      <c r="G213" s="88" t="s">
        <v>296</v>
      </c>
      <c r="H213" s="88"/>
      <c r="I213" s="307">
        <v>-5000</v>
      </c>
      <c r="J213" s="6">
        <v>-3.5587188612099601</v>
      </c>
      <c r="K213" s="6">
        <v>1405</v>
      </c>
      <c r="L213" s="62" t="s">
        <v>2454</v>
      </c>
      <c r="M213" s="62" t="s">
        <v>452</v>
      </c>
      <c r="N213" s="62" t="s">
        <v>464</v>
      </c>
      <c r="O213" s="100" t="s">
        <v>2455</v>
      </c>
      <c r="P213" s="5" t="s">
        <v>2407</v>
      </c>
      <c r="Q213" s="34" t="s">
        <v>2456</v>
      </c>
      <c r="R213" s="5" t="s">
        <v>2475</v>
      </c>
      <c r="S213" s="5" t="s">
        <v>2458</v>
      </c>
      <c r="T213" s="5" t="s">
        <v>445</v>
      </c>
    </row>
    <row r="214" spans="3:20" ht="14">
      <c r="C214" s="5" t="s">
        <v>1857</v>
      </c>
      <c r="D214" s="5"/>
      <c r="F214" s="34" t="s">
        <v>295</v>
      </c>
      <c r="G214" s="88" t="s">
        <v>296</v>
      </c>
      <c r="H214" s="88"/>
      <c r="I214" s="307">
        <v>-92852</v>
      </c>
      <c r="J214" s="6">
        <v>-66.086832740213495</v>
      </c>
      <c r="K214" s="6">
        <v>1405</v>
      </c>
      <c r="L214" s="62" t="s">
        <v>2454</v>
      </c>
      <c r="M214" s="62" t="s">
        <v>452</v>
      </c>
      <c r="N214" s="62" t="s">
        <v>464</v>
      </c>
      <c r="O214" s="100" t="s">
        <v>2455</v>
      </c>
      <c r="P214" s="5" t="s">
        <v>2407</v>
      </c>
      <c r="Q214" s="34" t="s">
        <v>2456</v>
      </c>
      <c r="R214" s="5" t="s">
        <v>2476</v>
      </c>
      <c r="S214" s="5" t="s">
        <v>2458</v>
      </c>
      <c r="T214" s="5" t="s">
        <v>445</v>
      </c>
    </row>
    <row r="215" spans="3:20" ht="14">
      <c r="C215" s="5" t="s">
        <v>1857</v>
      </c>
      <c r="D215" s="5"/>
      <c r="F215" s="34" t="s">
        <v>295</v>
      </c>
      <c r="G215" s="88" t="s">
        <v>296</v>
      </c>
      <c r="H215" s="88"/>
      <c r="I215" s="307">
        <v>-35000</v>
      </c>
      <c r="J215" s="6">
        <v>-24.911032028469801</v>
      </c>
      <c r="K215" s="6">
        <v>1405</v>
      </c>
      <c r="L215" s="62" t="s">
        <v>2454</v>
      </c>
      <c r="M215" s="62" t="s">
        <v>452</v>
      </c>
      <c r="N215" s="62" t="s">
        <v>464</v>
      </c>
      <c r="O215" s="100" t="s">
        <v>2455</v>
      </c>
      <c r="P215" s="5" t="s">
        <v>2407</v>
      </c>
      <c r="Q215" s="34" t="s">
        <v>2456</v>
      </c>
      <c r="R215" s="5" t="s">
        <v>837</v>
      </c>
      <c r="S215" s="5" t="s">
        <v>2458</v>
      </c>
      <c r="T215" s="5" t="s">
        <v>445</v>
      </c>
    </row>
    <row r="216" spans="3:20" ht="14">
      <c r="C216" s="5" t="s">
        <v>1857</v>
      </c>
      <c r="D216" s="5"/>
      <c r="F216" s="34" t="s">
        <v>295</v>
      </c>
      <c r="G216" s="88" t="s">
        <v>296</v>
      </c>
      <c r="H216" s="88"/>
      <c r="I216" s="307">
        <v>-52500</v>
      </c>
      <c r="J216" s="6">
        <v>-37.366548042704601</v>
      </c>
      <c r="K216" s="6">
        <v>1405</v>
      </c>
      <c r="L216" s="62" t="s">
        <v>2460</v>
      </c>
      <c r="M216" s="62" t="s">
        <v>452</v>
      </c>
      <c r="N216" s="62" t="s">
        <v>464</v>
      </c>
      <c r="O216" s="100" t="s">
        <v>2461</v>
      </c>
      <c r="P216" s="5" t="s">
        <v>2407</v>
      </c>
      <c r="Q216" s="34" t="s">
        <v>2462</v>
      </c>
      <c r="R216" s="5" t="s">
        <v>837</v>
      </c>
      <c r="S216" s="5" t="s">
        <v>2463</v>
      </c>
      <c r="T216" s="5" t="s">
        <v>445</v>
      </c>
    </row>
    <row r="217" spans="3:20" ht="14">
      <c r="C217" s="5" t="s">
        <v>1857</v>
      </c>
      <c r="D217" s="5"/>
      <c r="F217" s="34" t="s">
        <v>295</v>
      </c>
      <c r="G217" s="88" t="s">
        <v>296</v>
      </c>
      <c r="H217" s="88"/>
      <c r="I217" s="307">
        <v>-16000</v>
      </c>
      <c r="J217" s="6">
        <v>-11.387900355871899</v>
      </c>
      <c r="K217" s="6">
        <v>1405</v>
      </c>
      <c r="L217" s="62" t="s">
        <v>2469</v>
      </c>
      <c r="M217" s="62" t="s">
        <v>452</v>
      </c>
      <c r="N217" s="62" t="s">
        <v>464</v>
      </c>
      <c r="O217" s="100" t="s">
        <v>2470</v>
      </c>
      <c r="P217" s="5" t="s">
        <v>2407</v>
      </c>
      <c r="Q217" s="34" t="s">
        <v>2471</v>
      </c>
      <c r="R217" s="5" t="s">
        <v>2477</v>
      </c>
      <c r="S217" s="5" t="s">
        <v>2472</v>
      </c>
      <c r="T217" s="5" t="s">
        <v>445</v>
      </c>
    </row>
    <row r="218" spans="3:20" ht="14">
      <c r="C218" s="5" t="s">
        <v>1857</v>
      </c>
      <c r="D218" s="5"/>
      <c r="F218" s="34" t="s">
        <v>295</v>
      </c>
      <c r="G218" s="88" t="s">
        <v>296</v>
      </c>
      <c r="H218" s="88"/>
      <c r="I218" s="307">
        <v>-6500</v>
      </c>
      <c r="J218" s="6">
        <v>-4.6263345195729499</v>
      </c>
      <c r="K218" s="6">
        <v>1405</v>
      </c>
      <c r="L218" s="62" t="s">
        <v>2469</v>
      </c>
      <c r="M218" s="62" t="s">
        <v>452</v>
      </c>
      <c r="N218" s="62" t="s">
        <v>464</v>
      </c>
      <c r="O218" s="100" t="s">
        <v>2470</v>
      </c>
      <c r="P218" s="5" t="s">
        <v>2407</v>
      </c>
      <c r="Q218" s="34" t="s">
        <v>2471</v>
      </c>
      <c r="R218" s="5" t="s">
        <v>2478</v>
      </c>
      <c r="S218" s="5" t="s">
        <v>2472</v>
      </c>
      <c r="T218" s="5" t="s">
        <v>445</v>
      </c>
    </row>
    <row r="219" spans="3:20" ht="14">
      <c r="C219" s="5" t="s">
        <v>1857</v>
      </c>
      <c r="D219" s="5"/>
      <c r="F219" s="34" t="s">
        <v>295</v>
      </c>
      <c r="G219" s="88" t="s">
        <v>296</v>
      </c>
      <c r="H219" s="88"/>
      <c r="I219" s="307">
        <v>-14000</v>
      </c>
      <c r="J219" s="6">
        <v>-9.9644128113879002</v>
      </c>
      <c r="K219" s="6">
        <v>1405</v>
      </c>
      <c r="L219" s="62" t="s">
        <v>2460</v>
      </c>
      <c r="M219" s="62" t="s">
        <v>452</v>
      </c>
      <c r="N219" s="62" t="s">
        <v>464</v>
      </c>
      <c r="O219" s="100" t="s">
        <v>2461</v>
      </c>
      <c r="P219" s="5" t="s">
        <v>2407</v>
      </c>
      <c r="Q219" s="34" t="s">
        <v>2462</v>
      </c>
      <c r="R219" s="5" t="s">
        <v>2479</v>
      </c>
      <c r="S219" s="5" t="s">
        <v>2463</v>
      </c>
      <c r="T219" s="5" t="s">
        <v>445</v>
      </c>
    </row>
    <row r="220" spans="3:20" ht="14">
      <c r="C220" s="5" t="s">
        <v>1857</v>
      </c>
      <c r="D220" s="5"/>
      <c r="F220" s="34" t="s">
        <v>295</v>
      </c>
      <c r="G220" s="88" t="s">
        <v>296</v>
      </c>
      <c r="H220" s="88"/>
      <c r="I220" s="307">
        <v>-24600</v>
      </c>
      <c r="J220" s="6">
        <v>-17.508896797153</v>
      </c>
      <c r="K220" s="6">
        <v>1405</v>
      </c>
      <c r="L220" s="62" t="s">
        <v>2405</v>
      </c>
      <c r="M220" s="62" t="s">
        <v>452</v>
      </c>
      <c r="N220" s="62" t="s">
        <v>464</v>
      </c>
      <c r="O220" s="100" t="s">
        <v>2464</v>
      </c>
      <c r="P220" s="5" t="s">
        <v>2407</v>
      </c>
      <c r="Q220" s="34" t="s">
        <v>2465</v>
      </c>
      <c r="R220" s="5" t="s">
        <v>2480</v>
      </c>
      <c r="S220" s="5" t="s">
        <v>2467</v>
      </c>
      <c r="T220" s="5" t="s">
        <v>445</v>
      </c>
    </row>
    <row r="221" spans="3:20" ht="14">
      <c r="C221" s="5" t="s">
        <v>1857</v>
      </c>
      <c r="D221" s="5"/>
      <c r="F221" s="34" t="s">
        <v>295</v>
      </c>
      <c r="G221" s="88" t="s">
        <v>296</v>
      </c>
      <c r="H221" s="88"/>
      <c r="I221" s="307">
        <v>-35000</v>
      </c>
      <c r="J221" s="6">
        <v>-24.911032028469801</v>
      </c>
      <c r="K221" s="6">
        <v>1405</v>
      </c>
      <c r="L221" s="62" t="s">
        <v>2405</v>
      </c>
      <c r="M221" s="62" t="s">
        <v>452</v>
      </c>
      <c r="N221" s="62" t="s">
        <v>464</v>
      </c>
      <c r="O221" s="100" t="s">
        <v>2464</v>
      </c>
      <c r="P221" s="5" t="s">
        <v>2407</v>
      </c>
      <c r="Q221" s="34" t="s">
        <v>2465</v>
      </c>
      <c r="R221" s="5" t="s">
        <v>2481</v>
      </c>
      <c r="S221" s="5" t="s">
        <v>2467</v>
      </c>
      <c r="T221" s="5" t="s">
        <v>445</v>
      </c>
    </row>
    <row r="222" spans="3:20" ht="14">
      <c r="C222" s="5" t="s">
        <v>1857</v>
      </c>
      <c r="D222" s="5"/>
      <c r="F222" s="34" t="s">
        <v>295</v>
      </c>
      <c r="G222" s="88" t="s">
        <v>296</v>
      </c>
      <c r="H222" s="88"/>
      <c r="I222" s="307">
        <v>-39000</v>
      </c>
      <c r="J222" s="6">
        <v>-27.7580071174377</v>
      </c>
      <c r="K222" s="6">
        <v>1405</v>
      </c>
      <c r="L222" s="62" t="s">
        <v>2469</v>
      </c>
      <c r="M222" s="62" t="s">
        <v>452</v>
      </c>
      <c r="N222" s="62" t="s">
        <v>464</v>
      </c>
      <c r="O222" s="100" t="s">
        <v>2470</v>
      </c>
      <c r="P222" s="5" t="s">
        <v>2407</v>
      </c>
      <c r="Q222" s="34" t="s">
        <v>2471</v>
      </c>
      <c r="R222" s="5" t="s">
        <v>2482</v>
      </c>
      <c r="S222" s="5" t="s">
        <v>2472</v>
      </c>
      <c r="T222" s="5" t="s">
        <v>445</v>
      </c>
    </row>
    <row r="223" spans="3:20" ht="14">
      <c r="C223" s="5" t="s">
        <v>1857</v>
      </c>
      <c r="D223" s="5"/>
      <c r="F223" s="34" t="s">
        <v>295</v>
      </c>
      <c r="G223" s="88" t="s">
        <v>296</v>
      </c>
      <c r="H223" s="88"/>
      <c r="I223" s="307">
        <v>-18800</v>
      </c>
      <c r="J223" s="6">
        <v>-13.380782918149499</v>
      </c>
      <c r="K223" s="6">
        <v>1405</v>
      </c>
      <c r="L223" s="62" t="s">
        <v>2460</v>
      </c>
      <c r="M223" s="62" t="s">
        <v>452</v>
      </c>
      <c r="N223" s="62" t="s">
        <v>464</v>
      </c>
      <c r="O223" s="100" t="s">
        <v>2461</v>
      </c>
      <c r="P223" s="5" t="s">
        <v>2407</v>
      </c>
      <c r="Q223" s="34" t="s">
        <v>2462</v>
      </c>
      <c r="R223" s="5" t="s">
        <v>2227</v>
      </c>
      <c r="S223" s="5" t="s">
        <v>2463</v>
      </c>
      <c r="T223" s="5" t="s">
        <v>445</v>
      </c>
    </row>
    <row r="224" spans="3:20" ht="14">
      <c r="C224" s="5" t="s">
        <v>1857</v>
      </c>
      <c r="D224" s="5"/>
      <c r="F224" s="34" t="s">
        <v>295</v>
      </c>
      <c r="G224" s="88" t="s">
        <v>296</v>
      </c>
      <c r="H224" s="88"/>
      <c r="I224" s="307">
        <v>-43284</v>
      </c>
      <c r="J224" s="6">
        <v>-30.8071174377224</v>
      </c>
      <c r="K224" s="6">
        <v>1405</v>
      </c>
      <c r="L224" s="62" t="s">
        <v>2469</v>
      </c>
      <c r="M224" s="62" t="s">
        <v>452</v>
      </c>
      <c r="N224" s="62" t="s">
        <v>464</v>
      </c>
      <c r="O224" s="100" t="s">
        <v>2470</v>
      </c>
      <c r="P224" s="5" t="s">
        <v>2407</v>
      </c>
      <c r="Q224" s="34" t="s">
        <v>2471</v>
      </c>
      <c r="R224" s="5" t="s">
        <v>663</v>
      </c>
      <c r="S224" s="5" t="s">
        <v>2472</v>
      </c>
      <c r="T224" s="5" t="s">
        <v>445</v>
      </c>
    </row>
    <row r="225" spans="3:20" ht="14">
      <c r="C225" s="5" t="s">
        <v>1857</v>
      </c>
      <c r="D225" s="5"/>
      <c r="F225" s="34" t="s">
        <v>295</v>
      </c>
      <c r="G225" s="88" t="s">
        <v>296</v>
      </c>
      <c r="H225" s="88"/>
      <c r="I225" s="307">
        <v>-51000</v>
      </c>
      <c r="J225" s="6">
        <v>-36.298932384341597</v>
      </c>
      <c r="K225" s="6">
        <v>1405</v>
      </c>
      <c r="L225" s="62" t="s">
        <v>2405</v>
      </c>
      <c r="M225" s="62" t="s">
        <v>452</v>
      </c>
      <c r="N225" s="62" t="s">
        <v>464</v>
      </c>
      <c r="O225" s="100" t="s">
        <v>2464</v>
      </c>
      <c r="P225" s="5" t="s">
        <v>2407</v>
      </c>
      <c r="Q225" s="34" t="s">
        <v>2465</v>
      </c>
      <c r="R225" s="5" t="s">
        <v>2483</v>
      </c>
      <c r="S225" s="5" t="s">
        <v>2467</v>
      </c>
      <c r="T225" s="5" t="s">
        <v>445</v>
      </c>
    </row>
    <row r="226" spans="3:20" ht="14">
      <c r="C226" s="5" t="s">
        <v>1857</v>
      </c>
      <c r="D226" s="5"/>
      <c r="F226" s="34" t="s">
        <v>295</v>
      </c>
      <c r="G226" s="88" t="s">
        <v>296</v>
      </c>
      <c r="H226" s="88"/>
      <c r="I226" s="307">
        <v>-27500</v>
      </c>
      <c r="J226" s="6">
        <v>-19.572953736654799</v>
      </c>
      <c r="K226" s="6">
        <v>1405</v>
      </c>
      <c r="L226" s="62" t="s">
        <v>2469</v>
      </c>
      <c r="M226" s="62" t="s">
        <v>452</v>
      </c>
      <c r="N226" s="62" t="s">
        <v>464</v>
      </c>
      <c r="O226" s="100" t="s">
        <v>2470</v>
      </c>
      <c r="P226" s="5" t="s">
        <v>2407</v>
      </c>
      <c r="Q226" s="34" t="s">
        <v>2471</v>
      </c>
      <c r="R226" s="5" t="s">
        <v>2484</v>
      </c>
      <c r="S226" s="5" t="s">
        <v>2472</v>
      </c>
      <c r="T226" s="5" t="s">
        <v>445</v>
      </c>
    </row>
    <row r="227" spans="3:20" ht="14">
      <c r="C227" s="5" t="s">
        <v>1857</v>
      </c>
      <c r="D227" s="5"/>
      <c r="F227" s="34" t="s">
        <v>295</v>
      </c>
      <c r="G227" s="88" t="s">
        <v>296</v>
      </c>
      <c r="H227" s="88"/>
      <c r="I227" s="307">
        <v>-37400</v>
      </c>
      <c r="J227" s="6">
        <v>-26.619217081850501</v>
      </c>
      <c r="K227" s="6">
        <v>1405</v>
      </c>
      <c r="L227" s="62" t="s">
        <v>2405</v>
      </c>
      <c r="M227" s="62" t="s">
        <v>452</v>
      </c>
      <c r="N227" s="62" t="s">
        <v>464</v>
      </c>
      <c r="O227" s="100" t="s">
        <v>2464</v>
      </c>
      <c r="P227" s="5" t="s">
        <v>2407</v>
      </c>
      <c r="Q227" s="34" t="s">
        <v>2465</v>
      </c>
      <c r="R227" s="5" t="s">
        <v>2485</v>
      </c>
      <c r="S227" s="5" t="s">
        <v>2467</v>
      </c>
      <c r="T227" s="5" t="s">
        <v>445</v>
      </c>
    </row>
    <row r="228" spans="3:20" ht="14">
      <c r="C228" s="5" t="s">
        <v>1857</v>
      </c>
      <c r="D228" s="5"/>
      <c r="F228" s="34" t="s">
        <v>295</v>
      </c>
      <c r="G228" s="88" t="s">
        <v>296</v>
      </c>
      <c r="H228" s="88"/>
      <c r="I228" s="307">
        <v>-26000</v>
      </c>
      <c r="J228" s="6">
        <v>-18.5053380782918</v>
      </c>
      <c r="K228" s="6">
        <v>1405</v>
      </c>
      <c r="L228" s="62" t="s">
        <v>2405</v>
      </c>
      <c r="M228" s="62" t="s">
        <v>452</v>
      </c>
      <c r="N228" s="62" t="s">
        <v>464</v>
      </c>
      <c r="O228" s="100" t="s">
        <v>2464</v>
      </c>
      <c r="P228" s="5" t="s">
        <v>2407</v>
      </c>
      <c r="Q228" s="34" t="s">
        <v>2465</v>
      </c>
      <c r="R228" s="5" t="s">
        <v>2486</v>
      </c>
      <c r="S228" s="5" t="s">
        <v>2467</v>
      </c>
      <c r="T228" s="5" t="s">
        <v>445</v>
      </c>
    </row>
    <row r="229" spans="3:20" ht="14">
      <c r="C229" s="5" t="s">
        <v>1857</v>
      </c>
      <c r="D229" s="5"/>
      <c r="F229" s="34" t="s">
        <v>295</v>
      </c>
      <c r="G229" s="88" t="s">
        <v>296</v>
      </c>
      <c r="H229" s="88"/>
      <c r="I229" s="307">
        <v>-8700</v>
      </c>
      <c r="J229" s="6">
        <v>-6.1921708185053399</v>
      </c>
      <c r="K229" s="6">
        <v>1405</v>
      </c>
      <c r="L229" s="62" t="s">
        <v>2405</v>
      </c>
      <c r="M229" s="62" t="s">
        <v>452</v>
      </c>
      <c r="N229" s="62" t="s">
        <v>464</v>
      </c>
      <c r="O229" s="100" t="s">
        <v>2464</v>
      </c>
      <c r="P229" s="5" t="s">
        <v>2407</v>
      </c>
      <c r="Q229" s="34" t="s">
        <v>2465</v>
      </c>
      <c r="R229" s="5" t="s">
        <v>2487</v>
      </c>
      <c r="S229" s="5" t="s">
        <v>2467</v>
      </c>
      <c r="T229" s="5" t="s">
        <v>445</v>
      </c>
    </row>
    <row r="230" spans="3:20" ht="14">
      <c r="C230" s="5" t="s">
        <v>1857</v>
      </c>
      <c r="D230" s="5"/>
      <c r="F230" s="34" t="s">
        <v>295</v>
      </c>
      <c r="G230" s="88" t="s">
        <v>296</v>
      </c>
      <c r="H230" s="88"/>
      <c r="I230" s="307">
        <v>-55000</v>
      </c>
      <c r="J230" s="6">
        <v>-39.145907473309599</v>
      </c>
      <c r="K230" s="6">
        <v>1405</v>
      </c>
      <c r="L230" s="62" t="s">
        <v>2469</v>
      </c>
      <c r="M230" s="62" t="s">
        <v>452</v>
      </c>
      <c r="N230" s="62" t="s">
        <v>464</v>
      </c>
      <c r="O230" s="100" t="s">
        <v>2470</v>
      </c>
      <c r="P230" s="5" t="s">
        <v>2407</v>
      </c>
      <c r="Q230" s="34" t="s">
        <v>2471</v>
      </c>
      <c r="R230" s="5" t="s">
        <v>2488</v>
      </c>
      <c r="S230" s="5" t="s">
        <v>2472</v>
      </c>
      <c r="T230" s="5" t="s">
        <v>445</v>
      </c>
    </row>
    <row r="231" spans="3:20" ht="14">
      <c r="C231" s="5" t="s">
        <v>1857</v>
      </c>
      <c r="D231" s="5"/>
      <c r="F231" s="34" t="s">
        <v>295</v>
      </c>
      <c r="G231" s="88" t="s">
        <v>296</v>
      </c>
      <c r="H231" s="88"/>
      <c r="I231" s="307">
        <v>-146000</v>
      </c>
      <c r="J231" s="6">
        <v>-103.914590747331</v>
      </c>
      <c r="K231" s="6">
        <v>1405</v>
      </c>
      <c r="L231" s="62" t="s">
        <v>2469</v>
      </c>
      <c r="M231" s="62" t="s">
        <v>452</v>
      </c>
      <c r="N231" s="62" t="s">
        <v>464</v>
      </c>
      <c r="O231" s="100" t="s">
        <v>2470</v>
      </c>
      <c r="P231" s="5" t="s">
        <v>2407</v>
      </c>
      <c r="Q231" s="34" t="s">
        <v>2471</v>
      </c>
      <c r="R231" s="5" t="s">
        <v>2489</v>
      </c>
      <c r="S231" s="5" t="s">
        <v>2472</v>
      </c>
      <c r="T231" s="5" t="s">
        <v>445</v>
      </c>
    </row>
    <row r="232" spans="3:20" ht="14">
      <c r="C232" s="5" t="s">
        <v>1857</v>
      </c>
      <c r="D232" s="5"/>
      <c r="F232" s="34" t="s">
        <v>295</v>
      </c>
      <c r="G232" s="88" t="s">
        <v>296</v>
      </c>
      <c r="H232" s="88"/>
      <c r="I232" s="307">
        <v>-17550</v>
      </c>
      <c r="J232" s="6">
        <v>-12.491103202847</v>
      </c>
      <c r="K232" s="6">
        <v>1405</v>
      </c>
      <c r="L232" s="62" t="s">
        <v>2454</v>
      </c>
      <c r="M232" s="62" t="s">
        <v>452</v>
      </c>
      <c r="N232" s="62" t="s">
        <v>464</v>
      </c>
      <c r="O232" s="100" t="s">
        <v>2455</v>
      </c>
      <c r="P232" s="5" t="s">
        <v>2407</v>
      </c>
      <c r="Q232" s="34" t="s">
        <v>2456</v>
      </c>
      <c r="R232" s="5" t="s">
        <v>2490</v>
      </c>
      <c r="S232" s="5" t="s">
        <v>2458</v>
      </c>
      <c r="T232" s="5" t="s">
        <v>445</v>
      </c>
    </row>
    <row r="233" spans="3:20" ht="14">
      <c r="C233" s="5" t="s">
        <v>1857</v>
      </c>
      <c r="D233" s="5"/>
      <c r="F233" s="34" t="s">
        <v>295</v>
      </c>
      <c r="G233" s="88" t="s">
        <v>296</v>
      </c>
      <c r="H233" s="88"/>
      <c r="I233" s="307">
        <v>-50200</v>
      </c>
      <c r="J233" s="6">
        <v>-35.729537366548001</v>
      </c>
      <c r="K233" s="6">
        <v>1405</v>
      </c>
      <c r="L233" s="62" t="s">
        <v>2405</v>
      </c>
      <c r="M233" s="62" t="s">
        <v>452</v>
      </c>
      <c r="N233" s="62" t="s">
        <v>464</v>
      </c>
      <c r="O233" s="100" t="s">
        <v>2464</v>
      </c>
      <c r="P233" s="5" t="s">
        <v>2407</v>
      </c>
      <c r="Q233" s="34" t="s">
        <v>2465</v>
      </c>
      <c r="R233" s="5" t="s">
        <v>2491</v>
      </c>
      <c r="S233" s="5" t="s">
        <v>2467</v>
      </c>
      <c r="T233" s="5" t="s">
        <v>445</v>
      </c>
    </row>
    <row r="234" spans="3:20" ht="14">
      <c r="C234" s="5" t="s">
        <v>1857</v>
      </c>
      <c r="D234" s="5"/>
      <c r="F234" s="34" t="s">
        <v>295</v>
      </c>
      <c r="G234" s="88" t="s">
        <v>296</v>
      </c>
      <c r="H234" s="88"/>
      <c r="I234" s="307">
        <v>-28800</v>
      </c>
      <c r="J234" s="6">
        <v>-20.4982206405694</v>
      </c>
      <c r="K234" s="6">
        <v>1405</v>
      </c>
      <c r="L234" s="62" t="s">
        <v>2405</v>
      </c>
      <c r="M234" s="62" t="s">
        <v>452</v>
      </c>
      <c r="N234" s="62" t="s">
        <v>464</v>
      </c>
      <c r="O234" s="100" t="s">
        <v>2464</v>
      </c>
      <c r="P234" s="5" t="s">
        <v>2407</v>
      </c>
      <c r="Q234" s="34" t="s">
        <v>2465</v>
      </c>
      <c r="R234" s="5" t="s">
        <v>2492</v>
      </c>
      <c r="S234" s="5" t="s">
        <v>2467</v>
      </c>
      <c r="T234" s="5" t="s">
        <v>445</v>
      </c>
    </row>
    <row r="235" spans="3:20" ht="14">
      <c r="C235" s="5" t="s">
        <v>1857</v>
      </c>
      <c r="D235" s="5"/>
      <c r="F235" s="34" t="s">
        <v>295</v>
      </c>
      <c r="G235" s="88" t="s">
        <v>296</v>
      </c>
      <c r="H235" s="88"/>
      <c r="I235" s="307">
        <v>-72000</v>
      </c>
      <c r="J235" s="6">
        <v>-51.2455516014235</v>
      </c>
      <c r="K235" s="6">
        <v>1405</v>
      </c>
      <c r="L235" s="62" t="s">
        <v>2405</v>
      </c>
      <c r="M235" s="62" t="s">
        <v>452</v>
      </c>
      <c r="N235" s="62" t="s">
        <v>464</v>
      </c>
      <c r="O235" s="100" t="s">
        <v>2464</v>
      </c>
      <c r="P235" s="5" t="s">
        <v>2407</v>
      </c>
      <c r="Q235" s="34" t="s">
        <v>2465</v>
      </c>
      <c r="R235" s="5" t="s">
        <v>2493</v>
      </c>
      <c r="S235" s="5" t="s">
        <v>2467</v>
      </c>
      <c r="T235" s="5" t="s">
        <v>445</v>
      </c>
    </row>
    <row r="236" spans="3:20" ht="14">
      <c r="C236" s="5" t="s">
        <v>1857</v>
      </c>
      <c r="D236" s="5"/>
      <c r="F236" s="34" t="s">
        <v>295</v>
      </c>
      <c r="G236" s="88" t="s">
        <v>296</v>
      </c>
      <c r="H236" s="88"/>
      <c r="I236" s="307">
        <v>-44900</v>
      </c>
      <c r="J236" s="6">
        <v>-31.957295373665499</v>
      </c>
      <c r="K236" s="6">
        <v>1405</v>
      </c>
      <c r="L236" s="62" t="s">
        <v>2405</v>
      </c>
      <c r="M236" s="62" t="s">
        <v>452</v>
      </c>
      <c r="N236" s="62" t="s">
        <v>464</v>
      </c>
      <c r="O236" s="100" t="s">
        <v>2464</v>
      </c>
      <c r="P236" s="5" t="s">
        <v>2407</v>
      </c>
      <c r="Q236" s="34" t="s">
        <v>2465</v>
      </c>
      <c r="R236" s="5" t="s">
        <v>2494</v>
      </c>
      <c r="S236" s="5" t="s">
        <v>2467</v>
      </c>
      <c r="T236" s="5" t="s">
        <v>445</v>
      </c>
    </row>
    <row r="237" spans="3:20" ht="14">
      <c r="C237" s="5" t="s">
        <v>1857</v>
      </c>
      <c r="D237" s="5"/>
      <c r="F237" s="34" t="s">
        <v>295</v>
      </c>
      <c r="G237" s="88" t="s">
        <v>296</v>
      </c>
      <c r="H237" s="88"/>
      <c r="I237" s="307">
        <v>-35000</v>
      </c>
      <c r="J237" s="6">
        <v>-24.911032028469801</v>
      </c>
      <c r="K237" s="6">
        <v>1405</v>
      </c>
      <c r="L237" s="62" t="s">
        <v>2460</v>
      </c>
      <c r="M237" s="62" t="s">
        <v>452</v>
      </c>
      <c r="N237" s="62" t="s">
        <v>464</v>
      </c>
      <c r="O237" s="100" t="s">
        <v>2461</v>
      </c>
      <c r="P237" s="5" t="s">
        <v>2407</v>
      </c>
      <c r="Q237" s="34" t="s">
        <v>2462</v>
      </c>
      <c r="R237" s="5" t="s">
        <v>2495</v>
      </c>
      <c r="S237" s="5" t="s">
        <v>2463</v>
      </c>
      <c r="T237" s="5" t="s">
        <v>445</v>
      </c>
    </row>
    <row r="238" spans="3:20" ht="14">
      <c r="C238" s="5" t="s">
        <v>1857</v>
      </c>
      <c r="D238" s="5"/>
      <c r="F238" s="34" t="s">
        <v>295</v>
      </c>
      <c r="G238" s="88" t="s">
        <v>296</v>
      </c>
      <c r="H238" s="88"/>
      <c r="I238" s="307">
        <v>-42000</v>
      </c>
      <c r="J238" s="6">
        <v>-29.893238434163699</v>
      </c>
      <c r="K238" s="6">
        <v>1405</v>
      </c>
      <c r="L238" s="62" t="s">
        <v>2454</v>
      </c>
      <c r="M238" s="62" t="s">
        <v>452</v>
      </c>
      <c r="N238" s="62" t="s">
        <v>464</v>
      </c>
      <c r="O238" s="100" t="s">
        <v>2455</v>
      </c>
      <c r="P238" s="5" t="s">
        <v>2407</v>
      </c>
      <c r="Q238" s="34" t="s">
        <v>2456</v>
      </c>
      <c r="R238" s="5" t="s">
        <v>764</v>
      </c>
      <c r="S238" s="5" t="s">
        <v>2458</v>
      </c>
      <c r="T238" s="5" t="s">
        <v>445</v>
      </c>
    </row>
    <row r="239" spans="3:20" ht="14">
      <c r="C239" s="5" t="s">
        <v>1857</v>
      </c>
      <c r="D239" s="5"/>
      <c r="F239" s="34" t="s">
        <v>295</v>
      </c>
      <c r="G239" s="88" t="s">
        <v>296</v>
      </c>
      <c r="H239" s="88"/>
      <c r="I239" s="307">
        <v>-42000</v>
      </c>
      <c r="J239" s="6">
        <v>-29.893238434163699</v>
      </c>
      <c r="K239" s="6">
        <v>1405</v>
      </c>
      <c r="L239" s="62" t="s">
        <v>2454</v>
      </c>
      <c r="M239" s="62" t="s">
        <v>452</v>
      </c>
      <c r="N239" s="62" t="s">
        <v>464</v>
      </c>
      <c r="O239" s="100" t="s">
        <v>2455</v>
      </c>
      <c r="P239" s="5" t="s">
        <v>2407</v>
      </c>
      <c r="Q239" s="34" t="s">
        <v>2456</v>
      </c>
      <c r="R239" s="5" t="s">
        <v>764</v>
      </c>
      <c r="S239" s="5" t="s">
        <v>2458</v>
      </c>
      <c r="T239" s="5" t="s">
        <v>445</v>
      </c>
    </row>
    <row r="240" spans="3:20" ht="14">
      <c r="C240" s="5" t="s">
        <v>1857</v>
      </c>
      <c r="D240" s="5"/>
      <c r="F240" s="34" t="s">
        <v>295</v>
      </c>
      <c r="G240" s="88" t="s">
        <v>296</v>
      </c>
      <c r="H240" s="88"/>
      <c r="I240" s="307">
        <v>-18000</v>
      </c>
      <c r="J240" s="6">
        <v>-12.8113879003559</v>
      </c>
      <c r="K240" s="6">
        <v>1405</v>
      </c>
      <c r="L240" s="62" t="s">
        <v>2405</v>
      </c>
      <c r="M240" s="62" t="s">
        <v>452</v>
      </c>
      <c r="N240" s="62" t="s">
        <v>464</v>
      </c>
      <c r="O240" s="100" t="s">
        <v>2464</v>
      </c>
      <c r="P240" s="5" t="s">
        <v>2407</v>
      </c>
      <c r="Q240" s="34" t="s">
        <v>2465</v>
      </c>
      <c r="R240" s="5" t="s">
        <v>764</v>
      </c>
      <c r="S240" s="5" t="s">
        <v>2467</v>
      </c>
      <c r="T240" s="5" t="s">
        <v>445</v>
      </c>
    </row>
    <row r="241" spans="3:20" ht="14">
      <c r="C241" s="5" t="s">
        <v>1857</v>
      </c>
      <c r="D241" s="5"/>
      <c r="F241" s="34" t="s">
        <v>295</v>
      </c>
      <c r="G241" s="88" t="s">
        <v>296</v>
      </c>
      <c r="H241" s="88"/>
      <c r="I241" s="307">
        <v>-24000</v>
      </c>
      <c r="J241" s="6">
        <v>-17.081850533807799</v>
      </c>
      <c r="K241" s="6">
        <v>1405</v>
      </c>
      <c r="L241" s="62" t="s">
        <v>2405</v>
      </c>
      <c r="M241" s="62" t="s">
        <v>452</v>
      </c>
      <c r="N241" s="62" t="s">
        <v>464</v>
      </c>
      <c r="O241" s="100" t="s">
        <v>2464</v>
      </c>
      <c r="P241" s="5" t="s">
        <v>2407</v>
      </c>
      <c r="Q241" s="34" t="s">
        <v>2465</v>
      </c>
      <c r="R241" s="5" t="s">
        <v>764</v>
      </c>
      <c r="S241" s="5" t="s">
        <v>2467</v>
      </c>
      <c r="T241" s="5" t="s">
        <v>445</v>
      </c>
    </row>
    <row r="242" spans="3:20" ht="14">
      <c r="C242" s="5" t="s">
        <v>1857</v>
      </c>
      <c r="D242" s="5"/>
      <c r="F242" s="34" t="s">
        <v>295</v>
      </c>
      <c r="G242" s="88" t="s">
        <v>296</v>
      </c>
      <c r="H242" s="88"/>
      <c r="I242" s="307">
        <v>-14000</v>
      </c>
      <c r="J242" s="6">
        <v>-9.9644128113879002</v>
      </c>
      <c r="K242" s="6">
        <v>1405</v>
      </c>
      <c r="L242" s="62" t="s">
        <v>2469</v>
      </c>
      <c r="M242" s="62" t="s">
        <v>452</v>
      </c>
      <c r="N242" s="62" t="s">
        <v>464</v>
      </c>
      <c r="O242" s="100" t="s">
        <v>2470</v>
      </c>
      <c r="P242" s="5" t="s">
        <v>2407</v>
      </c>
      <c r="Q242" s="34" t="s">
        <v>2471</v>
      </c>
      <c r="R242" s="5" t="s">
        <v>2496</v>
      </c>
      <c r="S242" s="5" t="s">
        <v>2472</v>
      </c>
      <c r="T242" s="5" t="s">
        <v>445</v>
      </c>
    </row>
    <row r="243" spans="3:20" ht="14">
      <c r="C243" s="5" t="s">
        <v>1857</v>
      </c>
      <c r="D243" s="5"/>
      <c r="F243" s="34" t="s">
        <v>295</v>
      </c>
      <c r="G243" s="88" t="s">
        <v>296</v>
      </c>
      <c r="H243" s="88"/>
      <c r="I243" s="307">
        <v>-82300</v>
      </c>
      <c r="J243" s="6">
        <v>-58.576512455516003</v>
      </c>
      <c r="K243" s="6">
        <v>1405</v>
      </c>
      <c r="L243" s="62" t="s">
        <v>2460</v>
      </c>
      <c r="M243" s="62" t="s">
        <v>452</v>
      </c>
      <c r="N243" s="62" t="s">
        <v>464</v>
      </c>
      <c r="O243" s="100" t="s">
        <v>2461</v>
      </c>
      <c r="P243" s="5" t="s">
        <v>2407</v>
      </c>
      <c r="Q243" s="34" t="s">
        <v>2462</v>
      </c>
      <c r="R243" s="5" t="s">
        <v>2497</v>
      </c>
      <c r="S243" s="5" t="s">
        <v>2463</v>
      </c>
      <c r="T243" s="5" t="s">
        <v>445</v>
      </c>
    </row>
    <row r="244" spans="3:20" ht="14">
      <c r="C244" s="5" t="s">
        <v>1857</v>
      </c>
      <c r="D244" s="5"/>
      <c r="F244" s="34" t="s">
        <v>295</v>
      </c>
      <c r="G244" s="88" t="s">
        <v>296</v>
      </c>
      <c r="H244" s="88"/>
      <c r="I244" s="307">
        <v>-80000</v>
      </c>
      <c r="J244" s="6">
        <v>-56.939501779359396</v>
      </c>
      <c r="K244" s="6">
        <v>1405</v>
      </c>
      <c r="L244" s="62" t="s">
        <v>2454</v>
      </c>
      <c r="M244" s="62" t="s">
        <v>452</v>
      </c>
      <c r="N244" s="62" t="s">
        <v>464</v>
      </c>
      <c r="O244" s="100" t="s">
        <v>2455</v>
      </c>
      <c r="P244" s="5" t="s">
        <v>2407</v>
      </c>
      <c r="Q244" s="34" t="s">
        <v>2456</v>
      </c>
      <c r="R244" s="5" t="s">
        <v>2498</v>
      </c>
      <c r="S244" s="5" t="s">
        <v>2458</v>
      </c>
      <c r="T244" s="5" t="s">
        <v>445</v>
      </c>
    </row>
    <row r="245" spans="3:20" ht="14">
      <c r="C245" s="5" t="s">
        <v>1857</v>
      </c>
      <c r="D245" s="5"/>
      <c r="F245" s="34" t="s">
        <v>295</v>
      </c>
      <c r="G245" s="88" t="s">
        <v>296</v>
      </c>
      <c r="H245" s="88"/>
      <c r="I245" s="307">
        <v>-82500</v>
      </c>
      <c r="J245" s="6">
        <v>-58.718861209964402</v>
      </c>
      <c r="K245" s="6">
        <v>1405</v>
      </c>
      <c r="L245" s="62" t="s">
        <v>2469</v>
      </c>
      <c r="M245" s="62" t="s">
        <v>452</v>
      </c>
      <c r="N245" s="62" t="s">
        <v>464</v>
      </c>
      <c r="O245" s="100" t="s">
        <v>2470</v>
      </c>
      <c r="P245" s="5" t="s">
        <v>2407</v>
      </c>
      <c r="Q245" s="34" t="s">
        <v>2471</v>
      </c>
      <c r="R245" s="5" t="s">
        <v>2499</v>
      </c>
      <c r="S245" s="5" t="s">
        <v>2472</v>
      </c>
      <c r="T245" s="5" t="s">
        <v>445</v>
      </c>
    </row>
    <row r="246" spans="3:20" ht="14">
      <c r="C246" s="5" t="s">
        <v>1857</v>
      </c>
      <c r="D246" s="5"/>
      <c r="F246" s="34" t="s">
        <v>295</v>
      </c>
      <c r="G246" s="88" t="s">
        <v>296</v>
      </c>
      <c r="H246" s="88"/>
      <c r="I246" s="307">
        <v>-90000</v>
      </c>
      <c r="J246" s="6">
        <v>-64.056939501779397</v>
      </c>
      <c r="K246" s="6">
        <v>1405</v>
      </c>
      <c r="L246" s="62" t="s">
        <v>2405</v>
      </c>
      <c r="M246" s="62" t="s">
        <v>452</v>
      </c>
      <c r="N246" s="62" t="s">
        <v>464</v>
      </c>
      <c r="O246" s="100" t="s">
        <v>2464</v>
      </c>
      <c r="P246" s="5" t="s">
        <v>2407</v>
      </c>
      <c r="Q246" s="34" t="s">
        <v>2465</v>
      </c>
      <c r="R246" s="5" t="s">
        <v>2500</v>
      </c>
      <c r="S246" s="5" t="s">
        <v>2467</v>
      </c>
      <c r="T246" s="5" t="s">
        <v>445</v>
      </c>
    </row>
    <row r="247" spans="3:20" ht="14">
      <c r="C247" s="5" t="s">
        <v>1857</v>
      </c>
      <c r="D247" s="5"/>
      <c r="F247" s="34" t="s">
        <v>295</v>
      </c>
      <c r="G247" s="88" t="s">
        <v>296</v>
      </c>
      <c r="H247" s="88"/>
      <c r="I247" s="307">
        <v>3350000</v>
      </c>
      <c r="J247" s="6">
        <v>2384.3416370106802</v>
      </c>
      <c r="K247" s="6">
        <v>1405</v>
      </c>
      <c r="L247" s="62" t="s">
        <v>2405</v>
      </c>
      <c r="M247" s="62" t="s">
        <v>452</v>
      </c>
      <c r="N247" s="62" t="s">
        <v>464</v>
      </c>
      <c r="O247" s="100" t="s">
        <v>2501</v>
      </c>
      <c r="P247" s="5" t="s">
        <v>2407</v>
      </c>
      <c r="Q247" s="34" t="s">
        <v>2502</v>
      </c>
      <c r="R247" s="5" t="s">
        <v>563</v>
      </c>
      <c r="S247" s="5" t="s">
        <v>2503</v>
      </c>
      <c r="T247" s="5" t="s">
        <v>445</v>
      </c>
    </row>
    <row r="248" spans="3:20" ht="14">
      <c r="C248" s="5" t="s">
        <v>1857</v>
      </c>
      <c r="D248" s="5"/>
      <c r="F248" s="34" t="s">
        <v>295</v>
      </c>
      <c r="G248" s="88" t="s">
        <v>296</v>
      </c>
      <c r="H248" s="88"/>
      <c r="I248" s="307">
        <v>-220200</v>
      </c>
      <c r="J248" s="6">
        <v>-156.72597864768699</v>
      </c>
      <c r="K248" s="6">
        <v>1405</v>
      </c>
      <c r="L248" s="62" t="s">
        <v>2454</v>
      </c>
      <c r="M248" s="62" t="s">
        <v>452</v>
      </c>
      <c r="N248" s="62" t="s">
        <v>464</v>
      </c>
      <c r="O248" s="100" t="s">
        <v>2455</v>
      </c>
      <c r="P248" s="5" t="s">
        <v>2407</v>
      </c>
      <c r="Q248" s="34" t="s">
        <v>2456</v>
      </c>
      <c r="R248" s="5" t="s">
        <v>1293</v>
      </c>
      <c r="S248" s="5" t="s">
        <v>2458</v>
      </c>
      <c r="T248" s="5" t="s">
        <v>445</v>
      </c>
    </row>
    <row r="249" spans="3:20" ht="14">
      <c r="C249" s="5" t="s">
        <v>1857</v>
      </c>
      <c r="D249" s="5"/>
      <c r="F249" s="34" t="s">
        <v>295</v>
      </c>
      <c r="G249" s="88" t="s">
        <v>296</v>
      </c>
      <c r="H249" s="88"/>
      <c r="I249" s="307">
        <v>-471577</v>
      </c>
      <c r="J249" s="6">
        <v>-335.64199288256202</v>
      </c>
      <c r="K249" s="6">
        <v>1405</v>
      </c>
      <c r="L249" s="62" t="s">
        <v>2454</v>
      </c>
      <c r="M249" s="62" t="s">
        <v>452</v>
      </c>
      <c r="N249" s="62" t="s">
        <v>464</v>
      </c>
      <c r="O249" s="100" t="s">
        <v>2455</v>
      </c>
      <c r="P249" s="5" t="s">
        <v>2407</v>
      </c>
      <c r="Q249" s="34" t="s">
        <v>2456</v>
      </c>
      <c r="R249" s="5" t="s">
        <v>651</v>
      </c>
      <c r="S249" s="5" t="s">
        <v>2458</v>
      </c>
      <c r="T249" s="5" t="s">
        <v>445</v>
      </c>
    </row>
    <row r="250" spans="3:20" ht="14">
      <c r="C250" s="5" t="s">
        <v>1857</v>
      </c>
      <c r="D250" s="5"/>
      <c r="F250" s="34" t="s">
        <v>295</v>
      </c>
      <c r="G250" s="88" t="s">
        <v>296</v>
      </c>
      <c r="H250" s="88"/>
      <c r="I250" s="307">
        <v>-123541</v>
      </c>
      <c r="J250" s="6">
        <v>-87.929537366548004</v>
      </c>
      <c r="K250" s="6">
        <v>1405</v>
      </c>
      <c r="L250" s="62" t="s">
        <v>2405</v>
      </c>
      <c r="M250" s="62" t="s">
        <v>452</v>
      </c>
      <c r="N250" s="62" t="s">
        <v>464</v>
      </c>
      <c r="O250" s="100" t="s">
        <v>2464</v>
      </c>
      <c r="P250" s="5" t="s">
        <v>2407</v>
      </c>
      <c r="Q250" s="34" t="s">
        <v>2465</v>
      </c>
      <c r="R250" s="5" t="s">
        <v>651</v>
      </c>
      <c r="S250" s="5" t="s">
        <v>2467</v>
      </c>
      <c r="T250" s="5" t="s">
        <v>445</v>
      </c>
    </row>
    <row r="251" spans="3:20" ht="14">
      <c r="C251" s="5" t="s">
        <v>1857</v>
      </c>
      <c r="D251" s="5"/>
      <c r="F251" s="34" t="s">
        <v>295</v>
      </c>
      <c r="G251" s="88" t="s">
        <v>296</v>
      </c>
      <c r="H251" s="88"/>
      <c r="I251" s="307">
        <v>-207300</v>
      </c>
      <c r="J251" s="6">
        <v>-147.544483985765</v>
      </c>
      <c r="K251" s="6">
        <v>1405</v>
      </c>
      <c r="L251" s="62" t="s">
        <v>2469</v>
      </c>
      <c r="M251" s="62" t="s">
        <v>452</v>
      </c>
      <c r="N251" s="62" t="s">
        <v>464</v>
      </c>
      <c r="O251" s="100" t="s">
        <v>2470</v>
      </c>
      <c r="P251" s="5" t="s">
        <v>2407</v>
      </c>
      <c r="Q251" s="34" t="s">
        <v>2471</v>
      </c>
      <c r="R251" s="5" t="s">
        <v>2256</v>
      </c>
      <c r="S251" s="5" t="s">
        <v>2472</v>
      </c>
      <c r="T251" s="5" t="s">
        <v>445</v>
      </c>
    </row>
    <row r="252" spans="3:20" ht="14">
      <c r="C252" s="5" t="s">
        <v>1857</v>
      </c>
      <c r="D252" s="5"/>
      <c r="F252" s="34" t="s">
        <v>295</v>
      </c>
      <c r="G252" s="88" t="s">
        <v>296</v>
      </c>
      <c r="H252" s="88"/>
      <c r="I252" s="307">
        <v>-257054</v>
      </c>
      <c r="J252" s="6">
        <v>-182.956583629893</v>
      </c>
      <c r="K252" s="6">
        <v>1405</v>
      </c>
      <c r="L252" s="62" t="s">
        <v>2460</v>
      </c>
      <c r="M252" s="62" t="s">
        <v>452</v>
      </c>
      <c r="N252" s="62" t="s">
        <v>464</v>
      </c>
      <c r="O252" s="100" t="s">
        <v>2461</v>
      </c>
      <c r="P252" s="5" t="s">
        <v>2407</v>
      </c>
      <c r="Q252" s="34" t="s">
        <v>2462</v>
      </c>
      <c r="R252" s="5" t="s">
        <v>2256</v>
      </c>
      <c r="S252" s="5" t="s">
        <v>2463</v>
      </c>
      <c r="T252" s="5" t="s">
        <v>445</v>
      </c>
    </row>
    <row r="253" spans="3:20" ht="14">
      <c r="C253" s="5" t="s">
        <v>1857</v>
      </c>
      <c r="D253" s="5"/>
      <c r="F253" s="34" t="s">
        <v>295</v>
      </c>
      <c r="G253" s="88" t="s">
        <v>296</v>
      </c>
      <c r="H253" s="88"/>
      <c r="I253" s="307">
        <v>-202300</v>
      </c>
      <c r="J253" s="6">
        <v>-143.985765124555</v>
      </c>
      <c r="K253" s="6">
        <v>1405</v>
      </c>
      <c r="L253" s="62" t="s">
        <v>2405</v>
      </c>
      <c r="M253" s="62" t="s">
        <v>452</v>
      </c>
      <c r="N253" s="62" t="s">
        <v>464</v>
      </c>
      <c r="O253" s="100" t="s">
        <v>2464</v>
      </c>
      <c r="P253" s="5" t="s">
        <v>2407</v>
      </c>
      <c r="Q253" s="34" t="s">
        <v>2465</v>
      </c>
      <c r="R253" s="5" t="s">
        <v>1631</v>
      </c>
      <c r="S253" s="5" t="s">
        <v>2467</v>
      </c>
      <c r="T253" s="5" t="s">
        <v>445</v>
      </c>
    </row>
    <row r="254" spans="3:20" ht="14">
      <c r="C254" s="5" t="s">
        <v>1857</v>
      </c>
      <c r="D254" s="5"/>
      <c r="F254" s="34" t="s">
        <v>295</v>
      </c>
      <c r="G254" s="88" t="s">
        <v>296</v>
      </c>
      <c r="H254" s="88"/>
      <c r="I254" s="307">
        <v>-20000</v>
      </c>
      <c r="J254" s="6">
        <v>-14.234875444839901</v>
      </c>
      <c r="K254" s="6">
        <v>1405</v>
      </c>
      <c r="L254" s="62" t="s">
        <v>2460</v>
      </c>
      <c r="M254" s="62" t="s">
        <v>452</v>
      </c>
      <c r="N254" s="62" t="s">
        <v>464</v>
      </c>
      <c r="O254" s="100" t="s">
        <v>2461</v>
      </c>
      <c r="P254" s="5" t="s">
        <v>2407</v>
      </c>
      <c r="Q254" s="34" t="s">
        <v>2462</v>
      </c>
      <c r="R254" s="5" t="s">
        <v>2507</v>
      </c>
      <c r="S254" s="5" t="s">
        <v>2463</v>
      </c>
      <c r="T254" s="5" t="s">
        <v>445</v>
      </c>
    </row>
    <row r="255" spans="3:20" ht="14">
      <c r="C255" s="5" t="s">
        <v>1857</v>
      </c>
      <c r="D255" s="5"/>
      <c r="F255" s="34" t="s">
        <v>295</v>
      </c>
      <c r="G255" s="88" t="s">
        <v>296</v>
      </c>
      <c r="H255" s="88"/>
      <c r="I255" s="307">
        <v>-50000</v>
      </c>
      <c r="J255" s="6">
        <v>-35.587188612099602</v>
      </c>
      <c r="K255" s="6">
        <v>1405</v>
      </c>
      <c r="L255" s="62" t="s">
        <v>2405</v>
      </c>
      <c r="M255" s="62" t="s">
        <v>452</v>
      </c>
      <c r="N255" s="62" t="s">
        <v>464</v>
      </c>
      <c r="O255" s="100" t="s">
        <v>2464</v>
      </c>
      <c r="P255" s="5" t="s">
        <v>2407</v>
      </c>
      <c r="Q255" s="34" t="s">
        <v>2465</v>
      </c>
      <c r="R255" s="5" t="s">
        <v>2508</v>
      </c>
      <c r="S255" s="5" t="s">
        <v>2467</v>
      </c>
      <c r="T255" s="5" t="s">
        <v>445</v>
      </c>
    </row>
    <row r="256" spans="3:20" ht="14">
      <c r="C256" s="5" t="s">
        <v>1857</v>
      </c>
      <c r="D256" s="5"/>
      <c r="F256" s="34" t="s">
        <v>295</v>
      </c>
      <c r="G256" s="88" t="s">
        <v>296</v>
      </c>
      <c r="H256" s="88"/>
      <c r="I256" s="307">
        <v>-6000</v>
      </c>
      <c r="J256" s="6">
        <v>-4.2704626334519604</v>
      </c>
      <c r="K256" s="6">
        <v>1405</v>
      </c>
      <c r="L256" s="62" t="s">
        <v>2469</v>
      </c>
      <c r="M256" s="62" t="s">
        <v>452</v>
      </c>
      <c r="N256" s="62" t="s">
        <v>464</v>
      </c>
      <c r="O256" s="100" t="s">
        <v>2470</v>
      </c>
      <c r="P256" s="5" t="s">
        <v>2407</v>
      </c>
      <c r="Q256" s="34" t="s">
        <v>2471</v>
      </c>
      <c r="R256" s="5" t="s">
        <v>2513</v>
      </c>
      <c r="S256" s="5" t="s">
        <v>2472</v>
      </c>
      <c r="T256" s="5" t="s">
        <v>445</v>
      </c>
    </row>
    <row r="257" spans="3:20" ht="14">
      <c r="C257" s="5" t="s">
        <v>1857</v>
      </c>
      <c r="D257" s="5"/>
      <c r="F257" s="34" t="s">
        <v>295</v>
      </c>
      <c r="G257" s="88" t="s">
        <v>296</v>
      </c>
      <c r="H257" s="88"/>
      <c r="I257" s="307">
        <v>-20000</v>
      </c>
      <c r="J257" s="6">
        <v>-14.234875444839901</v>
      </c>
      <c r="K257" s="6">
        <v>1405</v>
      </c>
      <c r="L257" s="62" t="s">
        <v>2454</v>
      </c>
      <c r="M257" s="62" t="s">
        <v>452</v>
      </c>
      <c r="N257" s="62" t="s">
        <v>464</v>
      </c>
      <c r="O257" s="100" t="s">
        <v>2455</v>
      </c>
      <c r="P257" s="5" t="s">
        <v>2407</v>
      </c>
      <c r="Q257" s="34" t="s">
        <v>2456</v>
      </c>
      <c r="R257" s="5" t="s">
        <v>2518</v>
      </c>
      <c r="S257" s="5" t="s">
        <v>2458</v>
      </c>
      <c r="T257" s="5" t="s">
        <v>445</v>
      </c>
    </row>
    <row r="258" spans="3:20" ht="14">
      <c r="C258" s="5" t="s">
        <v>1857</v>
      </c>
      <c r="D258" s="5"/>
      <c r="F258" s="34" t="s">
        <v>295</v>
      </c>
      <c r="G258" s="88" t="s">
        <v>296</v>
      </c>
      <c r="H258" s="88"/>
      <c r="I258" s="307">
        <v>-76500</v>
      </c>
      <c r="J258" s="6">
        <v>-54.448398576512503</v>
      </c>
      <c r="K258" s="6">
        <v>1405</v>
      </c>
      <c r="L258" s="62" t="s">
        <v>2405</v>
      </c>
      <c r="M258" s="62" t="s">
        <v>452</v>
      </c>
      <c r="N258" s="62" t="s">
        <v>464</v>
      </c>
      <c r="O258" s="100" t="s">
        <v>2464</v>
      </c>
      <c r="P258" s="5" t="s">
        <v>2407</v>
      </c>
      <c r="Q258" s="34" t="s">
        <v>2465</v>
      </c>
      <c r="R258" s="5" t="s">
        <v>2519</v>
      </c>
      <c r="S258" s="5" t="s">
        <v>2467</v>
      </c>
      <c r="T258" s="5" t="s">
        <v>445</v>
      </c>
    </row>
    <row r="259" spans="3:20" ht="14">
      <c r="C259" s="5" t="s">
        <v>1857</v>
      </c>
      <c r="D259" s="5"/>
      <c r="F259" s="34" t="s">
        <v>295</v>
      </c>
      <c r="G259" s="88" t="s">
        <v>296</v>
      </c>
      <c r="H259" s="88"/>
      <c r="I259" s="307">
        <v>-27900</v>
      </c>
      <c r="J259" s="6">
        <v>-19.857651245551601</v>
      </c>
      <c r="K259" s="6">
        <v>1405</v>
      </c>
      <c r="L259" s="62" t="s">
        <v>2469</v>
      </c>
      <c r="M259" s="62" t="s">
        <v>452</v>
      </c>
      <c r="N259" s="62" t="s">
        <v>464</v>
      </c>
      <c r="O259" s="100" t="s">
        <v>2470</v>
      </c>
      <c r="P259" s="5" t="s">
        <v>2407</v>
      </c>
      <c r="Q259" s="34" t="s">
        <v>2471</v>
      </c>
      <c r="R259" s="5" t="s">
        <v>2520</v>
      </c>
      <c r="S259" s="5" t="s">
        <v>2472</v>
      </c>
      <c r="T259" s="5" t="s">
        <v>445</v>
      </c>
    </row>
    <row r="260" spans="3:20" ht="14">
      <c r="C260" s="5" t="s">
        <v>1857</v>
      </c>
      <c r="D260" s="5"/>
      <c r="F260" s="34" t="s">
        <v>295</v>
      </c>
      <c r="G260" s="88" t="s">
        <v>296</v>
      </c>
      <c r="H260" s="88"/>
      <c r="I260" s="307">
        <v>-4500</v>
      </c>
      <c r="J260" s="6">
        <v>-3.2028469750889701</v>
      </c>
      <c r="K260" s="6">
        <v>1405</v>
      </c>
      <c r="L260" s="62" t="s">
        <v>2469</v>
      </c>
      <c r="M260" s="62" t="s">
        <v>452</v>
      </c>
      <c r="N260" s="62" t="s">
        <v>464</v>
      </c>
      <c r="O260" s="100" t="s">
        <v>2470</v>
      </c>
      <c r="P260" s="5" t="s">
        <v>2407</v>
      </c>
      <c r="Q260" s="34" t="s">
        <v>2471</v>
      </c>
      <c r="R260" s="5" t="s">
        <v>2521</v>
      </c>
      <c r="S260" s="5" t="s">
        <v>2472</v>
      </c>
      <c r="T260" s="5" t="s">
        <v>445</v>
      </c>
    </row>
    <row r="261" spans="3:20" ht="14">
      <c r="C261" s="5" t="s">
        <v>1857</v>
      </c>
      <c r="D261" s="5"/>
      <c r="F261" s="34" t="s">
        <v>295</v>
      </c>
      <c r="G261" s="88" t="s">
        <v>296</v>
      </c>
      <c r="H261" s="88"/>
      <c r="I261" s="307">
        <v>-34000</v>
      </c>
      <c r="J261" s="6">
        <v>-24.199288256227799</v>
      </c>
      <c r="K261" s="6">
        <v>1405</v>
      </c>
      <c r="L261" s="62" t="s">
        <v>2469</v>
      </c>
      <c r="M261" s="62" t="s">
        <v>452</v>
      </c>
      <c r="N261" s="62" t="s">
        <v>464</v>
      </c>
      <c r="O261" s="100" t="s">
        <v>2470</v>
      </c>
      <c r="P261" s="5" t="s">
        <v>2407</v>
      </c>
      <c r="Q261" s="34" t="s">
        <v>2471</v>
      </c>
      <c r="R261" s="5" t="s">
        <v>2522</v>
      </c>
      <c r="S261" s="5" t="s">
        <v>2472</v>
      </c>
      <c r="T261" s="5" t="s">
        <v>445</v>
      </c>
    </row>
    <row r="262" spans="3:20" ht="14">
      <c r="C262" s="5" t="s">
        <v>1857</v>
      </c>
      <c r="D262" s="5"/>
      <c r="F262" s="34" t="s">
        <v>295</v>
      </c>
      <c r="G262" s="88" t="s">
        <v>296</v>
      </c>
      <c r="H262" s="88"/>
      <c r="I262" s="307">
        <v>-35300</v>
      </c>
      <c r="J262" s="6">
        <v>-25.1245551601424</v>
      </c>
      <c r="K262" s="6">
        <v>1405</v>
      </c>
      <c r="L262" s="62" t="s">
        <v>2405</v>
      </c>
      <c r="M262" s="62" t="s">
        <v>452</v>
      </c>
      <c r="N262" s="62" t="s">
        <v>464</v>
      </c>
      <c r="O262" s="100" t="s">
        <v>2464</v>
      </c>
      <c r="P262" s="5" t="s">
        <v>2407</v>
      </c>
      <c r="Q262" s="34" t="s">
        <v>2465</v>
      </c>
      <c r="R262" s="5" t="s">
        <v>2530</v>
      </c>
      <c r="S262" s="5" t="s">
        <v>2467</v>
      </c>
      <c r="T262" s="5" t="s">
        <v>445</v>
      </c>
    </row>
    <row r="263" spans="3:20" ht="14">
      <c r="C263" s="5" t="s">
        <v>1857</v>
      </c>
      <c r="D263" s="5"/>
      <c r="F263" s="34" t="s">
        <v>295</v>
      </c>
      <c r="G263" s="88" t="s">
        <v>296</v>
      </c>
      <c r="H263" s="88"/>
      <c r="I263" s="307">
        <v>-30900</v>
      </c>
      <c r="J263" s="6">
        <v>-21.9928825622776</v>
      </c>
      <c r="K263" s="6">
        <v>1405</v>
      </c>
      <c r="L263" s="62" t="s">
        <v>2469</v>
      </c>
      <c r="M263" s="62" t="s">
        <v>452</v>
      </c>
      <c r="N263" s="62" t="s">
        <v>464</v>
      </c>
      <c r="O263" s="100" t="s">
        <v>2470</v>
      </c>
      <c r="P263" s="5" t="s">
        <v>2407</v>
      </c>
      <c r="Q263" s="34" t="s">
        <v>2471</v>
      </c>
      <c r="R263" s="5" t="s">
        <v>2534</v>
      </c>
      <c r="S263" s="5" t="s">
        <v>2472</v>
      </c>
      <c r="T263" s="5" t="s">
        <v>445</v>
      </c>
    </row>
    <row r="264" spans="3:20" ht="14">
      <c r="C264" s="5" t="s">
        <v>1857</v>
      </c>
      <c r="D264" s="5"/>
      <c r="F264" s="34" t="s">
        <v>295</v>
      </c>
      <c r="G264" s="88" t="s">
        <v>296</v>
      </c>
      <c r="H264" s="88"/>
      <c r="I264" s="307">
        <v>-4490</v>
      </c>
      <c r="J264" s="6">
        <v>-3.19572953736655</v>
      </c>
      <c r="K264" s="6">
        <v>1405</v>
      </c>
      <c r="L264" s="62" t="s">
        <v>2469</v>
      </c>
      <c r="M264" s="62" t="s">
        <v>452</v>
      </c>
      <c r="N264" s="62" t="s">
        <v>464</v>
      </c>
      <c r="O264" s="100" t="s">
        <v>2470</v>
      </c>
      <c r="P264" s="5" t="s">
        <v>2407</v>
      </c>
      <c r="Q264" s="34" t="s">
        <v>2471</v>
      </c>
      <c r="R264" s="5" t="s">
        <v>2535</v>
      </c>
      <c r="S264" s="5" t="s">
        <v>2472</v>
      </c>
      <c r="T264" s="5" t="s">
        <v>445</v>
      </c>
    </row>
    <row r="265" spans="3:20" ht="14">
      <c r="C265" s="5" t="s">
        <v>1857</v>
      </c>
      <c r="D265" s="5"/>
      <c r="F265" s="34" t="s">
        <v>295</v>
      </c>
      <c r="G265" s="88" t="s">
        <v>296</v>
      </c>
      <c r="H265" s="88"/>
      <c r="I265" s="307">
        <v>-54400</v>
      </c>
      <c r="J265" s="6">
        <v>-38.718861209964402</v>
      </c>
      <c r="K265" s="6">
        <v>1405</v>
      </c>
      <c r="L265" s="62" t="s">
        <v>2469</v>
      </c>
      <c r="M265" s="62" t="s">
        <v>452</v>
      </c>
      <c r="N265" s="62" t="s">
        <v>464</v>
      </c>
      <c r="O265" s="100" t="s">
        <v>2470</v>
      </c>
      <c r="P265" s="5" t="s">
        <v>2407</v>
      </c>
      <c r="Q265" s="34" t="s">
        <v>2471</v>
      </c>
      <c r="R265" s="5" t="s">
        <v>1327</v>
      </c>
      <c r="S265" s="5" t="s">
        <v>2472</v>
      </c>
      <c r="T265" s="5" t="s">
        <v>445</v>
      </c>
    </row>
    <row r="266" spans="3:20" ht="14">
      <c r="C266" s="5" t="s">
        <v>1857</v>
      </c>
      <c r="D266" s="5"/>
      <c r="F266" s="34" t="s">
        <v>295</v>
      </c>
      <c r="G266" s="88" t="s">
        <v>296</v>
      </c>
      <c r="H266" s="88"/>
      <c r="I266" s="307">
        <v>-8500</v>
      </c>
      <c r="J266" s="6">
        <v>-6.04982206405694</v>
      </c>
      <c r="K266" s="6">
        <v>1405</v>
      </c>
      <c r="L266" s="62" t="s">
        <v>2405</v>
      </c>
      <c r="M266" s="62" t="s">
        <v>452</v>
      </c>
      <c r="N266" s="62" t="s">
        <v>464</v>
      </c>
      <c r="O266" s="100" t="s">
        <v>2464</v>
      </c>
      <c r="P266" s="5" t="s">
        <v>2407</v>
      </c>
      <c r="Q266" s="34" t="s">
        <v>2465</v>
      </c>
      <c r="R266" s="5" t="s">
        <v>1327</v>
      </c>
      <c r="S266" s="5" t="s">
        <v>2467</v>
      </c>
      <c r="T266" s="5" t="s">
        <v>445</v>
      </c>
    </row>
    <row r="267" spans="3:20" ht="14">
      <c r="C267" s="5" t="s">
        <v>1857</v>
      </c>
      <c r="D267" s="5"/>
      <c r="F267" s="34" t="s">
        <v>295</v>
      </c>
      <c r="G267" s="88" t="s">
        <v>296</v>
      </c>
      <c r="H267" s="88"/>
      <c r="I267" s="307">
        <v>-30000</v>
      </c>
      <c r="J267" s="6">
        <v>-21.352313167259801</v>
      </c>
      <c r="K267" s="6">
        <v>1405</v>
      </c>
      <c r="L267" s="62" t="s">
        <v>2460</v>
      </c>
      <c r="M267" s="62" t="s">
        <v>452</v>
      </c>
      <c r="N267" s="62" t="s">
        <v>464</v>
      </c>
      <c r="O267" s="100" t="s">
        <v>2461</v>
      </c>
      <c r="P267" s="5" t="s">
        <v>2407</v>
      </c>
      <c r="Q267" s="34" t="s">
        <v>2462</v>
      </c>
      <c r="R267" s="5" t="s">
        <v>2536</v>
      </c>
      <c r="S267" s="5" t="s">
        <v>2463</v>
      </c>
      <c r="T267" s="5" t="s">
        <v>445</v>
      </c>
    </row>
    <row r="268" spans="3:20" ht="14">
      <c r="C268" s="5" t="s">
        <v>1857</v>
      </c>
      <c r="D268" s="5"/>
      <c r="F268" s="34" t="s">
        <v>295</v>
      </c>
      <c r="G268" s="88" t="s">
        <v>296</v>
      </c>
      <c r="H268" s="88"/>
      <c r="I268" s="307">
        <v>-21000</v>
      </c>
      <c r="J268" s="6">
        <v>-14.946619217081899</v>
      </c>
      <c r="K268" s="6">
        <v>1405</v>
      </c>
      <c r="L268" s="62" t="s">
        <v>2469</v>
      </c>
      <c r="M268" s="62" t="s">
        <v>452</v>
      </c>
      <c r="N268" s="62" t="s">
        <v>464</v>
      </c>
      <c r="O268" s="100" t="s">
        <v>2470</v>
      </c>
      <c r="P268" s="5" t="s">
        <v>2407</v>
      </c>
      <c r="Q268" s="34" t="s">
        <v>2471</v>
      </c>
      <c r="R268" s="5" t="s">
        <v>2537</v>
      </c>
      <c r="S268" s="5" t="s">
        <v>2472</v>
      </c>
      <c r="T268" s="5" t="s">
        <v>445</v>
      </c>
    </row>
    <row r="269" spans="3:20" ht="14">
      <c r="C269" s="5" t="s">
        <v>1857</v>
      </c>
      <c r="D269" s="5"/>
      <c r="F269" s="34" t="s">
        <v>295</v>
      </c>
      <c r="G269" s="88" t="s">
        <v>296</v>
      </c>
      <c r="H269" s="88"/>
      <c r="I269" s="307">
        <v>-48668</v>
      </c>
      <c r="J269" s="6">
        <v>-34.639145907473299</v>
      </c>
      <c r="K269" s="6">
        <v>1405</v>
      </c>
      <c r="L269" s="62" t="s">
        <v>2469</v>
      </c>
      <c r="M269" s="62" t="s">
        <v>452</v>
      </c>
      <c r="N269" s="62" t="s">
        <v>464</v>
      </c>
      <c r="O269" s="100" t="s">
        <v>2470</v>
      </c>
      <c r="P269" s="5" t="s">
        <v>2407</v>
      </c>
      <c r="Q269" s="34" t="s">
        <v>2471</v>
      </c>
      <c r="R269" s="5" t="s">
        <v>2538</v>
      </c>
      <c r="S269" s="5" t="s">
        <v>2472</v>
      </c>
      <c r="T269" s="5" t="s">
        <v>445</v>
      </c>
    </row>
    <row r="270" spans="3:20" ht="14">
      <c r="C270" s="5" t="s">
        <v>1857</v>
      </c>
      <c r="D270" s="5"/>
      <c r="F270" s="34" t="s">
        <v>295</v>
      </c>
      <c r="G270" s="88" t="s">
        <v>296</v>
      </c>
      <c r="H270" s="88"/>
      <c r="I270" s="307">
        <v>-15200</v>
      </c>
      <c r="J270" s="6">
        <v>-10.8185053380783</v>
      </c>
      <c r="K270" s="6">
        <v>1405</v>
      </c>
      <c r="L270" s="62" t="s">
        <v>2469</v>
      </c>
      <c r="M270" s="62" t="s">
        <v>452</v>
      </c>
      <c r="N270" s="62" t="s">
        <v>464</v>
      </c>
      <c r="O270" s="100" t="s">
        <v>2470</v>
      </c>
      <c r="P270" s="5" t="s">
        <v>2407</v>
      </c>
      <c r="Q270" s="34" t="s">
        <v>2471</v>
      </c>
      <c r="R270" s="5" t="s">
        <v>2543</v>
      </c>
      <c r="S270" s="5" t="s">
        <v>2472</v>
      </c>
      <c r="T270" s="5" t="s">
        <v>445</v>
      </c>
    </row>
    <row r="271" spans="3:20" ht="14">
      <c r="C271" s="5" t="s">
        <v>1857</v>
      </c>
      <c r="D271" s="5"/>
      <c r="F271" s="34" t="s">
        <v>295</v>
      </c>
      <c r="G271" s="88" t="s">
        <v>296</v>
      </c>
      <c r="H271" s="88"/>
      <c r="I271" s="307">
        <v>-20000</v>
      </c>
      <c r="J271" s="6">
        <v>-14.234875444839901</v>
      </c>
      <c r="K271" s="6">
        <v>1405</v>
      </c>
      <c r="L271" s="62" t="s">
        <v>2469</v>
      </c>
      <c r="M271" s="62" t="s">
        <v>452</v>
      </c>
      <c r="N271" s="62" t="s">
        <v>464</v>
      </c>
      <c r="O271" s="100" t="s">
        <v>2470</v>
      </c>
      <c r="P271" s="5" t="s">
        <v>2407</v>
      </c>
      <c r="Q271" s="34" t="s">
        <v>2471</v>
      </c>
      <c r="R271" s="5" t="s">
        <v>2544</v>
      </c>
      <c r="S271" s="5" t="s">
        <v>2472</v>
      </c>
      <c r="T271" s="5" t="s">
        <v>445</v>
      </c>
    </row>
    <row r="272" spans="3:20" ht="14">
      <c r="C272" s="5" t="s">
        <v>1857</v>
      </c>
      <c r="D272" s="5"/>
      <c r="F272" s="34" t="s">
        <v>295</v>
      </c>
      <c r="G272" s="88" t="s">
        <v>296</v>
      </c>
      <c r="H272" s="88"/>
      <c r="I272" s="307">
        <v>-10000</v>
      </c>
      <c r="J272" s="6">
        <v>-7.1174377224199299</v>
      </c>
      <c r="K272" s="6">
        <v>1405</v>
      </c>
      <c r="L272" s="62" t="s">
        <v>2454</v>
      </c>
      <c r="M272" s="62" t="s">
        <v>452</v>
      </c>
      <c r="N272" s="62" t="s">
        <v>464</v>
      </c>
      <c r="O272" s="100" t="s">
        <v>2455</v>
      </c>
      <c r="P272" s="5" t="s">
        <v>2407</v>
      </c>
      <c r="Q272" s="34" t="s">
        <v>2456</v>
      </c>
      <c r="R272" s="5" t="s">
        <v>2545</v>
      </c>
      <c r="S272" s="5" t="s">
        <v>2458</v>
      </c>
      <c r="T272" s="5" t="s">
        <v>445</v>
      </c>
    </row>
    <row r="273" spans="3:20" ht="14">
      <c r="C273" s="5" t="s">
        <v>1857</v>
      </c>
      <c r="D273" s="5"/>
      <c r="F273" s="34" t="s">
        <v>295</v>
      </c>
      <c r="G273" s="88" t="s">
        <v>296</v>
      </c>
      <c r="H273" s="88"/>
      <c r="I273" s="307">
        <v>-11500</v>
      </c>
      <c r="J273" s="6">
        <v>-8.1850533807829198</v>
      </c>
      <c r="K273" s="6">
        <v>1405</v>
      </c>
      <c r="L273" s="62" t="s">
        <v>2405</v>
      </c>
      <c r="M273" s="62" t="s">
        <v>452</v>
      </c>
      <c r="N273" s="62" t="s">
        <v>464</v>
      </c>
      <c r="O273" s="100" t="s">
        <v>2464</v>
      </c>
      <c r="P273" s="5" t="s">
        <v>2407</v>
      </c>
      <c r="Q273" s="34" t="s">
        <v>2465</v>
      </c>
      <c r="R273" s="5" t="s">
        <v>2546</v>
      </c>
      <c r="S273" s="5" t="s">
        <v>2467</v>
      </c>
      <c r="T273" s="5" t="s">
        <v>445</v>
      </c>
    </row>
    <row r="274" spans="3:20" ht="14">
      <c r="C274" s="5" t="s">
        <v>1857</v>
      </c>
      <c r="D274" s="5"/>
      <c r="F274" s="34" t="s">
        <v>295</v>
      </c>
      <c r="G274" s="88" t="s">
        <v>296</v>
      </c>
      <c r="H274" s="88"/>
      <c r="I274" s="307">
        <v>-30500</v>
      </c>
      <c r="J274" s="6">
        <v>-21.708185053380799</v>
      </c>
      <c r="K274" s="6">
        <v>1405</v>
      </c>
      <c r="L274" s="62" t="s">
        <v>2469</v>
      </c>
      <c r="M274" s="62" t="s">
        <v>452</v>
      </c>
      <c r="N274" s="62" t="s">
        <v>464</v>
      </c>
      <c r="O274" s="100" t="s">
        <v>2470</v>
      </c>
      <c r="P274" s="5" t="s">
        <v>2407</v>
      </c>
      <c r="Q274" s="34" t="s">
        <v>2471</v>
      </c>
      <c r="R274" s="5" t="s">
        <v>2547</v>
      </c>
      <c r="S274" s="5" t="s">
        <v>2472</v>
      </c>
      <c r="T274" s="5" t="s">
        <v>445</v>
      </c>
    </row>
    <row r="275" spans="3:20" ht="14">
      <c r="C275" s="5" t="s">
        <v>1857</v>
      </c>
      <c r="D275" s="5"/>
      <c r="F275" s="34" t="s">
        <v>295</v>
      </c>
      <c r="G275" s="88" t="s">
        <v>296</v>
      </c>
      <c r="H275" s="88"/>
      <c r="I275" s="307">
        <v>-14000</v>
      </c>
      <c r="J275" s="6">
        <v>-9.9644128113879002</v>
      </c>
      <c r="K275" s="6">
        <v>1405</v>
      </c>
      <c r="L275" s="62" t="s">
        <v>2469</v>
      </c>
      <c r="M275" s="62" t="s">
        <v>452</v>
      </c>
      <c r="N275" s="62" t="s">
        <v>464</v>
      </c>
      <c r="O275" s="100" t="s">
        <v>2470</v>
      </c>
      <c r="P275" s="5" t="s">
        <v>2407</v>
      </c>
      <c r="Q275" s="34" t="s">
        <v>2471</v>
      </c>
      <c r="R275" s="5" t="s">
        <v>2548</v>
      </c>
      <c r="S275" s="5" t="s">
        <v>2472</v>
      </c>
      <c r="T275" s="5" t="s">
        <v>445</v>
      </c>
    </row>
    <row r="276" spans="3:20" ht="14">
      <c r="C276" s="5" t="s">
        <v>1857</v>
      </c>
      <c r="D276" s="5"/>
      <c r="F276" s="34" t="s">
        <v>295</v>
      </c>
      <c r="G276" s="88" t="s">
        <v>296</v>
      </c>
      <c r="H276" s="88"/>
      <c r="I276" s="307">
        <v>-16320</v>
      </c>
      <c r="J276" s="6">
        <v>-11.615658362989301</v>
      </c>
      <c r="K276" s="6">
        <v>1405</v>
      </c>
      <c r="L276" s="62" t="s">
        <v>2454</v>
      </c>
      <c r="M276" s="62" t="s">
        <v>452</v>
      </c>
      <c r="N276" s="62" t="s">
        <v>464</v>
      </c>
      <c r="O276" s="100" t="s">
        <v>2455</v>
      </c>
      <c r="P276" s="5" t="s">
        <v>2407</v>
      </c>
      <c r="Q276" s="34" t="s">
        <v>2456</v>
      </c>
      <c r="R276" s="5" t="s">
        <v>2549</v>
      </c>
      <c r="S276" s="5" t="s">
        <v>2458</v>
      </c>
      <c r="T276" s="5" t="s">
        <v>445</v>
      </c>
    </row>
    <row r="277" spans="3:20" ht="14">
      <c r="C277" s="5" t="s">
        <v>1857</v>
      </c>
      <c r="D277" s="5"/>
      <c r="F277" s="34" t="s">
        <v>295</v>
      </c>
      <c r="G277" s="88" t="s">
        <v>296</v>
      </c>
      <c r="H277" s="88"/>
      <c r="I277" s="307">
        <v>-22700</v>
      </c>
      <c r="J277" s="6">
        <v>-16.156583629893198</v>
      </c>
      <c r="K277" s="6">
        <v>1405</v>
      </c>
      <c r="L277" s="62" t="s">
        <v>2454</v>
      </c>
      <c r="M277" s="62" t="s">
        <v>452</v>
      </c>
      <c r="N277" s="62" t="s">
        <v>464</v>
      </c>
      <c r="O277" s="100" t="s">
        <v>2455</v>
      </c>
      <c r="P277" s="5" t="s">
        <v>2407</v>
      </c>
      <c r="Q277" s="34" t="s">
        <v>2456</v>
      </c>
      <c r="R277" s="5" t="s">
        <v>634</v>
      </c>
      <c r="S277" s="5" t="s">
        <v>2458</v>
      </c>
      <c r="T277" s="5" t="s">
        <v>445</v>
      </c>
    </row>
    <row r="278" spans="3:20" ht="14">
      <c r="C278" s="5" t="s">
        <v>1857</v>
      </c>
      <c r="D278" s="5"/>
      <c r="F278" s="34" t="s">
        <v>295</v>
      </c>
      <c r="G278" s="88" t="s">
        <v>296</v>
      </c>
      <c r="H278" s="88"/>
      <c r="I278" s="307">
        <v>-91800</v>
      </c>
      <c r="J278" s="6">
        <v>-65.338078291814995</v>
      </c>
      <c r="K278" s="6">
        <v>1405</v>
      </c>
      <c r="L278" s="62" t="s">
        <v>2469</v>
      </c>
      <c r="M278" s="62" t="s">
        <v>452</v>
      </c>
      <c r="N278" s="62" t="s">
        <v>464</v>
      </c>
      <c r="O278" s="100" t="s">
        <v>2470</v>
      </c>
      <c r="P278" s="5" t="s">
        <v>2407</v>
      </c>
      <c r="Q278" s="34" t="s">
        <v>2471</v>
      </c>
      <c r="R278" s="5" t="s">
        <v>634</v>
      </c>
      <c r="S278" s="5" t="s">
        <v>2472</v>
      </c>
      <c r="T278" s="5" t="s">
        <v>445</v>
      </c>
    </row>
    <row r="279" spans="3:20" ht="14">
      <c r="C279" s="5" t="s">
        <v>1857</v>
      </c>
      <c r="D279" s="5"/>
      <c r="F279" s="34" t="s">
        <v>295</v>
      </c>
      <c r="G279" s="88" t="s">
        <v>296</v>
      </c>
      <c r="H279" s="88"/>
      <c r="I279" s="307">
        <v>-115060</v>
      </c>
      <c r="J279" s="6">
        <v>-81.893238434163706</v>
      </c>
      <c r="K279" s="6">
        <v>1405</v>
      </c>
      <c r="L279" s="62" t="s">
        <v>2460</v>
      </c>
      <c r="M279" s="62" t="s">
        <v>452</v>
      </c>
      <c r="N279" s="62" t="s">
        <v>464</v>
      </c>
      <c r="O279" s="100" t="s">
        <v>2461</v>
      </c>
      <c r="P279" s="5" t="s">
        <v>2407</v>
      </c>
      <c r="Q279" s="34" t="s">
        <v>2462</v>
      </c>
      <c r="R279" s="5" t="s">
        <v>634</v>
      </c>
      <c r="S279" s="5" t="s">
        <v>2463</v>
      </c>
      <c r="T279" s="5" t="s">
        <v>445</v>
      </c>
    </row>
    <row r="280" spans="3:20" ht="14">
      <c r="C280" s="5" t="s">
        <v>1857</v>
      </c>
      <c r="D280" s="5"/>
      <c r="F280" s="34" t="s">
        <v>295</v>
      </c>
      <c r="G280" s="88" t="s">
        <v>296</v>
      </c>
      <c r="H280" s="88"/>
      <c r="I280" s="307">
        <v>-92700</v>
      </c>
      <c r="J280" s="6">
        <v>-65.978647686832701</v>
      </c>
      <c r="K280" s="6">
        <v>1405</v>
      </c>
      <c r="L280" s="62" t="s">
        <v>2460</v>
      </c>
      <c r="M280" s="62" t="s">
        <v>452</v>
      </c>
      <c r="N280" s="62" t="s">
        <v>464</v>
      </c>
      <c r="O280" s="100" t="s">
        <v>2461</v>
      </c>
      <c r="P280" s="5" t="s">
        <v>2407</v>
      </c>
      <c r="Q280" s="34" t="s">
        <v>2462</v>
      </c>
      <c r="R280" s="5" t="s">
        <v>634</v>
      </c>
      <c r="S280" s="5" t="s">
        <v>2463</v>
      </c>
      <c r="T280" s="5" t="s">
        <v>445</v>
      </c>
    </row>
    <row r="281" spans="3:20" ht="14">
      <c r="C281" s="5" t="s">
        <v>1857</v>
      </c>
      <c r="D281" s="5"/>
      <c r="F281" s="34" t="s">
        <v>295</v>
      </c>
      <c r="G281" s="88" t="s">
        <v>296</v>
      </c>
      <c r="H281" s="88"/>
      <c r="I281" s="307">
        <v>-83053</v>
      </c>
      <c r="J281" s="6">
        <v>-59.112455516014201</v>
      </c>
      <c r="K281" s="6">
        <v>1405</v>
      </c>
      <c r="L281" s="62" t="s">
        <v>2454</v>
      </c>
      <c r="M281" s="62" t="s">
        <v>452</v>
      </c>
      <c r="N281" s="62" t="s">
        <v>464</v>
      </c>
      <c r="O281" s="100" t="s">
        <v>2455</v>
      </c>
      <c r="P281" s="5" t="s">
        <v>2407</v>
      </c>
      <c r="Q281" s="34" t="s">
        <v>2456</v>
      </c>
      <c r="R281" s="5" t="s">
        <v>2550</v>
      </c>
      <c r="S281" s="5" t="s">
        <v>2458</v>
      </c>
      <c r="T281" s="5" t="s">
        <v>445</v>
      </c>
    </row>
    <row r="282" spans="3:20" ht="14">
      <c r="C282" s="5" t="s">
        <v>1857</v>
      </c>
      <c r="D282" s="5"/>
      <c r="F282" s="34" t="s">
        <v>295</v>
      </c>
      <c r="G282" s="88" t="s">
        <v>296</v>
      </c>
      <c r="H282" s="88"/>
      <c r="I282" s="307">
        <v>-8000</v>
      </c>
      <c r="J282" s="6">
        <v>-5.6939501779359398</v>
      </c>
      <c r="K282" s="6">
        <v>1405</v>
      </c>
      <c r="L282" s="62" t="s">
        <v>2454</v>
      </c>
      <c r="M282" s="62" t="s">
        <v>452</v>
      </c>
      <c r="N282" s="62" t="s">
        <v>464</v>
      </c>
      <c r="O282" s="100" t="s">
        <v>2455</v>
      </c>
      <c r="P282" s="5" t="s">
        <v>2407</v>
      </c>
      <c r="Q282" s="34" t="s">
        <v>2456</v>
      </c>
      <c r="R282" s="5" t="s">
        <v>2551</v>
      </c>
      <c r="S282" s="5" t="s">
        <v>2458</v>
      </c>
      <c r="T282" s="5" t="s">
        <v>445</v>
      </c>
    </row>
    <row r="283" spans="3:20" ht="14">
      <c r="C283" s="5" t="s">
        <v>1857</v>
      </c>
      <c r="D283" s="5"/>
      <c r="F283" s="34" t="s">
        <v>295</v>
      </c>
      <c r="G283" s="88" t="s">
        <v>296</v>
      </c>
      <c r="H283" s="88"/>
      <c r="I283" s="307">
        <v>-37100</v>
      </c>
      <c r="J283" s="6">
        <v>-26.405693950177898</v>
      </c>
      <c r="K283" s="6">
        <v>1405</v>
      </c>
      <c r="L283" s="62" t="s">
        <v>2460</v>
      </c>
      <c r="M283" s="62" t="s">
        <v>452</v>
      </c>
      <c r="N283" s="62" t="s">
        <v>464</v>
      </c>
      <c r="O283" s="100" t="s">
        <v>2461</v>
      </c>
      <c r="P283" s="5" t="s">
        <v>2407</v>
      </c>
      <c r="Q283" s="34" t="s">
        <v>2462</v>
      </c>
      <c r="R283" s="5" t="s">
        <v>2552</v>
      </c>
      <c r="S283" s="5" t="s">
        <v>2463</v>
      </c>
      <c r="T283" s="5" t="s">
        <v>445</v>
      </c>
    </row>
    <row r="284" spans="3:20" ht="14">
      <c r="C284" s="5" t="s">
        <v>1857</v>
      </c>
      <c r="D284" s="5"/>
      <c r="F284" s="34" t="s">
        <v>295</v>
      </c>
      <c r="G284" s="88" t="s">
        <v>296</v>
      </c>
      <c r="H284" s="88"/>
      <c r="I284" s="307">
        <v>-38923</v>
      </c>
      <c r="J284" s="6">
        <v>-27.703202846975099</v>
      </c>
      <c r="K284" s="6">
        <v>1405</v>
      </c>
      <c r="L284" s="62" t="s">
        <v>2405</v>
      </c>
      <c r="M284" s="62" t="s">
        <v>452</v>
      </c>
      <c r="N284" s="62" t="s">
        <v>464</v>
      </c>
      <c r="O284" s="100" t="s">
        <v>2464</v>
      </c>
      <c r="P284" s="5" t="s">
        <v>2407</v>
      </c>
      <c r="Q284" s="34" t="s">
        <v>2465</v>
      </c>
      <c r="R284" s="5" t="s">
        <v>2553</v>
      </c>
      <c r="S284" s="5" t="s">
        <v>2467</v>
      </c>
      <c r="T284" s="5" t="s">
        <v>445</v>
      </c>
    </row>
    <row r="285" spans="3:20" ht="14">
      <c r="C285" s="5" t="s">
        <v>1857</v>
      </c>
      <c r="D285" s="5"/>
      <c r="F285" s="34" t="s">
        <v>295</v>
      </c>
      <c r="G285" s="88" t="s">
        <v>296</v>
      </c>
      <c r="H285" s="88"/>
      <c r="I285" s="307">
        <v>-35000</v>
      </c>
      <c r="J285" s="6">
        <v>-24.911032028469801</v>
      </c>
      <c r="K285" s="6">
        <v>1405</v>
      </c>
      <c r="L285" s="62" t="s">
        <v>2405</v>
      </c>
      <c r="M285" s="62" t="s">
        <v>452</v>
      </c>
      <c r="N285" s="62" t="s">
        <v>464</v>
      </c>
      <c r="O285" s="100" t="s">
        <v>2464</v>
      </c>
      <c r="P285" s="5" t="s">
        <v>2407</v>
      </c>
      <c r="Q285" s="34" t="s">
        <v>2465</v>
      </c>
      <c r="R285" s="5" t="s">
        <v>2553</v>
      </c>
      <c r="S285" s="5" t="s">
        <v>2467</v>
      </c>
      <c r="T285" s="5" t="s">
        <v>445</v>
      </c>
    </row>
    <row r="286" spans="3:20" ht="14">
      <c r="C286" s="5" t="s">
        <v>1857</v>
      </c>
      <c r="D286" s="5"/>
      <c r="F286" s="34" t="s">
        <v>295</v>
      </c>
      <c r="G286" s="88" t="s">
        <v>296</v>
      </c>
      <c r="H286" s="88"/>
      <c r="I286" s="307">
        <v>-15000</v>
      </c>
      <c r="J286" s="6">
        <v>-10.676156583629901</v>
      </c>
      <c r="K286" s="6">
        <v>1405</v>
      </c>
      <c r="L286" s="62" t="s">
        <v>2454</v>
      </c>
      <c r="M286" s="62" t="s">
        <v>452</v>
      </c>
      <c r="N286" s="62" t="s">
        <v>464</v>
      </c>
      <c r="O286" s="100" t="s">
        <v>2455</v>
      </c>
      <c r="P286" s="5" t="s">
        <v>2407</v>
      </c>
      <c r="Q286" s="34" t="s">
        <v>2456</v>
      </c>
      <c r="R286" s="5" t="s">
        <v>2554</v>
      </c>
      <c r="S286" s="5" t="s">
        <v>2458</v>
      </c>
      <c r="T286" s="5" t="s">
        <v>445</v>
      </c>
    </row>
    <row r="287" spans="3:20" ht="14">
      <c r="C287" s="5" t="s">
        <v>1857</v>
      </c>
      <c r="D287" s="5"/>
      <c r="F287" s="34" t="s">
        <v>295</v>
      </c>
      <c r="G287" s="88" t="s">
        <v>296</v>
      </c>
      <c r="H287" s="88"/>
      <c r="I287" s="307">
        <v>-14913</v>
      </c>
      <c r="J287" s="6">
        <v>-10.614234875444801</v>
      </c>
      <c r="K287" s="6">
        <v>1405</v>
      </c>
      <c r="L287" s="62" t="s">
        <v>2469</v>
      </c>
      <c r="M287" s="62" t="s">
        <v>452</v>
      </c>
      <c r="N287" s="62" t="s">
        <v>464</v>
      </c>
      <c r="O287" s="100" t="s">
        <v>2470</v>
      </c>
      <c r="P287" s="5" t="s">
        <v>2407</v>
      </c>
      <c r="Q287" s="34" t="s">
        <v>2471</v>
      </c>
      <c r="R287" s="5" t="s">
        <v>763</v>
      </c>
      <c r="S287" s="5" t="s">
        <v>2472</v>
      </c>
      <c r="T287" s="5" t="s">
        <v>445</v>
      </c>
    </row>
    <row r="288" spans="3:20" ht="14">
      <c r="C288" s="5" t="s">
        <v>1857</v>
      </c>
      <c r="D288" s="5"/>
      <c r="F288" s="34" t="s">
        <v>295</v>
      </c>
      <c r="G288" s="88" t="s">
        <v>296</v>
      </c>
      <c r="H288" s="88"/>
      <c r="I288" s="307">
        <v>-34000</v>
      </c>
      <c r="J288" s="6">
        <v>-24.199288256227799</v>
      </c>
      <c r="K288" s="6">
        <v>1405</v>
      </c>
      <c r="L288" s="62" t="s">
        <v>2454</v>
      </c>
      <c r="M288" s="62" t="s">
        <v>452</v>
      </c>
      <c r="N288" s="62" t="s">
        <v>464</v>
      </c>
      <c r="O288" s="100" t="s">
        <v>2455</v>
      </c>
      <c r="P288" s="5" t="s">
        <v>2407</v>
      </c>
      <c r="Q288" s="34" t="s">
        <v>2456</v>
      </c>
      <c r="R288" s="5" t="s">
        <v>2555</v>
      </c>
      <c r="S288" s="5" t="s">
        <v>2458</v>
      </c>
      <c r="T288" s="5" t="s">
        <v>445</v>
      </c>
    </row>
    <row r="289" spans="3:20" ht="14">
      <c r="C289" s="5" t="s">
        <v>1857</v>
      </c>
      <c r="D289" s="5"/>
      <c r="F289" s="34" t="s">
        <v>295</v>
      </c>
      <c r="G289" s="88" t="s">
        <v>296</v>
      </c>
      <c r="H289" s="88"/>
      <c r="I289" s="307">
        <v>-30400</v>
      </c>
      <c r="J289" s="6">
        <v>-21.637010676156599</v>
      </c>
      <c r="K289" s="6">
        <v>1405</v>
      </c>
      <c r="L289" s="62" t="s">
        <v>2454</v>
      </c>
      <c r="M289" s="62" t="s">
        <v>452</v>
      </c>
      <c r="N289" s="62" t="s">
        <v>464</v>
      </c>
      <c r="O289" s="100" t="s">
        <v>2455</v>
      </c>
      <c r="P289" s="5" t="s">
        <v>2407</v>
      </c>
      <c r="Q289" s="34" t="s">
        <v>2456</v>
      </c>
      <c r="R289" s="5" t="s">
        <v>2556</v>
      </c>
      <c r="S289" s="5" t="s">
        <v>2458</v>
      </c>
      <c r="T289" s="5" t="s">
        <v>445</v>
      </c>
    </row>
    <row r="290" spans="3:20" ht="14">
      <c r="C290" s="5" t="s">
        <v>1857</v>
      </c>
      <c r="D290" s="5"/>
      <c r="F290" s="34" t="s">
        <v>295</v>
      </c>
      <c r="G290" s="88" t="s">
        <v>296</v>
      </c>
      <c r="H290" s="88"/>
      <c r="I290" s="307">
        <v>-80000</v>
      </c>
      <c r="J290" s="6">
        <v>-56.939501779359396</v>
      </c>
      <c r="K290" s="6">
        <v>1405</v>
      </c>
      <c r="L290" s="62" t="s">
        <v>2469</v>
      </c>
      <c r="M290" s="62" t="s">
        <v>452</v>
      </c>
      <c r="N290" s="62" t="s">
        <v>464</v>
      </c>
      <c r="O290" s="100" t="s">
        <v>2470</v>
      </c>
      <c r="P290" s="5" t="s">
        <v>2407</v>
      </c>
      <c r="Q290" s="34" t="s">
        <v>2471</v>
      </c>
      <c r="R290" s="5" t="s">
        <v>2557</v>
      </c>
      <c r="S290" s="5" t="s">
        <v>2472</v>
      </c>
      <c r="T290" s="5" t="s">
        <v>445</v>
      </c>
    </row>
    <row r="291" spans="3:20" ht="14">
      <c r="C291" s="5" t="s">
        <v>1857</v>
      </c>
      <c r="D291" s="5"/>
      <c r="F291" s="34" t="s">
        <v>295</v>
      </c>
      <c r="G291" s="88" t="s">
        <v>296</v>
      </c>
      <c r="H291" s="88"/>
      <c r="I291" s="307">
        <v>-69453</v>
      </c>
      <c r="J291" s="6">
        <v>-49.432740213523097</v>
      </c>
      <c r="K291" s="6">
        <v>1405</v>
      </c>
      <c r="L291" s="62" t="s">
        <v>2469</v>
      </c>
      <c r="M291" s="62" t="s">
        <v>452</v>
      </c>
      <c r="N291" s="62" t="s">
        <v>464</v>
      </c>
      <c r="O291" s="100" t="s">
        <v>2470</v>
      </c>
      <c r="P291" s="5" t="s">
        <v>2407</v>
      </c>
      <c r="Q291" s="34" t="s">
        <v>2471</v>
      </c>
      <c r="R291" s="5" t="s">
        <v>2558</v>
      </c>
      <c r="S291" s="5" t="s">
        <v>2472</v>
      </c>
      <c r="T291" s="5" t="s">
        <v>445</v>
      </c>
    </row>
    <row r="292" spans="3:20" ht="14">
      <c r="C292" s="5" t="s">
        <v>1857</v>
      </c>
      <c r="D292" s="5"/>
      <c r="F292" s="34" t="s">
        <v>297</v>
      </c>
      <c r="G292" s="88" t="s">
        <v>298</v>
      </c>
      <c r="H292" s="88"/>
      <c r="I292" s="307">
        <v>17703000</v>
      </c>
      <c r="J292" s="6">
        <v>12600</v>
      </c>
      <c r="K292" s="6">
        <v>1405</v>
      </c>
      <c r="L292" s="62" t="s">
        <v>2405</v>
      </c>
      <c r="M292" s="62" t="s">
        <v>452</v>
      </c>
      <c r="N292" s="62" t="s">
        <v>464</v>
      </c>
      <c r="O292" s="100" t="s">
        <v>2504</v>
      </c>
      <c r="P292" s="5" t="s">
        <v>2407</v>
      </c>
      <c r="Q292" s="34" t="s">
        <v>2505</v>
      </c>
      <c r="R292" s="5" t="s">
        <v>563</v>
      </c>
      <c r="S292" s="5" t="s">
        <v>2506</v>
      </c>
      <c r="T292" s="5" t="s">
        <v>445</v>
      </c>
    </row>
    <row r="293" spans="3:20" ht="14">
      <c r="C293" s="5" t="s">
        <v>1857</v>
      </c>
      <c r="D293" s="5"/>
      <c r="F293" s="34" t="s">
        <v>297</v>
      </c>
      <c r="G293" s="88" t="s">
        <v>298</v>
      </c>
      <c r="H293" s="88"/>
      <c r="I293" s="307">
        <v>-140500</v>
      </c>
      <c r="J293" s="6">
        <v>-100</v>
      </c>
      <c r="K293" s="6">
        <v>1405</v>
      </c>
      <c r="L293" s="62" t="s">
        <v>2469</v>
      </c>
      <c r="M293" s="62" t="s">
        <v>452</v>
      </c>
      <c r="N293" s="62" t="s">
        <v>464</v>
      </c>
      <c r="O293" s="100" t="s">
        <v>2509</v>
      </c>
      <c r="P293" s="5" t="s">
        <v>2407</v>
      </c>
      <c r="Q293" s="34" t="s">
        <v>2510</v>
      </c>
      <c r="R293" s="5" t="s">
        <v>2511</v>
      </c>
      <c r="S293" s="5" t="s">
        <v>2512</v>
      </c>
      <c r="T293" s="5" t="s">
        <v>445</v>
      </c>
    </row>
    <row r="294" spans="3:20" ht="14">
      <c r="C294" s="5" t="s">
        <v>1857</v>
      </c>
      <c r="D294" s="5"/>
      <c r="F294" s="34" t="s">
        <v>297</v>
      </c>
      <c r="G294" s="88" t="s">
        <v>298</v>
      </c>
      <c r="H294" s="88"/>
      <c r="I294" s="307">
        <v>-1405000</v>
      </c>
      <c r="J294" s="6">
        <v>-1000</v>
      </c>
      <c r="K294" s="6">
        <v>1405</v>
      </c>
      <c r="L294" s="62" t="s">
        <v>2454</v>
      </c>
      <c r="M294" s="62" t="s">
        <v>452</v>
      </c>
      <c r="N294" s="62" t="s">
        <v>464</v>
      </c>
      <c r="O294" s="100" t="s">
        <v>2514</v>
      </c>
      <c r="P294" s="5" t="s">
        <v>2407</v>
      </c>
      <c r="Q294" s="34" t="s">
        <v>2515</v>
      </c>
      <c r="R294" s="5" t="s">
        <v>2516</v>
      </c>
      <c r="S294" s="5" t="s">
        <v>2517</v>
      </c>
      <c r="T294" s="5" t="s">
        <v>445</v>
      </c>
    </row>
    <row r="295" spans="3:20" ht="14">
      <c r="C295" s="5" t="s">
        <v>1857</v>
      </c>
      <c r="D295" s="5"/>
      <c r="F295" s="34" t="s">
        <v>297</v>
      </c>
      <c r="G295" s="88" t="s">
        <v>298</v>
      </c>
      <c r="H295" s="88"/>
      <c r="I295" s="307">
        <v>-1503350</v>
      </c>
      <c r="J295" s="6">
        <v>-1070</v>
      </c>
      <c r="K295" s="6">
        <v>1405</v>
      </c>
      <c r="L295" s="62" t="s">
        <v>2469</v>
      </c>
      <c r="M295" s="62" t="s">
        <v>452</v>
      </c>
      <c r="N295" s="62" t="s">
        <v>464</v>
      </c>
      <c r="O295" s="100" t="s">
        <v>2509</v>
      </c>
      <c r="P295" s="5" t="s">
        <v>2407</v>
      </c>
      <c r="Q295" s="34" t="s">
        <v>2510</v>
      </c>
      <c r="R295" s="5" t="s">
        <v>2523</v>
      </c>
      <c r="S295" s="5" t="s">
        <v>2512</v>
      </c>
      <c r="T295" s="5" t="s">
        <v>445</v>
      </c>
    </row>
    <row r="296" spans="3:20" ht="14">
      <c r="C296" s="5" t="s">
        <v>1857</v>
      </c>
      <c r="D296" s="5"/>
      <c r="F296" s="34" t="s">
        <v>297</v>
      </c>
      <c r="G296" s="88" t="s">
        <v>298</v>
      </c>
      <c r="H296" s="88"/>
      <c r="I296" s="307">
        <v>-913250</v>
      </c>
      <c r="J296" s="6">
        <v>-650</v>
      </c>
      <c r="K296" s="6">
        <v>1405</v>
      </c>
      <c r="L296" s="62" t="s">
        <v>2469</v>
      </c>
      <c r="M296" s="62" t="s">
        <v>452</v>
      </c>
      <c r="N296" s="62" t="s">
        <v>464</v>
      </c>
      <c r="O296" s="100" t="s">
        <v>2509</v>
      </c>
      <c r="P296" s="5" t="s">
        <v>2407</v>
      </c>
      <c r="Q296" s="34" t="s">
        <v>2510</v>
      </c>
      <c r="R296" s="5" t="s">
        <v>2524</v>
      </c>
      <c r="S296" s="5" t="s">
        <v>2512</v>
      </c>
      <c r="T296" s="5" t="s">
        <v>445</v>
      </c>
    </row>
    <row r="297" spans="3:20" ht="14">
      <c r="C297" s="5" t="s">
        <v>1857</v>
      </c>
      <c r="D297" s="5"/>
      <c r="F297" s="34" t="s">
        <v>297</v>
      </c>
      <c r="G297" s="88" t="s">
        <v>298</v>
      </c>
      <c r="H297" s="88"/>
      <c r="I297" s="307">
        <v>-1784350</v>
      </c>
      <c r="J297" s="6">
        <v>-1270</v>
      </c>
      <c r="K297" s="6">
        <v>1405</v>
      </c>
      <c r="L297" s="62" t="s">
        <v>2469</v>
      </c>
      <c r="M297" s="62" t="s">
        <v>452</v>
      </c>
      <c r="N297" s="62" t="s">
        <v>464</v>
      </c>
      <c r="O297" s="100" t="s">
        <v>2509</v>
      </c>
      <c r="P297" s="5" t="s">
        <v>2407</v>
      </c>
      <c r="Q297" s="34" t="s">
        <v>2510</v>
      </c>
      <c r="R297" s="5" t="s">
        <v>2525</v>
      </c>
      <c r="S297" s="5" t="s">
        <v>2512</v>
      </c>
      <c r="T297" s="5" t="s">
        <v>445</v>
      </c>
    </row>
    <row r="298" spans="3:20" ht="14">
      <c r="C298" s="5" t="s">
        <v>1857</v>
      </c>
      <c r="D298" s="5"/>
      <c r="F298" s="34" t="s">
        <v>297</v>
      </c>
      <c r="G298" s="88" t="s">
        <v>298</v>
      </c>
      <c r="H298" s="88"/>
      <c r="I298" s="307">
        <v>-983500</v>
      </c>
      <c r="J298" s="6">
        <v>-700</v>
      </c>
      <c r="K298" s="6">
        <v>1405</v>
      </c>
      <c r="L298" s="62" t="s">
        <v>2405</v>
      </c>
      <c r="M298" s="62" t="s">
        <v>452</v>
      </c>
      <c r="N298" s="62" t="s">
        <v>464</v>
      </c>
      <c r="O298" s="100" t="s">
        <v>2526</v>
      </c>
      <c r="P298" s="5" t="s">
        <v>2407</v>
      </c>
      <c r="Q298" s="34" t="s">
        <v>2527</v>
      </c>
      <c r="R298" s="5" t="s">
        <v>2528</v>
      </c>
      <c r="S298" s="5" t="s">
        <v>2529</v>
      </c>
      <c r="T298" s="5" t="s">
        <v>445</v>
      </c>
    </row>
    <row r="299" spans="3:20" ht="14">
      <c r="C299" s="5" t="s">
        <v>1857</v>
      </c>
      <c r="D299" s="5"/>
      <c r="F299" s="34" t="s">
        <v>297</v>
      </c>
      <c r="G299" s="88" t="s">
        <v>298</v>
      </c>
      <c r="H299" s="88"/>
      <c r="I299" s="307">
        <v>-2248000</v>
      </c>
      <c r="J299" s="6">
        <v>-1600</v>
      </c>
      <c r="K299" s="6">
        <v>1405</v>
      </c>
      <c r="L299" s="62" t="s">
        <v>2469</v>
      </c>
      <c r="M299" s="62" t="s">
        <v>452</v>
      </c>
      <c r="N299" s="62" t="s">
        <v>464</v>
      </c>
      <c r="O299" s="100" t="s">
        <v>2509</v>
      </c>
      <c r="P299" s="5" t="s">
        <v>2407</v>
      </c>
      <c r="Q299" s="34" t="s">
        <v>2510</v>
      </c>
      <c r="R299" s="5" t="s">
        <v>2531</v>
      </c>
      <c r="S299" s="5" t="s">
        <v>2512</v>
      </c>
      <c r="T299" s="5" t="s">
        <v>445</v>
      </c>
    </row>
    <row r="300" spans="3:20" ht="14">
      <c r="C300" s="5" t="s">
        <v>1857</v>
      </c>
      <c r="D300" s="5"/>
      <c r="F300" s="34" t="s">
        <v>297</v>
      </c>
      <c r="G300" s="88" t="s">
        <v>298</v>
      </c>
      <c r="H300" s="88"/>
      <c r="I300" s="307">
        <v>-730600</v>
      </c>
      <c r="J300" s="6">
        <v>-520</v>
      </c>
      <c r="K300" s="6">
        <v>1405</v>
      </c>
      <c r="L300" s="62" t="s">
        <v>2405</v>
      </c>
      <c r="M300" s="62" t="s">
        <v>452</v>
      </c>
      <c r="N300" s="62" t="s">
        <v>464</v>
      </c>
      <c r="O300" s="100" t="s">
        <v>2526</v>
      </c>
      <c r="P300" s="5" t="s">
        <v>2407</v>
      </c>
      <c r="Q300" s="34" t="s">
        <v>2527</v>
      </c>
      <c r="R300" s="5" t="s">
        <v>2532</v>
      </c>
      <c r="S300" s="5" t="s">
        <v>2529</v>
      </c>
      <c r="T300" s="5" t="s">
        <v>445</v>
      </c>
    </row>
    <row r="301" spans="3:20" ht="14">
      <c r="C301" s="5" t="s">
        <v>1857</v>
      </c>
      <c r="D301" s="5"/>
      <c r="F301" s="34" t="s">
        <v>297</v>
      </c>
      <c r="G301" s="88" t="s">
        <v>298</v>
      </c>
      <c r="H301" s="88"/>
      <c r="I301" s="307">
        <v>-779775</v>
      </c>
      <c r="J301" s="6">
        <v>-555</v>
      </c>
      <c r="K301" s="6">
        <v>1405</v>
      </c>
      <c r="L301" s="62" t="s">
        <v>2405</v>
      </c>
      <c r="M301" s="62" t="s">
        <v>452</v>
      </c>
      <c r="N301" s="62" t="s">
        <v>464</v>
      </c>
      <c r="O301" s="100" t="s">
        <v>2526</v>
      </c>
      <c r="P301" s="5" t="s">
        <v>2407</v>
      </c>
      <c r="Q301" s="34" t="s">
        <v>2527</v>
      </c>
      <c r="R301" s="5" t="s">
        <v>2533</v>
      </c>
      <c r="S301" s="5" t="s">
        <v>2529</v>
      </c>
      <c r="T301" s="5" t="s">
        <v>445</v>
      </c>
    </row>
    <row r="302" spans="3:20" ht="14">
      <c r="C302" s="5" t="s">
        <v>1857</v>
      </c>
      <c r="D302" s="5"/>
      <c r="F302" s="34" t="s">
        <v>297</v>
      </c>
      <c r="G302" s="88" t="s">
        <v>298</v>
      </c>
      <c r="H302" s="88"/>
      <c r="I302" s="307">
        <v>-252900</v>
      </c>
      <c r="J302" s="6">
        <v>-180</v>
      </c>
      <c r="K302" s="6">
        <v>1405</v>
      </c>
      <c r="L302" s="62" t="s">
        <v>2460</v>
      </c>
      <c r="M302" s="62" t="s">
        <v>452</v>
      </c>
      <c r="N302" s="62" t="s">
        <v>464</v>
      </c>
      <c r="O302" s="100" t="s">
        <v>2539</v>
      </c>
      <c r="P302" s="5" t="s">
        <v>2407</v>
      </c>
      <c r="Q302" s="34" t="s">
        <v>2540</v>
      </c>
      <c r="R302" s="5" t="s">
        <v>2541</v>
      </c>
      <c r="S302" s="5" t="s">
        <v>2542</v>
      </c>
      <c r="T302" s="5" t="s">
        <v>445</v>
      </c>
    </row>
    <row r="303" spans="3:20" ht="14">
      <c r="C303" s="5" t="s">
        <v>1857</v>
      </c>
      <c r="D303" s="5"/>
      <c r="F303" s="34" t="s">
        <v>297</v>
      </c>
      <c r="G303" s="88" t="s">
        <v>298</v>
      </c>
      <c r="H303" s="88"/>
      <c r="I303" s="307">
        <v>351250</v>
      </c>
      <c r="J303" s="6">
        <v>250</v>
      </c>
      <c r="K303" s="6">
        <v>1405</v>
      </c>
      <c r="L303" s="62" t="s">
        <v>2469</v>
      </c>
      <c r="M303" s="62" t="s">
        <v>1416</v>
      </c>
      <c r="N303" s="62" t="s">
        <v>464</v>
      </c>
      <c r="O303" s="100" t="s">
        <v>2624</v>
      </c>
      <c r="P303" s="5" t="s">
        <v>2625</v>
      </c>
      <c r="Q303" s="34" t="s">
        <v>2626</v>
      </c>
      <c r="R303" s="5" t="s">
        <v>2626</v>
      </c>
      <c r="S303" s="5" t="s">
        <v>2627</v>
      </c>
      <c r="T303" s="5" t="s">
        <v>445</v>
      </c>
    </row>
    <row r="304" spans="3:20" ht="14">
      <c r="C304" s="5" t="s">
        <v>1857</v>
      </c>
      <c r="D304" s="5"/>
      <c r="F304" s="34" t="s">
        <v>1380</v>
      </c>
      <c r="G304" s="88" t="s">
        <v>1381</v>
      </c>
      <c r="H304" s="88"/>
      <c r="I304" s="307">
        <v>702500</v>
      </c>
      <c r="J304" s="6">
        <v>500</v>
      </c>
      <c r="K304" s="6">
        <v>1405</v>
      </c>
      <c r="L304" s="62" t="s">
        <v>2460</v>
      </c>
      <c r="M304" s="62" t="s">
        <v>1382</v>
      </c>
      <c r="N304" s="62" t="s">
        <v>464</v>
      </c>
      <c r="O304" s="100" t="s">
        <v>2611</v>
      </c>
      <c r="P304" s="5" t="s">
        <v>2612</v>
      </c>
      <c r="Q304" s="34" t="s">
        <v>2613</v>
      </c>
      <c r="R304" s="5" t="s">
        <v>2614</v>
      </c>
      <c r="S304" s="5" t="s">
        <v>2615</v>
      </c>
      <c r="T304" s="5" t="s">
        <v>445</v>
      </c>
    </row>
    <row r="305" spans="3:20" ht="14">
      <c r="C305" s="5" t="s">
        <v>1857</v>
      </c>
      <c r="D305" s="5"/>
      <c r="F305" s="34" t="s">
        <v>1380</v>
      </c>
      <c r="G305" s="88" t="s">
        <v>1381</v>
      </c>
      <c r="H305" s="88"/>
      <c r="I305" s="307">
        <v>351250</v>
      </c>
      <c r="J305" s="6">
        <v>250</v>
      </c>
      <c r="K305" s="6">
        <v>1405</v>
      </c>
      <c r="L305" s="62" t="s">
        <v>2469</v>
      </c>
      <c r="M305" s="62" t="s">
        <v>1382</v>
      </c>
      <c r="N305" s="62" t="s">
        <v>464</v>
      </c>
      <c r="O305" s="100" t="s">
        <v>2616</v>
      </c>
      <c r="P305" s="5" t="s">
        <v>2612</v>
      </c>
      <c r="Q305" s="34" t="s">
        <v>2617</v>
      </c>
      <c r="R305" s="5" t="s">
        <v>2618</v>
      </c>
      <c r="S305" s="5" t="s">
        <v>2619</v>
      </c>
      <c r="T305" s="5" t="s">
        <v>445</v>
      </c>
    </row>
    <row r="306" spans="3:20" ht="14">
      <c r="C306" s="5" t="s">
        <v>1857</v>
      </c>
      <c r="D306" s="5"/>
      <c r="F306" s="34" t="s">
        <v>1380</v>
      </c>
      <c r="G306" s="88" t="s">
        <v>1381</v>
      </c>
      <c r="H306" s="88"/>
      <c r="I306" s="307">
        <v>252900</v>
      </c>
      <c r="J306" s="6">
        <v>180</v>
      </c>
      <c r="K306" s="6">
        <v>1405</v>
      </c>
      <c r="L306" s="62" t="s">
        <v>2454</v>
      </c>
      <c r="M306" s="62" t="s">
        <v>1382</v>
      </c>
      <c r="N306" s="62" t="s">
        <v>464</v>
      </c>
      <c r="O306" s="100" t="s">
        <v>2620</v>
      </c>
      <c r="P306" s="5" t="s">
        <v>2612</v>
      </c>
      <c r="Q306" s="34" t="s">
        <v>2621</v>
      </c>
      <c r="R306" s="5" t="s">
        <v>2622</v>
      </c>
      <c r="S306" s="5" t="s">
        <v>2623</v>
      </c>
      <c r="T306" s="5" t="s">
        <v>445</v>
      </c>
    </row>
    <row r="307" spans="3:20" ht="14">
      <c r="C307" s="5" t="s">
        <v>1857</v>
      </c>
      <c r="D307" s="5"/>
      <c r="F307" s="34" t="s">
        <v>1380</v>
      </c>
      <c r="G307" s="88" t="s">
        <v>1381</v>
      </c>
      <c r="H307" s="88"/>
      <c r="I307" s="307">
        <v>-351250</v>
      </c>
      <c r="J307" s="6">
        <v>-250</v>
      </c>
      <c r="K307" s="6">
        <v>1405</v>
      </c>
      <c r="L307" s="62" t="s">
        <v>2469</v>
      </c>
      <c r="M307" s="62" t="s">
        <v>1416</v>
      </c>
      <c r="N307" s="62" t="s">
        <v>464</v>
      </c>
      <c r="O307" s="100" t="s">
        <v>2624</v>
      </c>
      <c r="P307" s="5" t="s">
        <v>2625</v>
      </c>
      <c r="Q307" s="34" t="s">
        <v>2626</v>
      </c>
      <c r="R307" s="5" t="s">
        <v>2626</v>
      </c>
      <c r="S307" s="5" t="s">
        <v>2627</v>
      </c>
      <c r="T307" s="5" t="s">
        <v>445</v>
      </c>
    </row>
    <row r="308" spans="3:20" ht="14">
      <c r="C308" s="5" t="s">
        <v>1857</v>
      </c>
      <c r="D308" s="5"/>
      <c r="F308" s="34" t="s">
        <v>1380</v>
      </c>
      <c r="G308" s="88" t="s">
        <v>1381</v>
      </c>
      <c r="H308" s="88"/>
      <c r="I308" s="307">
        <v>-702500</v>
      </c>
      <c r="J308" s="6">
        <v>-500</v>
      </c>
      <c r="K308" s="6">
        <v>1405</v>
      </c>
      <c r="L308" s="62" t="s">
        <v>2405</v>
      </c>
      <c r="M308" s="62" t="s">
        <v>1416</v>
      </c>
      <c r="N308" s="62" t="s">
        <v>464</v>
      </c>
      <c r="O308" s="100" t="s">
        <v>2628</v>
      </c>
      <c r="P308" s="5" t="s">
        <v>2625</v>
      </c>
      <c r="Q308" s="34" t="s">
        <v>2629</v>
      </c>
      <c r="R308" s="5" t="s">
        <v>2629</v>
      </c>
      <c r="S308" s="5" t="s">
        <v>2630</v>
      </c>
      <c r="T308" s="5" t="s">
        <v>445</v>
      </c>
    </row>
    <row r="309" spans="3:20" ht="14">
      <c r="C309" s="5" t="s">
        <v>1857</v>
      </c>
      <c r="D309" s="5"/>
      <c r="F309" s="34" t="s">
        <v>1380</v>
      </c>
      <c r="G309" s="88" t="s">
        <v>1381</v>
      </c>
      <c r="H309" s="88"/>
      <c r="I309" s="307">
        <v>-252900</v>
      </c>
      <c r="J309" s="6">
        <v>-180</v>
      </c>
      <c r="K309" s="6">
        <v>1405</v>
      </c>
      <c r="L309" s="62" t="s">
        <v>2405</v>
      </c>
      <c r="M309" s="62" t="s">
        <v>1416</v>
      </c>
      <c r="N309" s="62" t="s">
        <v>464</v>
      </c>
      <c r="O309" s="100" t="s">
        <v>2631</v>
      </c>
      <c r="P309" s="5" t="s">
        <v>2625</v>
      </c>
      <c r="Q309" s="34" t="s">
        <v>2632</v>
      </c>
      <c r="R309" s="5" t="s">
        <v>2632</v>
      </c>
      <c r="S309" s="5" t="s">
        <v>2633</v>
      </c>
      <c r="T309" s="5" t="s">
        <v>445</v>
      </c>
    </row>
    <row r="310" spans="3:20" ht="14">
      <c r="C310" s="5" t="s">
        <v>1857</v>
      </c>
      <c r="D310" s="5"/>
      <c r="F310" s="34" t="s">
        <v>301</v>
      </c>
      <c r="G310" s="88" t="s">
        <v>302</v>
      </c>
      <c r="H310" s="88"/>
      <c r="I310" s="307">
        <v>165112.5</v>
      </c>
      <c r="J310" s="6">
        <v>117.517793594306</v>
      </c>
      <c r="K310" s="6">
        <v>1405</v>
      </c>
      <c r="L310" s="62" t="s">
        <v>2405</v>
      </c>
      <c r="M310" s="62" t="s">
        <v>452</v>
      </c>
      <c r="N310" s="62" t="s">
        <v>464</v>
      </c>
      <c r="O310" s="100" t="s">
        <v>2567</v>
      </c>
      <c r="P310" s="5" t="s">
        <v>2407</v>
      </c>
      <c r="Q310" s="34" t="s">
        <v>2568</v>
      </c>
      <c r="R310" s="5" t="s">
        <v>2569</v>
      </c>
      <c r="S310" s="5" t="s">
        <v>2570</v>
      </c>
      <c r="T310" s="5" t="s">
        <v>445</v>
      </c>
    </row>
    <row r="311" spans="3:20" ht="14">
      <c r="C311" s="5" t="s">
        <v>1857</v>
      </c>
      <c r="D311" s="5"/>
      <c r="F311" s="34" t="s">
        <v>303</v>
      </c>
      <c r="G311" s="88" t="s">
        <v>304</v>
      </c>
      <c r="H311" s="88"/>
      <c r="I311" s="307">
        <v>-1482275</v>
      </c>
      <c r="J311" s="6">
        <v>-1055</v>
      </c>
      <c r="K311" s="6">
        <v>1405</v>
      </c>
      <c r="L311" s="62" t="s">
        <v>2418</v>
      </c>
      <c r="M311" s="62" t="s">
        <v>452</v>
      </c>
      <c r="N311" s="62" t="s">
        <v>464</v>
      </c>
      <c r="O311" s="100" t="s">
        <v>2419</v>
      </c>
      <c r="P311" s="5" t="s">
        <v>2407</v>
      </c>
      <c r="Q311" s="34" t="s">
        <v>2420</v>
      </c>
      <c r="R311" s="5" t="s">
        <v>2421</v>
      </c>
      <c r="S311" s="5" t="s">
        <v>2422</v>
      </c>
      <c r="T311" s="5" t="s">
        <v>445</v>
      </c>
    </row>
    <row r="312" spans="3:20" ht="14">
      <c r="C312" s="5" t="s">
        <v>1857</v>
      </c>
      <c r="D312" s="5"/>
      <c r="F312" s="34" t="s">
        <v>303</v>
      </c>
      <c r="G312" s="88" t="s">
        <v>304</v>
      </c>
      <c r="H312" s="88"/>
      <c r="I312" s="307">
        <v>-7411375</v>
      </c>
      <c r="J312" s="6">
        <v>-5275</v>
      </c>
      <c r="K312" s="6">
        <v>1405</v>
      </c>
      <c r="L312" s="62" t="s">
        <v>2405</v>
      </c>
      <c r="M312" s="62" t="s">
        <v>452</v>
      </c>
      <c r="N312" s="62" t="s">
        <v>464</v>
      </c>
      <c r="O312" s="100" t="s">
        <v>2423</v>
      </c>
      <c r="P312" s="5" t="s">
        <v>2407</v>
      </c>
      <c r="Q312" s="34" t="s">
        <v>2424</v>
      </c>
      <c r="R312" s="5" t="s">
        <v>2425</v>
      </c>
      <c r="S312" s="5" t="s">
        <v>2426</v>
      </c>
      <c r="T312" s="5" t="s">
        <v>445</v>
      </c>
    </row>
    <row r="313" spans="3:20" ht="14">
      <c r="C313" s="5" t="s">
        <v>1857</v>
      </c>
      <c r="D313" s="5"/>
      <c r="F313" s="34" t="s">
        <v>303</v>
      </c>
      <c r="G313" s="88" t="s">
        <v>304</v>
      </c>
      <c r="H313" s="88"/>
      <c r="I313" s="307">
        <v>-2562986.9500000002</v>
      </c>
      <c r="J313" s="6">
        <v>-1824.19</v>
      </c>
      <c r="K313" s="6">
        <v>1405</v>
      </c>
      <c r="L313" s="62" t="s">
        <v>2405</v>
      </c>
      <c r="M313" s="62" t="s">
        <v>452</v>
      </c>
      <c r="N313" s="62" t="s">
        <v>464</v>
      </c>
      <c r="O313" s="100" t="s">
        <v>2423</v>
      </c>
      <c r="P313" s="5" t="s">
        <v>2407</v>
      </c>
      <c r="Q313" s="34" t="s">
        <v>2424</v>
      </c>
      <c r="R313" s="5" t="s">
        <v>2431</v>
      </c>
      <c r="S313" s="5" t="s">
        <v>2426</v>
      </c>
      <c r="T313" s="5" t="s">
        <v>445</v>
      </c>
    </row>
    <row r="314" spans="3:20" ht="14">
      <c r="C314" s="5" t="s">
        <v>1857</v>
      </c>
      <c r="D314" s="5"/>
      <c r="F314" s="34" t="s">
        <v>303</v>
      </c>
      <c r="G314" s="88" t="s">
        <v>304</v>
      </c>
      <c r="H314" s="88"/>
      <c r="I314" s="307">
        <v>-2562986.9500000002</v>
      </c>
      <c r="J314" s="6">
        <v>-1824.19</v>
      </c>
      <c r="K314" s="6">
        <v>1405</v>
      </c>
      <c r="L314" s="62" t="s">
        <v>2405</v>
      </c>
      <c r="M314" s="62" t="s">
        <v>452</v>
      </c>
      <c r="N314" s="62" t="s">
        <v>464</v>
      </c>
      <c r="O314" s="100" t="s">
        <v>2423</v>
      </c>
      <c r="P314" s="5" t="s">
        <v>2407</v>
      </c>
      <c r="Q314" s="34" t="s">
        <v>2424</v>
      </c>
      <c r="R314" s="5" t="s">
        <v>2433</v>
      </c>
      <c r="S314" s="5" t="s">
        <v>2426</v>
      </c>
      <c r="T314" s="5" t="s">
        <v>445</v>
      </c>
    </row>
    <row r="315" spans="3:20" ht="14">
      <c r="C315" s="5" t="s">
        <v>1857</v>
      </c>
      <c r="D315" s="5"/>
      <c r="F315" s="34" t="s">
        <v>303</v>
      </c>
      <c r="G315" s="88" t="s">
        <v>304</v>
      </c>
      <c r="H315" s="88"/>
      <c r="I315" s="307">
        <v>-2562986.9500000002</v>
      </c>
      <c r="J315" s="6">
        <v>-1824.19</v>
      </c>
      <c r="K315" s="6">
        <v>1405</v>
      </c>
      <c r="L315" s="62" t="s">
        <v>2405</v>
      </c>
      <c r="M315" s="62" t="s">
        <v>452</v>
      </c>
      <c r="N315" s="62" t="s">
        <v>464</v>
      </c>
      <c r="O315" s="100" t="s">
        <v>2423</v>
      </c>
      <c r="P315" s="5" t="s">
        <v>2407</v>
      </c>
      <c r="Q315" s="34" t="s">
        <v>2424</v>
      </c>
      <c r="R315" s="5" t="s">
        <v>2435</v>
      </c>
      <c r="S315" s="5" t="s">
        <v>2426</v>
      </c>
      <c r="T315" s="5" t="s">
        <v>445</v>
      </c>
    </row>
    <row r="316" spans="3:20" ht="14">
      <c r="C316" s="5" t="s">
        <v>1857</v>
      </c>
      <c r="D316" s="5"/>
      <c r="F316" s="34" t="s">
        <v>303</v>
      </c>
      <c r="G316" s="88" t="s">
        <v>304</v>
      </c>
      <c r="H316" s="88"/>
      <c r="I316" s="307">
        <v>-1369875</v>
      </c>
      <c r="J316" s="6">
        <v>-975</v>
      </c>
      <c r="K316" s="6">
        <v>1405</v>
      </c>
      <c r="L316" s="62" t="s">
        <v>2405</v>
      </c>
      <c r="M316" s="62" t="s">
        <v>452</v>
      </c>
      <c r="N316" s="62" t="s">
        <v>464</v>
      </c>
      <c r="O316" s="100" t="s">
        <v>2423</v>
      </c>
      <c r="P316" s="5" t="s">
        <v>2407</v>
      </c>
      <c r="Q316" s="34" t="s">
        <v>2424</v>
      </c>
      <c r="R316" s="5" t="s">
        <v>2437</v>
      </c>
      <c r="S316" s="5" t="s">
        <v>2426</v>
      </c>
      <c r="T316" s="5" t="s">
        <v>445</v>
      </c>
    </row>
    <row r="317" spans="3:20" ht="14">
      <c r="C317" s="5" t="s">
        <v>1857</v>
      </c>
      <c r="D317" s="5"/>
      <c r="F317" s="34" t="s">
        <v>303</v>
      </c>
      <c r="G317" s="88" t="s">
        <v>304</v>
      </c>
      <c r="H317" s="88"/>
      <c r="I317" s="307">
        <v>-1369875</v>
      </c>
      <c r="J317" s="6">
        <v>-975</v>
      </c>
      <c r="K317" s="6">
        <v>1405</v>
      </c>
      <c r="L317" s="62" t="s">
        <v>2405</v>
      </c>
      <c r="M317" s="62" t="s">
        <v>452</v>
      </c>
      <c r="N317" s="62" t="s">
        <v>464</v>
      </c>
      <c r="O317" s="100" t="s">
        <v>2423</v>
      </c>
      <c r="P317" s="5" t="s">
        <v>2407</v>
      </c>
      <c r="Q317" s="34" t="s">
        <v>2424</v>
      </c>
      <c r="R317" s="5" t="s">
        <v>2437</v>
      </c>
      <c r="S317" s="5" t="s">
        <v>2426</v>
      </c>
      <c r="T317" s="5" t="s">
        <v>445</v>
      </c>
    </row>
    <row r="318" spans="3:20" ht="14">
      <c r="C318" s="5" t="s">
        <v>1857</v>
      </c>
      <c r="D318" s="5"/>
      <c r="F318" s="34" t="s">
        <v>303</v>
      </c>
      <c r="G318" s="88" t="s">
        <v>304</v>
      </c>
      <c r="H318" s="88"/>
      <c r="I318" s="307">
        <v>-2739750</v>
      </c>
      <c r="J318" s="6">
        <v>-1950</v>
      </c>
      <c r="K318" s="6">
        <v>1405</v>
      </c>
      <c r="L318" s="62" t="s">
        <v>2405</v>
      </c>
      <c r="M318" s="62" t="s">
        <v>452</v>
      </c>
      <c r="N318" s="62" t="s">
        <v>464</v>
      </c>
      <c r="O318" s="100" t="s">
        <v>2423</v>
      </c>
      <c r="P318" s="5" t="s">
        <v>2407</v>
      </c>
      <c r="Q318" s="34" t="s">
        <v>2424</v>
      </c>
      <c r="R318" s="5" t="s">
        <v>2439</v>
      </c>
      <c r="S318" s="5" t="s">
        <v>2426</v>
      </c>
      <c r="T318" s="5" t="s">
        <v>445</v>
      </c>
    </row>
    <row r="319" spans="3:20" ht="14">
      <c r="C319" s="5" t="s">
        <v>1857</v>
      </c>
      <c r="D319" s="5"/>
      <c r="F319" s="34" t="s">
        <v>303</v>
      </c>
      <c r="G319" s="88" t="s">
        <v>304</v>
      </c>
      <c r="H319" s="88"/>
      <c r="I319" s="307">
        <v>-1124000</v>
      </c>
      <c r="J319" s="6">
        <v>-800</v>
      </c>
      <c r="K319" s="6">
        <v>1405</v>
      </c>
      <c r="L319" s="62" t="s">
        <v>2405</v>
      </c>
      <c r="M319" s="62" t="s">
        <v>452</v>
      </c>
      <c r="N319" s="62" t="s">
        <v>464</v>
      </c>
      <c r="O319" s="100" t="s">
        <v>2423</v>
      </c>
      <c r="P319" s="5" t="s">
        <v>2407</v>
      </c>
      <c r="Q319" s="34" t="s">
        <v>2424</v>
      </c>
      <c r="R319" s="5" t="s">
        <v>2441</v>
      </c>
      <c r="S319" s="5" t="s">
        <v>2426</v>
      </c>
      <c r="T319" s="5" t="s">
        <v>445</v>
      </c>
    </row>
    <row r="320" spans="3:20" ht="14">
      <c r="C320" s="5" t="s">
        <v>1857</v>
      </c>
      <c r="D320" s="5"/>
      <c r="F320" s="34" t="s">
        <v>303</v>
      </c>
      <c r="G320" s="88" t="s">
        <v>304</v>
      </c>
      <c r="H320" s="88"/>
      <c r="I320" s="307">
        <v>-1331237.5</v>
      </c>
      <c r="J320" s="6">
        <v>-947.5</v>
      </c>
      <c r="K320" s="6">
        <v>1405</v>
      </c>
      <c r="L320" s="62" t="s">
        <v>2405</v>
      </c>
      <c r="M320" s="62" t="s">
        <v>452</v>
      </c>
      <c r="N320" s="62" t="s">
        <v>464</v>
      </c>
      <c r="O320" s="100" t="s">
        <v>2423</v>
      </c>
      <c r="P320" s="5" t="s">
        <v>2407</v>
      </c>
      <c r="Q320" s="34" t="s">
        <v>2424</v>
      </c>
      <c r="R320" s="5" t="s">
        <v>2443</v>
      </c>
      <c r="S320" s="5" t="s">
        <v>2426</v>
      </c>
      <c r="T320" s="5" t="s">
        <v>445</v>
      </c>
    </row>
    <row r="321" spans="3:20" ht="14">
      <c r="C321" s="5" t="s">
        <v>1857</v>
      </c>
      <c r="D321" s="5"/>
      <c r="F321" s="34" t="s">
        <v>303</v>
      </c>
      <c r="G321" s="88" t="s">
        <v>304</v>
      </c>
      <c r="H321" s="88"/>
      <c r="I321" s="307">
        <v>-1482275</v>
      </c>
      <c r="J321" s="6">
        <v>-1055</v>
      </c>
      <c r="K321" s="6">
        <v>1405</v>
      </c>
      <c r="L321" s="62" t="s">
        <v>2418</v>
      </c>
      <c r="M321" s="62" t="s">
        <v>452</v>
      </c>
      <c r="N321" s="62" t="s">
        <v>464</v>
      </c>
      <c r="O321" s="100" t="s">
        <v>2419</v>
      </c>
      <c r="P321" s="5" t="s">
        <v>2407</v>
      </c>
      <c r="Q321" s="34" t="s">
        <v>2420</v>
      </c>
      <c r="R321" s="5" t="s">
        <v>2453</v>
      </c>
      <c r="S321" s="5" t="s">
        <v>2422</v>
      </c>
      <c r="T321" s="5" t="s">
        <v>445</v>
      </c>
    </row>
    <row r="322" spans="3:20" ht="14">
      <c r="C322" s="5" t="s">
        <v>1857</v>
      </c>
      <c r="D322" s="5"/>
      <c r="F322" s="34" t="s">
        <v>1679</v>
      </c>
      <c r="G322" s="88" t="s">
        <v>1680</v>
      </c>
      <c r="H322" s="88"/>
      <c r="I322" s="307">
        <v>252900</v>
      </c>
      <c r="J322" s="6">
        <v>180</v>
      </c>
      <c r="K322" s="6">
        <v>1405</v>
      </c>
      <c r="L322" s="62" t="s">
        <v>2460</v>
      </c>
      <c r="M322" s="62" t="s">
        <v>452</v>
      </c>
      <c r="N322" s="62" t="s">
        <v>464</v>
      </c>
      <c r="O322" s="100" t="s">
        <v>2539</v>
      </c>
      <c r="P322" s="5" t="s">
        <v>2407</v>
      </c>
      <c r="Q322" s="34" t="s">
        <v>2540</v>
      </c>
      <c r="R322" s="5" t="s">
        <v>2541</v>
      </c>
      <c r="S322" s="5" t="s">
        <v>2542</v>
      </c>
      <c r="T322" s="5" t="s">
        <v>445</v>
      </c>
    </row>
    <row r="323" spans="3:20" ht="14">
      <c r="C323" s="5" t="s">
        <v>1857</v>
      </c>
      <c r="D323" s="5"/>
      <c r="F323" s="34" t="s">
        <v>1679</v>
      </c>
      <c r="G323" s="88" t="s">
        <v>1680</v>
      </c>
      <c r="H323" s="88"/>
      <c r="I323" s="307">
        <v>-702500</v>
      </c>
      <c r="J323" s="6">
        <v>-500</v>
      </c>
      <c r="K323" s="6">
        <v>1405</v>
      </c>
      <c r="L323" s="62" t="s">
        <v>2460</v>
      </c>
      <c r="M323" s="62" t="s">
        <v>1382</v>
      </c>
      <c r="N323" s="62" t="s">
        <v>464</v>
      </c>
      <c r="O323" s="100" t="s">
        <v>2611</v>
      </c>
      <c r="P323" s="5" t="s">
        <v>2612</v>
      </c>
      <c r="Q323" s="34" t="s">
        <v>2613</v>
      </c>
      <c r="R323" s="5" t="s">
        <v>2614</v>
      </c>
      <c r="S323" s="5" t="s">
        <v>2615</v>
      </c>
      <c r="T323" s="5" t="s">
        <v>445</v>
      </c>
    </row>
    <row r="324" spans="3:20" ht="14">
      <c r="C324" s="5" t="s">
        <v>1857</v>
      </c>
      <c r="D324" s="5"/>
      <c r="F324" s="34" t="s">
        <v>1679</v>
      </c>
      <c r="G324" s="88" t="s">
        <v>1680</v>
      </c>
      <c r="H324" s="88"/>
      <c r="I324" s="307">
        <v>-252900</v>
      </c>
      <c r="J324" s="6">
        <v>-180</v>
      </c>
      <c r="K324" s="6">
        <v>1405</v>
      </c>
      <c r="L324" s="62" t="s">
        <v>2454</v>
      </c>
      <c r="M324" s="62" t="s">
        <v>1382</v>
      </c>
      <c r="N324" s="62" t="s">
        <v>464</v>
      </c>
      <c r="O324" s="100" t="s">
        <v>2620</v>
      </c>
      <c r="P324" s="5" t="s">
        <v>2612</v>
      </c>
      <c r="Q324" s="34" t="s">
        <v>2621</v>
      </c>
      <c r="R324" s="5" t="s">
        <v>2622</v>
      </c>
      <c r="S324" s="5" t="s">
        <v>2623</v>
      </c>
      <c r="T324" s="5" t="s">
        <v>445</v>
      </c>
    </row>
    <row r="325" spans="3:20" ht="14">
      <c r="C325" s="5" t="s">
        <v>1857</v>
      </c>
      <c r="D325" s="5"/>
      <c r="F325" s="34" t="s">
        <v>309</v>
      </c>
      <c r="G325" s="88" t="s">
        <v>310</v>
      </c>
      <c r="H325" s="88"/>
      <c r="I325" s="307">
        <v>1334750</v>
      </c>
      <c r="J325" s="6">
        <v>950</v>
      </c>
      <c r="K325" s="6">
        <v>1405</v>
      </c>
      <c r="L325" s="62" t="s">
        <v>2405</v>
      </c>
      <c r="M325" s="62" t="s">
        <v>452</v>
      </c>
      <c r="N325" s="62" t="s">
        <v>464</v>
      </c>
      <c r="O325" s="100" t="s">
        <v>2411</v>
      </c>
      <c r="P325" s="5" t="s">
        <v>2407</v>
      </c>
      <c r="Q325" s="34" t="s">
        <v>2412</v>
      </c>
      <c r="R325" s="5" t="s">
        <v>2450</v>
      </c>
      <c r="S325" s="5" t="s">
        <v>2414</v>
      </c>
      <c r="T325" s="5" t="s">
        <v>445</v>
      </c>
    </row>
    <row r="326" spans="3:20" ht="14">
      <c r="C326" s="5" t="s">
        <v>1857</v>
      </c>
      <c r="D326" s="5"/>
      <c r="F326" s="34" t="s">
        <v>45</v>
      </c>
      <c r="G326" s="88" t="s">
        <v>44</v>
      </c>
      <c r="H326" s="88"/>
      <c r="I326" s="307">
        <v>1405000</v>
      </c>
      <c r="J326" s="6">
        <v>1000</v>
      </c>
      <c r="K326" s="6">
        <v>1405</v>
      </c>
      <c r="L326" s="62" t="s">
        <v>2454</v>
      </c>
      <c r="M326" s="62" t="s">
        <v>452</v>
      </c>
      <c r="N326" s="62" t="s">
        <v>464</v>
      </c>
      <c r="O326" s="100" t="s">
        <v>2514</v>
      </c>
      <c r="P326" s="5" t="s">
        <v>2407</v>
      </c>
      <c r="Q326" s="34" t="s">
        <v>2515</v>
      </c>
      <c r="R326" s="5" t="s">
        <v>2516</v>
      </c>
      <c r="S326" s="5" t="s">
        <v>2517</v>
      </c>
      <c r="T326" s="5" t="s">
        <v>445</v>
      </c>
    </row>
    <row r="327" spans="3:20" ht="14">
      <c r="C327" s="5" t="s">
        <v>1857</v>
      </c>
      <c r="D327" s="5"/>
      <c r="F327" s="34" t="s">
        <v>45</v>
      </c>
      <c r="G327" s="88" t="s">
        <v>44</v>
      </c>
      <c r="H327" s="88"/>
      <c r="I327" s="307">
        <v>4699725</v>
      </c>
      <c r="J327" s="6">
        <v>3345</v>
      </c>
      <c r="K327" s="6">
        <v>1405</v>
      </c>
      <c r="L327" s="62" t="s">
        <v>2595</v>
      </c>
      <c r="M327" s="62" t="s">
        <v>452</v>
      </c>
      <c r="N327" s="62" t="s">
        <v>464</v>
      </c>
      <c r="O327" s="100" t="s">
        <v>2604</v>
      </c>
      <c r="P327" s="5" t="s">
        <v>2407</v>
      </c>
      <c r="Q327" s="34" t="s">
        <v>2605</v>
      </c>
      <c r="R327" s="5" t="s">
        <v>2606</v>
      </c>
      <c r="S327" s="5" t="s">
        <v>2607</v>
      </c>
      <c r="T327" s="5" t="s">
        <v>445</v>
      </c>
    </row>
    <row r="328" spans="3:20" ht="14">
      <c r="C328" s="5" t="s">
        <v>1857</v>
      </c>
      <c r="D328" s="5"/>
      <c r="F328" s="34" t="s">
        <v>160</v>
      </c>
      <c r="G328" s="88" t="s">
        <v>161</v>
      </c>
      <c r="H328" s="88"/>
      <c r="I328" s="307">
        <v>89000</v>
      </c>
      <c r="J328" s="6">
        <v>63.345195729537402</v>
      </c>
      <c r="K328" s="6">
        <v>1405</v>
      </c>
      <c r="L328" s="62" t="s">
        <v>2418</v>
      </c>
      <c r="M328" s="62" t="s">
        <v>452</v>
      </c>
      <c r="N328" s="62" t="s">
        <v>464</v>
      </c>
      <c r="O328" s="100" t="s">
        <v>2584</v>
      </c>
      <c r="P328" s="5" t="s">
        <v>2407</v>
      </c>
      <c r="Q328" s="34" t="s">
        <v>2585</v>
      </c>
      <c r="R328" s="5" t="s">
        <v>2608</v>
      </c>
      <c r="S328" s="5" t="s">
        <v>2586</v>
      </c>
      <c r="T328" s="5" t="s">
        <v>445</v>
      </c>
    </row>
    <row r="329" spans="3:20" ht="14">
      <c r="C329" s="5" t="s">
        <v>1857</v>
      </c>
      <c r="D329" s="5"/>
      <c r="F329" s="34" t="s">
        <v>457</v>
      </c>
      <c r="G329" s="88" t="s">
        <v>458</v>
      </c>
      <c r="H329" s="88"/>
      <c r="I329" s="307">
        <v>0</v>
      </c>
      <c r="J329" s="6">
        <v>-2.0000000000000001E-4</v>
      </c>
      <c r="K329" s="6">
        <v>1</v>
      </c>
      <c r="L329" s="62" t="s">
        <v>2634</v>
      </c>
      <c r="M329" s="62" t="s">
        <v>452</v>
      </c>
      <c r="N329" s="62" t="s">
        <v>442</v>
      </c>
      <c r="O329" s="100" t="s">
        <v>2635</v>
      </c>
      <c r="P329" s="5" t="s">
        <v>2407</v>
      </c>
      <c r="Q329" s="34" t="s">
        <v>2636</v>
      </c>
      <c r="R329" s="5" t="s">
        <v>2636</v>
      </c>
      <c r="S329" s="5" t="s">
        <v>2637</v>
      </c>
      <c r="T329" s="5" t="s">
        <v>445</v>
      </c>
    </row>
    <row r="330" spans="3:20" ht="14">
      <c r="C330" s="5" t="s">
        <v>1857</v>
      </c>
      <c r="D330" s="5"/>
      <c r="F330" s="34" t="s">
        <v>457</v>
      </c>
      <c r="G330" s="88" t="s">
        <v>458</v>
      </c>
      <c r="H330" s="88"/>
      <c r="I330" s="307">
        <v>-0.3</v>
      </c>
      <c r="J330" s="6">
        <v>0</v>
      </c>
      <c r="K330" s="6">
        <v>1</v>
      </c>
      <c r="L330" s="62" t="s">
        <v>2634</v>
      </c>
      <c r="M330" s="62" t="s">
        <v>452</v>
      </c>
      <c r="N330" s="62" t="s">
        <v>442</v>
      </c>
      <c r="O330" s="100" t="s">
        <v>2635</v>
      </c>
      <c r="P330" s="5" t="s">
        <v>2407</v>
      </c>
      <c r="Q330" s="34" t="s">
        <v>2636</v>
      </c>
      <c r="R330" s="5" t="s">
        <v>2636</v>
      </c>
      <c r="S330" s="5" t="s">
        <v>2637</v>
      </c>
      <c r="T330" s="5" t="s">
        <v>445</v>
      </c>
    </row>
    <row r="331" spans="3:20" ht="14">
      <c r="C331" s="5" t="s">
        <v>1857</v>
      </c>
      <c r="D331" s="5"/>
      <c r="F331" s="34" t="s">
        <v>457</v>
      </c>
      <c r="G331" s="88" t="s">
        <v>458</v>
      </c>
      <c r="H331" s="88"/>
      <c r="I331" s="307">
        <v>6.1</v>
      </c>
      <c r="J331" s="6">
        <v>0</v>
      </c>
      <c r="K331" s="6">
        <v>1</v>
      </c>
      <c r="L331" s="62" t="s">
        <v>2571</v>
      </c>
      <c r="M331" s="62" t="s">
        <v>452</v>
      </c>
      <c r="N331" s="62" t="s">
        <v>442</v>
      </c>
      <c r="O331" s="100" t="s">
        <v>2638</v>
      </c>
      <c r="P331" s="5" t="s">
        <v>2407</v>
      </c>
      <c r="Q331" s="34" t="s">
        <v>2639</v>
      </c>
      <c r="R331" s="5" t="s">
        <v>2639</v>
      </c>
      <c r="S331" s="5" t="s">
        <v>2640</v>
      </c>
      <c r="T331" s="5" t="s">
        <v>445</v>
      </c>
    </row>
    <row r="332" spans="3:20" ht="14">
      <c r="C332" s="5" t="s">
        <v>1857</v>
      </c>
      <c r="D332" s="5"/>
      <c r="F332" s="34" t="s">
        <v>457</v>
      </c>
      <c r="G332" s="88" t="s">
        <v>458</v>
      </c>
      <c r="H332" s="88"/>
      <c r="I332" s="307">
        <v>0</v>
      </c>
      <c r="J332" s="6">
        <v>4.3E-3</v>
      </c>
      <c r="K332" s="6">
        <v>1</v>
      </c>
      <c r="L332" s="62" t="s">
        <v>2571</v>
      </c>
      <c r="M332" s="62" t="s">
        <v>452</v>
      </c>
      <c r="N332" s="62" t="s">
        <v>442</v>
      </c>
      <c r="O332" s="100" t="s">
        <v>2638</v>
      </c>
      <c r="P332" s="5" t="s">
        <v>2407</v>
      </c>
      <c r="Q332" s="34" t="s">
        <v>2639</v>
      </c>
      <c r="R332" s="5" t="s">
        <v>2639</v>
      </c>
      <c r="S332" s="5" t="s">
        <v>2640</v>
      </c>
      <c r="T332" s="5" t="s">
        <v>445</v>
      </c>
    </row>
    <row r="333" spans="3:20" ht="14">
      <c r="C333" s="5" t="s">
        <v>1857</v>
      </c>
      <c r="D333" s="5"/>
      <c r="F333" s="34" t="s">
        <v>457</v>
      </c>
      <c r="G333" s="88" t="s">
        <v>458</v>
      </c>
      <c r="H333" s="88"/>
      <c r="I333" s="307">
        <v>-2.65</v>
      </c>
      <c r="J333" s="6">
        <v>0</v>
      </c>
      <c r="K333" s="6">
        <v>1</v>
      </c>
      <c r="L333" s="62" t="s">
        <v>2595</v>
      </c>
      <c r="M333" s="62" t="s">
        <v>452</v>
      </c>
      <c r="N333" s="62" t="s">
        <v>442</v>
      </c>
      <c r="O333" s="100" t="s">
        <v>2641</v>
      </c>
      <c r="P333" s="5" t="s">
        <v>2407</v>
      </c>
      <c r="Q333" s="34" t="s">
        <v>2642</v>
      </c>
      <c r="R333" s="5" t="s">
        <v>2642</v>
      </c>
      <c r="S333" s="5" t="s">
        <v>2643</v>
      </c>
      <c r="T333" s="5" t="s">
        <v>445</v>
      </c>
    </row>
    <row r="334" spans="3:20" ht="14">
      <c r="C334" s="5" t="s">
        <v>1857</v>
      </c>
      <c r="D334" s="5"/>
      <c r="F334" s="34" t="s">
        <v>457</v>
      </c>
      <c r="G334" s="88" t="s">
        <v>458</v>
      </c>
      <c r="H334" s="88"/>
      <c r="I334" s="307">
        <v>0</v>
      </c>
      <c r="J334" s="6">
        <v>-1.9E-3</v>
      </c>
      <c r="K334" s="6">
        <v>1</v>
      </c>
      <c r="L334" s="62" t="s">
        <v>2595</v>
      </c>
      <c r="M334" s="62" t="s">
        <v>452</v>
      </c>
      <c r="N334" s="62" t="s">
        <v>442</v>
      </c>
      <c r="O334" s="100" t="s">
        <v>2641</v>
      </c>
      <c r="P334" s="5" t="s">
        <v>2407</v>
      </c>
      <c r="Q334" s="34" t="s">
        <v>2642</v>
      </c>
      <c r="R334" s="5" t="s">
        <v>2642</v>
      </c>
      <c r="S334" s="5" t="s">
        <v>2643</v>
      </c>
      <c r="T334" s="5" t="s">
        <v>445</v>
      </c>
    </row>
    <row r="335" spans="3:20" ht="14">
      <c r="C335" s="5" t="s">
        <v>1857</v>
      </c>
      <c r="D335" s="5"/>
      <c r="F335" s="34" t="s">
        <v>457</v>
      </c>
      <c r="G335" s="88" t="s">
        <v>458</v>
      </c>
      <c r="H335" s="88"/>
      <c r="I335" s="307">
        <v>6.85</v>
      </c>
      <c r="J335" s="6">
        <v>0</v>
      </c>
      <c r="K335" s="6">
        <v>1</v>
      </c>
      <c r="L335" s="62" t="s">
        <v>2418</v>
      </c>
      <c r="M335" s="62" t="s">
        <v>452</v>
      </c>
      <c r="N335" s="62" t="s">
        <v>442</v>
      </c>
      <c r="O335" s="100" t="s">
        <v>2644</v>
      </c>
      <c r="P335" s="5" t="s">
        <v>2407</v>
      </c>
      <c r="Q335" s="34" t="s">
        <v>2645</v>
      </c>
      <c r="R335" s="5" t="s">
        <v>2645</v>
      </c>
      <c r="S335" s="5" t="s">
        <v>2646</v>
      </c>
      <c r="T335" s="5" t="s">
        <v>445</v>
      </c>
    </row>
    <row r="336" spans="3:20" ht="14">
      <c r="C336" s="5" t="s">
        <v>1857</v>
      </c>
      <c r="D336" s="5"/>
      <c r="F336" s="34" t="s">
        <v>457</v>
      </c>
      <c r="G336" s="88" t="s">
        <v>458</v>
      </c>
      <c r="H336" s="88"/>
      <c r="I336" s="307">
        <v>0</v>
      </c>
      <c r="J336" s="6">
        <v>4.8999999999999998E-3</v>
      </c>
      <c r="K336" s="6">
        <v>1</v>
      </c>
      <c r="L336" s="62" t="s">
        <v>2418</v>
      </c>
      <c r="M336" s="62" t="s">
        <v>452</v>
      </c>
      <c r="N336" s="62" t="s">
        <v>442</v>
      </c>
      <c r="O336" s="100" t="s">
        <v>2644</v>
      </c>
      <c r="P336" s="5" t="s">
        <v>2407</v>
      </c>
      <c r="Q336" s="34" t="s">
        <v>2645</v>
      </c>
      <c r="R336" s="5" t="s">
        <v>2645</v>
      </c>
      <c r="S336" s="5" t="s">
        <v>2646</v>
      </c>
      <c r="T336" s="5" t="s">
        <v>445</v>
      </c>
    </row>
    <row r="337" spans="3:20" ht="14">
      <c r="C337" s="5" t="s">
        <v>1857</v>
      </c>
      <c r="D337" s="5"/>
      <c r="F337" s="34" t="s">
        <v>320</v>
      </c>
      <c r="G337" s="88" t="s">
        <v>321</v>
      </c>
      <c r="H337" s="88"/>
      <c r="I337" s="307">
        <v>29392.6</v>
      </c>
      <c r="J337" s="6">
        <v>20.92</v>
      </c>
      <c r="K337" s="6">
        <v>1405</v>
      </c>
      <c r="L337" s="62" t="s">
        <v>2405</v>
      </c>
      <c r="M337" s="62" t="s">
        <v>452</v>
      </c>
      <c r="N337" s="62" t="s">
        <v>464</v>
      </c>
      <c r="O337" s="100" t="s">
        <v>2406</v>
      </c>
      <c r="P337" s="5" t="s">
        <v>2407</v>
      </c>
      <c r="Q337" s="34" t="s">
        <v>2408</v>
      </c>
      <c r="R337" s="5" t="s">
        <v>2409</v>
      </c>
      <c r="S337" s="5" t="s">
        <v>2410</v>
      </c>
      <c r="T337" s="5" t="s">
        <v>445</v>
      </c>
    </row>
    <row r="338" spans="3:20" ht="14">
      <c r="C338" s="5" t="s">
        <v>1857</v>
      </c>
      <c r="D338" s="5"/>
      <c r="F338" s="34" t="s">
        <v>320</v>
      </c>
      <c r="G338" s="88" t="s">
        <v>321</v>
      </c>
      <c r="H338" s="88"/>
      <c r="I338" s="307">
        <v>259405.15</v>
      </c>
      <c r="J338" s="6">
        <v>184.63</v>
      </c>
      <c r="K338" s="6">
        <v>1405</v>
      </c>
      <c r="L338" s="62" t="s">
        <v>2405</v>
      </c>
      <c r="M338" s="62" t="s">
        <v>452</v>
      </c>
      <c r="N338" s="62" t="s">
        <v>464</v>
      </c>
      <c r="O338" s="100" t="s">
        <v>2427</v>
      </c>
      <c r="P338" s="5" t="s">
        <v>2407</v>
      </c>
      <c r="Q338" s="34" t="s">
        <v>2428</v>
      </c>
      <c r="R338" s="5" t="s">
        <v>2429</v>
      </c>
      <c r="S338" s="5" t="s">
        <v>2430</v>
      </c>
      <c r="T338" s="5" t="s">
        <v>445</v>
      </c>
    </row>
    <row r="339" spans="3:20" ht="14">
      <c r="C339" s="5" t="s">
        <v>1857</v>
      </c>
      <c r="D339" s="5"/>
      <c r="F339" s="34" t="s">
        <v>320</v>
      </c>
      <c r="G339" s="88" t="s">
        <v>321</v>
      </c>
      <c r="H339" s="88"/>
      <c r="I339" s="307">
        <v>89709.25</v>
      </c>
      <c r="J339" s="6">
        <v>63.85</v>
      </c>
      <c r="K339" s="6">
        <v>1405</v>
      </c>
      <c r="L339" s="62" t="s">
        <v>2405</v>
      </c>
      <c r="M339" s="62" t="s">
        <v>452</v>
      </c>
      <c r="N339" s="62" t="s">
        <v>464</v>
      </c>
      <c r="O339" s="100" t="s">
        <v>2427</v>
      </c>
      <c r="P339" s="5" t="s">
        <v>2407</v>
      </c>
      <c r="Q339" s="34" t="s">
        <v>2428</v>
      </c>
      <c r="R339" s="5" t="s">
        <v>2432</v>
      </c>
      <c r="S339" s="5" t="s">
        <v>2430</v>
      </c>
      <c r="T339" s="5" t="s">
        <v>445</v>
      </c>
    </row>
    <row r="340" spans="3:20" ht="14">
      <c r="C340" s="5" t="s">
        <v>1857</v>
      </c>
      <c r="D340" s="5"/>
      <c r="F340" s="34" t="s">
        <v>320</v>
      </c>
      <c r="G340" s="88" t="s">
        <v>321</v>
      </c>
      <c r="H340" s="88"/>
      <c r="I340" s="307">
        <v>89709.25</v>
      </c>
      <c r="J340" s="6">
        <v>63.85</v>
      </c>
      <c r="K340" s="6">
        <v>1405</v>
      </c>
      <c r="L340" s="62" t="s">
        <v>2405</v>
      </c>
      <c r="M340" s="62" t="s">
        <v>452</v>
      </c>
      <c r="N340" s="62" t="s">
        <v>464</v>
      </c>
      <c r="O340" s="100" t="s">
        <v>2427</v>
      </c>
      <c r="P340" s="5" t="s">
        <v>2407</v>
      </c>
      <c r="Q340" s="34" t="s">
        <v>2428</v>
      </c>
      <c r="R340" s="5" t="s">
        <v>2434</v>
      </c>
      <c r="S340" s="5" t="s">
        <v>2430</v>
      </c>
      <c r="T340" s="5" t="s">
        <v>445</v>
      </c>
    </row>
    <row r="341" spans="3:20" ht="14">
      <c r="C341" s="5" t="s">
        <v>1857</v>
      </c>
      <c r="D341" s="5"/>
      <c r="F341" s="34" t="s">
        <v>320</v>
      </c>
      <c r="G341" s="88" t="s">
        <v>321</v>
      </c>
      <c r="H341" s="88"/>
      <c r="I341" s="307">
        <v>89709.25</v>
      </c>
      <c r="J341" s="6">
        <v>63.85</v>
      </c>
      <c r="K341" s="6">
        <v>1405</v>
      </c>
      <c r="L341" s="62" t="s">
        <v>2405</v>
      </c>
      <c r="M341" s="62" t="s">
        <v>452</v>
      </c>
      <c r="N341" s="62" t="s">
        <v>464</v>
      </c>
      <c r="O341" s="100" t="s">
        <v>2427</v>
      </c>
      <c r="P341" s="5" t="s">
        <v>2407</v>
      </c>
      <c r="Q341" s="34" t="s">
        <v>2428</v>
      </c>
      <c r="R341" s="5" t="s">
        <v>2436</v>
      </c>
      <c r="S341" s="5" t="s">
        <v>2430</v>
      </c>
      <c r="T341" s="5" t="s">
        <v>445</v>
      </c>
    </row>
    <row r="342" spans="3:20" ht="14">
      <c r="C342" s="5" t="s">
        <v>1857</v>
      </c>
      <c r="D342" s="5"/>
      <c r="F342" s="34" t="s">
        <v>320</v>
      </c>
      <c r="G342" s="88" t="s">
        <v>321</v>
      </c>
      <c r="H342" s="88"/>
      <c r="I342" s="307">
        <v>47952.65</v>
      </c>
      <c r="J342" s="6">
        <v>34.130000000000003</v>
      </c>
      <c r="K342" s="6">
        <v>1405</v>
      </c>
      <c r="L342" s="62" t="s">
        <v>2405</v>
      </c>
      <c r="M342" s="62" t="s">
        <v>452</v>
      </c>
      <c r="N342" s="62" t="s">
        <v>464</v>
      </c>
      <c r="O342" s="100" t="s">
        <v>2427</v>
      </c>
      <c r="P342" s="5" t="s">
        <v>2407</v>
      </c>
      <c r="Q342" s="34" t="s">
        <v>2428</v>
      </c>
      <c r="R342" s="5" t="s">
        <v>2438</v>
      </c>
      <c r="S342" s="5" t="s">
        <v>2430</v>
      </c>
      <c r="T342" s="5" t="s">
        <v>445</v>
      </c>
    </row>
    <row r="343" spans="3:20" ht="14">
      <c r="C343" s="5" t="s">
        <v>1857</v>
      </c>
      <c r="D343" s="5"/>
      <c r="F343" s="34" t="s">
        <v>320</v>
      </c>
      <c r="G343" s="88" t="s">
        <v>321</v>
      </c>
      <c r="H343" s="88"/>
      <c r="I343" s="307">
        <v>47952.65</v>
      </c>
      <c r="J343" s="6">
        <v>34.130000000000003</v>
      </c>
      <c r="K343" s="6">
        <v>1405</v>
      </c>
      <c r="L343" s="62" t="s">
        <v>2405</v>
      </c>
      <c r="M343" s="62" t="s">
        <v>452</v>
      </c>
      <c r="N343" s="62" t="s">
        <v>464</v>
      </c>
      <c r="O343" s="100" t="s">
        <v>2427</v>
      </c>
      <c r="P343" s="5" t="s">
        <v>2407</v>
      </c>
      <c r="Q343" s="34" t="s">
        <v>2428</v>
      </c>
      <c r="R343" s="5" t="s">
        <v>2438</v>
      </c>
      <c r="S343" s="5" t="s">
        <v>2430</v>
      </c>
      <c r="T343" s="5" t="s">
        <v>445</v>
      </c>
    </row>
    <row r="344" spans="3:20" ht="14">
      <c r="C344" s="5" t="s">
        <v>1857</v>
      </c>
      <c r="D344" s="5"/>
      <c r="F344" s="34" t="s">
        <v>320</v>
      </c>
      <c r="G344" s="88" t="s">
        <v>321</v>
      </c>
      <c r="H344" s="88"/>
      <c r="I344" s="307">
        <v>95891.25</v>
      </c>
      <c r="J344" s="6">
        <v>68.25</v>
      </c>
      <c r="K344" s="6">
        <v>1405</v>
      </c>
      <c r="L344" s="62" t="s">
        <v>2405</v>
      </c>
      <c r="M344" s="62" t="s">
        <v>452</v>
      </c>
      <c r="N344" s="62" t="s">
        <v>464</v>
      </c>
      <c r="O344" s="100" t="s">
        <v>2427</v>
      </c>
      <c r="P344" s="5" t="s">
        <v>2407</v>
      </c>
      <c r="Q344" s="34" t="s">
        <v>2428</v>
      </c>
      <c r="R344" s="5" t="s">
        <v>2440</v>
      </c>
      <c r="S344" s="5" t="s">
        <v>2430</v>
      </c>
      <c r="T344" s="5" t="s">
        <v>445</v>
      </c>
    </row>
    <row r="345" spans="3:20" ht="14">
      <c r="C345" s="5" t="s">
        <v>1857</v>
      </c>
      <c r="D345" s="5"/>
      <c r="F345" s="34" t="s">
        <v>320</v>
      </c>
      <c r="G345" s="88" t="s">
        <v>321</v>
      </c>
      <c r="H345" s="88"/>
      <c r="I345" s="307">
        <v>39340</v>
      </c>
      <c r="J345" s="6">
        <v>28</v>
      </c>
      <c r="K345" s="6">
        <v>1405</v>
      </c>
      <c r="L345" s="62" t="s">
        <v>2405</v>
      </c>
      <c r="M345" s="62" t="s">
        <v>452</v>
      </c>
      <c r="N345" s="62" t="s">
        <v>464</v>
      </c>
      <c r="O345" s="100" t="s">
        <v>2427</v>
      </c>
      <c r="P345" s="5" t="s">
        <v>2407</v>
      </c>
      <c r="Q345" s="34" t="s">
        <v>2428</v>
      </c>
      <c r="R345" s="5" t="s">
        <v>2442</v>
      </c>
      <c r="S345" s="5" t="s">
        <v>2430</v>
      </c>
      <c r="T345" s="5" t="s">
        <v>445</v>
      </c>
    </row>
    <row r="346" spans="3:20" ht="14">
      <c r="C346" s="5" t="s">
        <v>1857</v>
      </c>
      <c r="D346" s="5"/>
      <c r="F346" s="34" t="s">
        <v>320</v>
      </c>
      <c r="G346" s="88" t="s">
        <v>321</v>
      </c>
      <c r="H346" s="88"/>
      <c r="I346" s="307">
        <v>46589.8</v>
      </c>
      <c r="J346" s="6">
        <v>33.159999999999997</v>
      </c>
      <c r="K346" s="6">
        <v>1405</v>
      </c>
      <c r="L346" s="62" t="s">
        <v>2405</v>
      </c>
      <c r="M346" s="62" t="s">
        <v>452</v>
      </c>
      <c r="N346" s="62" t="s">
        <v>464</v>
      </c>
      <c r="O346" s="100" t="s">
        <v>2427</v>
      </c>
      <c r="P346" s="5" t="s">
        <v>2407</v>
      </c>
      <c r="Q346" s="34" t="s">
        <v>2428</v>
      </c>
      <c r="R346" s="5" t="s">
        <v>2444</v>
      </c>
      <c r="S346" s="5" t="s">
        <v>2430</v>
      </c>
      <c r="T346" s="5" t="s">
        <v>445</v>
      </c>
    </row>
    <row r="347" spans="3:20" ht="14">
      <c r="C347" s="5" t="s">
        <v>1857</v>
      </c>
      <c r="D347" s="5"/>
      <c r="F347" s="34" t="s">
        <v>320</v>
      </c>
      <c r="G347" s="88" t="s">
        <v>321</v>
      </c>
      <c r="H347" s="88"/>
      <c r="I347" s="307">
        <v>-24587.5</v>
      </c>
      <c r="J347" s="6">
        <v>-17.5</v>
      </c>
      <c r="K347" s="6">
        <v>1405</v>
      </c>
      <c r="L347" s="62" t="s">
        <v>2405</v>
      </c>
      <c r="M347" s="62" t="s">
        <v>452</v>
      </c>
      <c r="N347" s="62" t="s">
        <v>464</v>
      </c>
      <c r="O347" s="100" t="s">
        <v>2445</v>
      </c>
      <c r="P347" s="5" t="s">
        <v>2407</v>
      </c>
      <c r="Q347" s="34" t="s">
        <v>2446</v>
      </c>
      <c r="R347" s="5" t="s">
        <v>2447</v>
      </c>
      <c r="S347" s="5" t="s">
        <v>2448</v>
      </c>
      <c r="T347" s="5" t="s">
        <v>445</v>
      </c>
    </row>
    <row r="348" spans="3:20" ht="14">
      <c r="C348" s="5" t="s">
        <v>1857</v>
      </c>
      <c r="D348" s="5"/>
      <c r="F348" s="34" t="s">
        <v>320</v>
      </c>
      <c r="G348" s="88" t="s">
        <v>321</v>
      </c>
      <c r="H348" s="88"/>
      <c r="I348" s="307">
        <v>25444.55</v>
      </c>
      <c r="J348" s="6">
        <v>18.11</v>
      </c>
      <c r="K348" s="6">
        <v>1405</v>
      </c>
      <c r="L348" s="62" t="s">
        <v>2405</v>
      </c>
      <c r="M348" s="62" t="s">
        <v>452</v>
      </c>
      <c r="N348" s="62" t="s">
        <v>464</v>
      </c>
      <c r="O348" s="100" t="s">
        <v>2427</v>
      </c>
      <c r="P348" s="5" t="s">
        <v>2407</v>
      </c>
      <c r="Q348" s="34" t="s">
        <v>2428</v>
      </c>
      <c r="R348" s="5" t="s">
        <v>2449</v>
      </c>
      <c r="S348" s="5" t="s">
        <v>2430</v>
      </c>
      <c r="T348" s="5" t="s">
        <v>445</v>
      </c>
    </row>
    <row r="349" spans="3:20" ht="14">
      <c r="C349" s="5" t="s">
        <v>1857</v>
      </c>
      <c r="D349" s="5"/>
      <c r="F349" s="34" t="s">
        <v>320</v>
      </c>
      <c r="G349" s="88" t="s">
        <v>321</v>
      </c>
      <c r="H349" s="88"/>
      <c r="I349" s="307">
        <v>-8851.5</v>
      </c>
      <c r="J349" s="6">
        <v>-6.3</v>
      </c>
      <c r="K349" s="6">
        <v>1405</v>
      </c>
      <c r="L349" s="62" t="s">
        <v>2405</v>
      </c>
      <c r="M349" s="62" t="s">
        <v>452</v>
      </c>
      <c r="N349" s="62" t="s">
        <v>464</v>
      </c>
      <c r="O349" s="100" t="s">
        <v>2445</v>
      </c>
      <c r="P349" s="5" t="s">
        <v>2407</v>
      </c>
      <c r="Q349" s="34" t="s">
        <v>2446</v>
      </c>
      <c r="R349" s="5" t="s">
        <v>2451</v>
      </c>
      <c r="S349" s="5" t="s">
        <v>2448</v>
      </c>
      <c r="T349" s="5" t="s">
        <v>445</v>
      </c>
    </row>
    <row r="350" spans="3:20" ht="14">
      <c r="C350" s="5" t="s">
        <v>1857</v>
      </c>
      <c r="D350" s="5"/>
      <c r="F350" s="34" t="s">
        <v>320</v>
      </c>
      <c r="G350" s="88" t="s">
        <v>321</v>
      </c>
      <c r="H350" s="88"/>
      <c r="I350" s="307">
        <v>9160.6</v>
      </c>
      <c r="J350" s="6">
        <v>6.52</v>
      </c>
      <c r="K350" s="6">
        <v>1405</v>
      </c>
      <c r="L350" s="62" t="s">
        <v>2405</v>
      </c>
      <c r="M350" s="62" t="s">
        <v>452</v>
      </c>
      <c r="N350" s="62" t="s">
        <v>464</v>
      </c>
      <c r="O350" s="100" t="s">
        <v>2427</v>
      </c>
      <c r="P350" s="5" t="s">
        <v>2407</v>
      </c>
      <c r="Q350" s="34" t="s">
        <v>2428</v>
      </c>
      <c r="R350" s="5" t="s">
        <v>2452</v>
      </c>
      <c r="S350" s="5" t="s">
        <v>2430</v>
      </c>
      <c r="T350" s="5" t="s">
        <v>445</v>
      </c>
    </row>
    <row r="351" spans="3:20" ht="14">
      <c r="C351" s="5" t="s">
        <v>1857</v>
      </c>
      <c r="D351" s="5"/>
      <c r="F351" s="34" t="s">
        <v>320</v>
      </c>
      <c r="G351" s="88" t="s">
        <v>321</v>
      </c>
      <c r="H351" s="88"/>
      <c r="I351" s="307">
        <v>421500</v>
      </c>
      <c r="J351" s="6">
        <v>300</v>
      </c>
      <c r="K351" s="6">
        <v>1405</v>
      </c>
      <c r="L351" s="62" t="s">
        <v>2405</v>
      </c>
      <c r="M351" s="62" t="s">
        <v>452</v>
      </c>
      <c r="N351" s="62" t="s">
        <v>464</v>
      </c>
      <c r="O351" s="100" t="s">
        <v>2427</v>
      </c>
      <c r="P351" s="5" t="s">
        <v>2407</v>
      </c>
      <c r="Q351" s="34" t="s">
        <v>2428</v>
      </c>
      <c r="R351" s="5" t="s">
        <v>2560</v>
      </c>
      <c r="S351" s="5" t="s">
        <v>2430</v>
      </c>
      <c r="T351" s="5" t="s">
        <v>445</v>
      </c>
    </row>
    <row r="352" spans="3:20" ht="14">
      <c r="C352" s="5" t="s">
        <v>1857</v>
      </c>
      <c r="D352" s="5"/>
      <c r="F352" s="34" t="s">
        <v>320</v>
      </c>
      <c r="G352" s="88" t="s">
        <v>321</v>
      </c>
      <c r="H352" s="88"/>
      <c r="I352" s="307">
        <v>140949.6</v>
      </c>
      <c r="J352" s="6">
        <v>100.32</v>
      </c>
      <c r="K352" s="6">
        <v>1405</v>
      </c>
      <c r="L352" s="62" t="s">
        <v>2405</v>
      </c>
      <c r="M352" s="62" t="s">
        <v>452</v>
      </c>
      <c r="N352" s="62" t="s">
        <v>464</v>
      </c>
      <c r="O352" s="100" t="s">
        <v>2427</v>
      </c>
      <c r="P352" s="5" t="s">
        <v>2407</v>
      </c>
      <c r="Q352" s="34" t="s">
        <v>2428</v>
      </c>
      <c r="R352" s="5" t="s">
        <v>2610</v>
      </c>
      <c r="S352" s="5" t="s">
        <v>2430</v>
      </c>
      <c r="T352" s="5" t="s">
        <v>445</v>
      </c>
    </row>
    <row r="353" spans="1:256" ht="14">
      <c r="C353" s="5" t="s">
        <v>1857</v>
      </c>
      <c r="D353" s="5"/>
      <c r="F353" s="34" t="s">
        <v>324</v>
      </c>
      <c r="G353" s="88" t="s">
        <v>325</v>
      </c>
      <c r="H353" s="88"/>
      <c r="I353" s="307">
        <v>-3350000</v>
      </c>
      <c r="J353" s="6">
        <v>-2384.3416370106802</v>
      </c>
      <c r="K353" s="6">
        <v>1405</v>
      </c>
      <c r="L353" s="62" t="s">
        <v>2405</v>
      </c>
      <c r="M353" s="62" t="s">
        <v>452</v>
      </c>
      <c r="N353" s="62" t="s">
        <v>464</v>
      </c>
      <c r="O353" s="100" t="s">
        <v>2501</v>
      </c>
      <c r="P353" s="5" t="s">
        <v>2407</v>
      </c>
      <c r="Q353" s="34" t="s">
        <v>2502</v>
      </c>
      <c r="R353" s="5" t="s">
        <v>563</v>
      </c>
      <c r="S353" s="5" t="s">
        <v>2503</v>
      </c>
      <c r="T353" s="5" t="s">
        <v>445</v>
      </c>
    </row>
    <row r="354" spans="1:256" ht="14">
      <c r="C354" s="5" t="s">
        <v>1857</v>
      </c>
      <c r="D354" s="5"/>
      <c r="F354" s="34" t="s">
        <v>324</v>
      </c>
      <c r="G354" s="88" t="s">
        <v>325</v>
      </c>
      <c r="H354" s="88"/>
      <c r="I354" s="307">
        <v>-17703000</v>
      </c>
      <c r="J354" s="6">
        <v>-12600</v>
      </c>
      <c r="K354" s="6">
        <v>1405</v>
      </c>
      <c r="L354" s="62" t="s">
        <v>2405</v>
      </c>
      <c r="M354" s="62" t="s">
        <v>452</v>
      </c>
      <c r="N354" s="62" t="s">
        <v>464</v>
      </c>
      <c r="O354" s="100" t="s">
        <v>2504</v>
      </c>
      <c r="P354" s="5" t="s">
        <v>2407</v>
      </c>
      <c r="Q354" s="34" t="s">
        <v>2505</v>
      </c>
      <c r="R354" s="5" t="s">
        <v>563</v>
      </c>
      <c r="S354" s="5" t="s">
        <v>2506</v>
      </c>
      <c r="T354" s="5" t="s">
        <v>445</v>
      </c>
    </row>
    <row r="355" spans="1:256" ht="14">
      <c r="C355" s="5" t="s">
        <v>1857</v>
      </c>
      <c r="D355" s="5"/>
      <c r="F355" s="34" t="s">
        <v>324</v>
      </c>
      <c r="G355" s="88" t="s">
        <v>325</v>
      </c>
      <c r="H355" s="88"/>
      <c r="I355" s="307">
        <v>400000</v>
      </c>
      <c r="J355" s="6">
        <v>284.69750889679699</v>
      </c>
      <c r="K355" s="6">
        <v>1405</v>
      </c>
      <c r="L355" s="62" t="s">
        <v>2571</v>
      </c>
      <c r="M355" s="62" t="s">
        <v>452</v>
      </c>
      <c r="N355" s="62" t="s">
        <v>464</v>
      </c>
      <c r="O355" s="100" t="s">
        <v>2572</v>
      </c>
      <c r="P355" s="5" t="s">
        <v>2407</v>
      </c>
      <c r="Q355" s="34" t="s">
        <v>2573</v>
      </c>
      <c r="R355" s="5" t="s">
        <v>2574</v>
      </c>
      <c r="S355" s="5" t="s">
        <v>2575</v>
      </c>
      <c r="T355" s="5" t="s">
        <v>445</v>
      </c>
    </row>
    <row r="356" spans="1:256" ht="14">
      <c r="C356" s="5" t="s">
        <v>1857</v>
      </c>
      <c r="D356" s="5"/>
      <c r="F356" s="34" t="s">
        <v>324</v>
      </c>
      <c r="G356" s="88" t="s">
        <v>325</v>
      </c>
      <c r="H356" s="88"/>
      <c r="I356" s="307">
        <v>5198500</v>
      </c>
      <c r="J356" s="6">
        <v>3700</v>
      </c>
      <c r="K356" s="6">
        <v>1405</v>
      </c>
      <c r="L356" s="62" t="s">
        <v>2571</v>
      </c>
      <c r="M356" s="62" t="s">
        <v>452</v>
      </c>
      <c r="N356" s="62" t="s">
        <v>464</v>
      </c>
      <c r="O356" s="100" t="s">
        <v>2576</v>
      </c>
      <c r="P356" s="5" t="s">
        <v>2407</v>
      </c>
      <c r="Q356" s="34" t="s">
        <v>2577</v>
      </c>
      <c r="R356" s="5" t="s">
        <v>2578</v>
      </c>
      <c r="S356" s="5" t="s">
        <v>2579</v>
      </c>
      <c r="T356" s="5" t="s">
        <v>445</v>
      </c>
    </row>
    <row r="357" spans="1:256" ht="14">
      <c r="C357" s="5" t="s">
        <v>1857</v>
      </c>
      <c r="D357" s="5"/>
      <c r="F357" s="34" t="s">
        <v>324</v>
      </c>
      <c r="G357" s="88" t="s">
        <v>325</v>
      </c>
      <c r="H357" s="88"/>
      <c r="I357" s="307">
        <v>12504500</v>
      </c>
      <c r="J357" s="6">
        <v>8900</v>
      </c>
      <c r="K357" s="6">
        <v>1405</v>
      </c>
      <c r="L357" s="62" t="s">
        <v>2418</v>
      </c>
      <c r="M357" s="62" t="s">
        <v>452</v>
      </c>
      <c r="N357" s="62" t="s">
        <v>464</v>
      </c>
      <c r="O357" s="100" t="s">
        <v>2580</v>
      </c>
      <c r="P357" s="5" t="s">
        <v>2407</v>
      </c>
      <c r="Q357" s="34" t="s">
        <v>2581</v>
      </c>
      <c r="R357" s="5" t="s">
        <v>2582</v>
      </c>
      <c r="S357" s="5" t="s">
        <v>2583</v>
      </c>
      <c r="T357" s="5" t="s">
        <v>445</v>
      </c>
    </row>
    <row r="358" spans="1:256" ht="14">
      <c r="C358" s="5" t="s">
        <v>1857</v>
      </c>
      <c r="D358" s="5"/>
      <c r="F358" s="34" t="s">
        <v>324</v>
      </c>
      <c r="G358" s="88" t="s">
        <v>325</v>
      </c>
      <c r="H358" s="88"/>
      <c r="I358" s="307">
        <v>3780000</v>
      </c>
      <c r="J358" s="6">
        <v>2690.3914590747299</v>
      </c>
      <c r="K358" s="6">
        <v>1405</v>
      </c>
      <c r="L358" s="62" t="s">
        <v>2418</v>
      </c>
      <c r="M358" s="62" t="s">
        <v>452</v>
      </c>
      <c r="N358" s="62" t="s">
        <v>464</v>
      </c>
      <c r="O358" s="100" t="s">
        <v>2584</v>
      </c>
      <c r="P358" s="5" t="s">
        <v>2407</v>
      </c>
      <c r="Q358" s="34" t="s">
        <v>2585</v>
      </c>
      <c r="R358" s="5" t="s">
        <v>2582</v>
      </c>
      <c r="S358" s="5" t="s">
        <v>2586</v>
      </c>
      <c r="T358" s="5" t="s">
        <v>445</v>
      </c>
    </row>
    <row r="359" spans="1:256" ht="15">
      <c r="A359" s="5"/>
      <c r="B359" s="103"/>
      <c r="C359" s="103"/>
      <c r="D359" s="103"/>
      <c r="F359" s="105"/>
      <c r="G359" s="103"/>
      <c r="H359" s="103"/>
      <c r="I359" s="106"/>
      <c r="J359" s="106"/>
      <c r="K359" s="106"/>
      <c r="L359" s="65"/>
      <c r="M359" s="65"/>
      <c r="N359" s="5"/>
      <c r="X359" s="6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3"/>
      <c r="BK359" s="103"/>
      <c r="BL359" s="103"/>
      <c r="BM359" s="103"/>
      <c r="BN359" s="103"/>
      <c r="BO359" s="103"/>
      <c r="BP359" s="103"/>
      <c r="BQ359" s="103"/>
      <c r="BR359" s="103"/>
      <c r="BS359" s="103"/>
      <c r="BT359" s="103"/>
      <c r="BU359" s="103"/>
      <c r="BV359" s="103"/>
      <c r="BW359" s="103"/>
      <c r="BX359" s="103"/>
      <c r="BY359" s="103"/>
      <c r="BZ359" s="103"/>
      <c r="CA359" s="103"/>
      <c r="CB359" s="103"/>
      <c r="CC359" s="103"/>
      <c r="CD359" s="103"/>
      <c r="CE359" s="103"/>
      <c r="CF359" s="103"/>
      <c r="CG359" s="103"/>
      <c r="CH359" s="103"/>
      <c r="CI359" s="103"/>
      <c r="CJ359" s="103"/>
      <c r="CK359" s="103"/>
      <c r="CL359" s="103"/>
      <c r="CM359" s="103"/>
      <c r="CN359" s="103"/>
      <c r="CO359" s="103"/>
      <c r="CP359" s="103"/>
      <c r="CQ359" s="103"/>
      <c r="CR359" s="103"/>
      <c r="CS359" s="103"/>
      <c r="CT359" s="103"/>
      <c r="CU359" s="103"/>
      <c r="CV359" s="103"/>
      <c r="CW359" s="103"/>
      <c r="CX359" s="103"/>
      <c r="CY359" s="103"/>
      <c r="CZ359" s="103"/>
      <c r="DA359" s="103"/>
      <c r="DB359" s="103"/>
      <c r="DC359" s="103"/>
      <c r="DD359" s="103"/>
      <c r="DE359" s="103"/>
      <c r="DF359" s="103"/>
      <c r="DG359" s="103"/>
      <c r="DH359" s="103"/>
      <c r="DI359" s="103"/>
      <c r="DJ359" s="103"/>
      <c r="DK359" s="103"/>
      <c r="DL359" s="103"/>
      <c r="DM359" s="103"/>
      <c r="DN359" s="103"/>
      <c r="DO359" s="103"/>
      <c r="DP359" s="103"/>
      <c r="DQ359" s="103"/>
      <c r="DR359" s="103"/>
      <c r="DS359" s="103"/>
      <c r="DT359" s="103"/>
      <c r="DU359" s="103"/>
      <c r="DV359" s="103"/>
      <c r="DW359" s="103"/>
      <c r="DX359" s="103"/>
      <c r="DY359" s="103"/>
      <c r="DZ359" s="103"/>
      <c r="EA359" s="103"/>
      <c r="EB359" s="103"/>
      <c r="EC359" s="103"/>
      <c r="ED359" s="103"/>
      <c r="EE359" s="103"/>
      <c r="EF359" s="103"/>
      <c r="EG359" s="103"/>
      <c r="EH359" s="103"/>
      <c r="EI359" s="103"/>
      <c r="EJ359" s="103"/>
      <c r="EK359" s="103"/>
      <c r="EL359" s="103"/>
      <c r="EM359" s="103"/>
      <c r="EN359" s="103"/>
      <c r="EO359" s="103"/>
      <c r="EP359" s="103"/>
      <c r="EQ359" s="103"/>
      <c r="ER359" s="103"/>
      <c r="ES359" s="103"/>
      <c r="ET359" s="103"/>
      <c r="EU359" s="103"/>
      <c r="EV359" s="103"/>
      <c r="EW359" s="103"/>
      <c r="EX359" s="103"/>
      <c r="EY359" s="103"/>
      <c r="EZ359" s="103"/>
      <c r="FA359" s="103"/>
      <c r="FB359" s="103"/>
      <c r="FC359" s="103"/>
      <c r="FD359" s="103"/>
      <c r="FE359" s="103"/>
      <c r="FF359" s="103"/>
      <c r="FG359" s="103"/>
      <c r="FH359" s="103"/>
      <c r="FI359" s="103"/>
      <c r="FJ359" s="103"/>
      <c r="FK359" s="103"/>
      <c r="FL359" s="103"/>
      <c r="FM359" s="103"/>
      <c r="FN359" s="103"/>
      <c r="FO359" s="103"/>
      <c r="FP359" s="103"/>
      <c r="FQ359" s="103"/>
      <c r="FR359" s="103"/>
      <c r="FS359" s="103"/>
      <c r="FT359" s="103"/>
      <c r="FU359" s="103"/>
      <c r="FV359" s="103"/>
      <c r="FW359" s="103"/>
      <c r="FX359" s="103"/>
      <c r="FY359" s="103"/>
      <c r="FZ359" s="103"/>
      <c r="GA359" s="103"/>
      <c r="GB359" s="103"/>
      <c r="GC359" s="103"/>
      <c r="GD359" s="103"/>
      <c r="GE359" s="103"/>
      <c r="GF359" s="103"/>
      <c r="GG359" s="103"/>
      <c r="GH359" s="103"/>
      <c r="GI359" s="103"/>
      <c r="GJ359" s="103"/>
      <c r="GK359" s="103"/>
      <c r="GL359" s="103"/>
      <c r="GM359" s="103"/>
      <c r="GN359" s="103"/>
      <c r="GO359" s="103"/>
      <c r="GP359" s="103"/>
      <c r="GQ359" s="103"/>
      <c r="GR359" s="103"/>
      <c r="GS359" s="103"/>
      <c r="GT359" s="103"/>
      <c r="GU359" s="103"/>
      <c r="GV359" s="103"/>
      <c r="GW359" s="103"/>
      <c r="GX359" s="103"/>
      <c r="GY359" s="103"/>
      <c r="GZ359" s="103"/>
      <c r="HA359" s="103"/>
      <c r="HB359" s="103"/>
      <c r="HC359" s="103"/>
      <c r="HD359" s="103"/>
      <c r="HE359" s="103"/>
      <c r="HF359" s="103"/>
      <c r="HG359" s="103"/>
      <c r="HH359" s="103"/>
      <c r="HI359" s="103"/>
      <c r="HJ359" s="103"/>
      <c r="HK359" s="103"/>
      <c r="HL359" s="103"/>
      <c r="HM359" s="103"/>
      <c r="HN359" s="103"/>
      <c r="HO359" s="103"/>
      <c r="HP359" s="103"/>
      <c r="HQ359" s="103"/>
      <c r="HR359" s="103"/>
      <c r="HS359" s="103"/>
      <c r="HT359" s="103"/>
      <c r="HU359" s="103"/>
      <c r="HV359" s="103"/>
      <c r="HW359" s="103"/>
      <c r="HX359" s="103"/>
      <c r="HY359" s="103"/>
      <c r="HZ359" s="103"/>
      <c r="IA359" s="103"/>
      <c r="IB359" s="103"/>
      <c r="IC359" s="103"/>
      <c r="ID359" s="103"/>
      <c r="IE359" s="103"/>
      <c r="IF359" s="103"/>
      <c r="IG359" s="103"/>
      <c r="IH359" s="103"/>
      <c r="II359" s="103"/>
      <c r="IJ359" s="103"/>
      <c r="IK359" s="103"/>
      <c r="IL359" s="103"/>
      <c r="IM359" s="103"/>
      <c r="IN359" s="103"/>
      <c r="IO359" s="103"/>
      <c r="IP359" s="103"/>
      <c r="IQ359" s="103"/>
      <c r="IR359" s="103"/>
      <c r="IS359" s="103"/>
      <c r="IT359" s="103"/>
      <c r="IU359" s="103"/>
      <c r="IV359" s="103"/>
    </row>
    <row r="360" spans="1:256" ht="15">
      <c r="A360" s="103"/>
      <c r="B360" s="103"/>
      <c r="C360" s="103"/>
      <c r="D360" s="103"/>
      <c r="F360" s="105"/>
      <c r="G360" s="103"/>
      <c r="H360" s="103"/>
      <c r="I360" s="106"/>
      <c r="J360" s="106"/>
      <c r="K360" s="106"/>
      <c r="L360" s="65"/>
      <c r="M360" s="65"/>
      <c r="N360" s="5"/>
      <c r="X360" s="6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  <c r="BB360" s="103"/>
      <c r="BC360" s="103"/>
      <c r="BD360" s="103"/>
      <c r="BE360" s="103"/>
      <c r="BF360" s="103"/>
      <c r="BG360" s="103"/>
      <c r="BH360" s="103"/>
      <c r="BI360" s="103"/>
      <c r="BJ360" s="103"/>
      <c r="BK360" s="103"/>
      <c r="BL360" s="103"/>
      <c r="BM360" s="103"/>
      <c r="BN360" s="103"/>
      <c r="BO360" s="103"/>
      <c r="BP360" s="103"/>
      <c r="BQ360" s="103"/>
      <c r="BR360" s="103"/>
      <c r="BS360" s="103"/>
      <c r="BT360" s="103"/>
      <c r="BU360" s="103"/>
      <c r="BV360" s="103"/>
      <c r="BW360" s="103"/>
      <c r="BX360" s="103"/>
      <c r="BY360" s="103"/>
      <c r="BZ360" s="103"/>
      <c r="CA360" s="103"/>
      <c r="CB360" s="103"/>
      <c r="CC360" s="103"/>
      <c r="CD360" s="103"/>
      <c r="CE360" s="103"/>
      <c r="CF360" s="103"/>
      <c r="CG360" s="103"/>
      <c r="CH360" s="103"/>
      <c r="CI360" s="103"/>
      <c r="CJ360" s="103"/>
      <c r="CK360" s="103"/>
      <c r="CL360" s="103"/>
      <c r="CM360" s="103"/>
      <c r="CN360" s="103"/>
      <c r="CO360" s="103"/>
      <c r="CP360" s="103"/>
      <c r="CQ360" s="103"/>
      <c r="CR360" s="103"/>
      <c r="CS360" s="103"/>
      <c r="CT360" s="103"/>
      <c r="CU360" s="103"/>
      <c r="CV360" s="103"/>
      <c r="CW360" s="103"/>
      <c r="CX360" s="103"/>
      <c r="CY360" s="103"/>
      <c r="CZ360" s="103"/>
      <c r="DA360" s="103"/>
      <c r="DB360" s="103"/>
      <c r="DC360" s="103"/>
      <c r="DD360" s="103"/>
      <c r="DE360" s="103"/>
      <c r="DF360" s="103"/>
      <c r="DG360" s="103"/>
      <c r="DH360" s="103"/>
      <c r="DI360" s="103"/>
      <c r="DJ360" s="103"/>
      <c r="DK360" s="103"/>
      <c r="DL360" s="103"/>
      <c r="DM360" s="103"/>
      <c r="DN360" s="103"/>
      <c r="DO360" s="103"/>
      <c r="DP360" s="103"/>
      <c r="DQ360" s="103"/>
      <c r="DR360" s="103"/>
      <c r="DS360" s="103"/>
      <c r="DT360" s="103"/>
      <c r="DU360" s="103"/>
      <c r="DV360" s="103"/>
      <c r="DW360" s="103"/>
      <c r="DX360" s="103"/>
      <c r="DY360" s="103"/>
      <c r="DZ360" s="103"/>
      <c r="EA360" s="103"/>
      <c r="EB360" s="103"/>
      <c r="EC360" s="103"/>
      <c r="ED360" s="103"/>
      <c r="EE360" s="103"/>
      <c r="EF360" s="103"/>
      <c r="EG360" s="103"/>
      <c r="EH360" s="103"/>
      <c r="EI360" s="103"/>
      <c r="EJ360" s="103"/>
      <c r="EK360" s="103"/>
      <c r="EL360" s="103"/>
      <c r="EM360" s="103"/>
      <c r="EN360" s="103"/>
      <c r="EO360" s="103"/>
      <c r="EP360" s="103"/>
      <c r="EQ360" s="103"/>
      <c r="ER360" s="103"/>
      <c r="ES360" s="103"/>
      <c r="ET360" s="103"/>
      <c r="EU360" s="103"/>
      <c r="EV360" s="103"/>
      <c r="EW360" s="103"/>
      <c r="EX360" s="103"/>
      <c r="EY360" s="103"/>
      <c r="EZ360" s="103"/>
      <c r="FA360" s="103"/>
      <c r="FB360" s="103"/>
      <c r="FC360" s="103"/>
      <c r="FD360" s="103"/>
      <c r="FE360" s="103"/>
      <c r="FF360" s="103"/>
      <c r="FG360" s="103"/>
      <c r="FH360" s="103"/>
      <c r="FI360" s="103"/>
      <c r="FJ360" s="103"/>
      <c r="FK360" s="103"/>
      <c r="FL360" s="103"/>
      <c r="FM360" s="103"/>
      <c r="FN360" s="103"/>
      <c r="FO360" s="103"/>
      <c r="FP360" s="103"/>
      <c r="FQ360" s="103"/>
      <c r="FR360" s="103"/>
      <c r="FS360" s="103"/>
      <c r="FT360" s="103"/>
      <c r="FU360" s="103"/>
      <c r="FV360" s="103"/>
      <c r="FW360" s="103"/>
      <c r="FX360" s="103"/>
      <c r="FY360" s="103"/>
      <c r="FZ360" s="103"/>
      <c r="GA360" s="103"/>
      <c r="GB360" s="103"/>
      <c r="GC360" s="103"/>
      <c r="GD360" s="103"/>
      <c r="GE360" s="103"/>
      <c r="GF360" s="103"/>
      <c r="GG360" s="103"/>
      <c r="GH360" s="103"/>
      <c r="GI360" s="103"/>
      <c r="GJ360" s="103"/>
      <c r="GK360" s="103"/>
      <c r="GL360" s="103"/>
      <c r="GM360" s="103"/>
      <c r="GN360" s="103"/>
      <c r="GO360" s="103"/>
      <c r="GP360" s="103"/>
      <c r="GQ360" s="103"/>
      <c r="GR360" s="103"/>
      <c r="GS360" s="103"/>
      <c r="GT360" s="103"/>
      <c r="GU360" s="103"/>
      <c r="GV360" s="103"/>
      <c r="GW360" s="103"/>
      <c r="GX360" s="103"/>
      <c r="GY360" s="103"/>
      <c r="GZ360" s="103"/>
      <c r="HA360" s="103"/>
      <c r="HB360" s="103"/>
      <c r="HC360" s="103"/>
      <c r="HD360" s="103"/>
      <c r="HE360" s="103"/>
      <c r="HF360" s="103"/>
      <c r="HG360" s="103"/>
      <c r="HH360" s="103"/>
      <c r="HI360" s="103"/>
      <c r="HJ360" s="103"/>
      <c r="HK360" s="103"/>
      <c r="HL360" s="103"/>
      <c r="HM360" s="103"/>
      <c r="HN360" s="103"/>
      <c r="HO360" s="103"/>
      <c r="HP360" s="103"/>
      <c r="HQ360" s="103"/>
      <c r="HR360" s="103"/>
      <c r="HS360" s="103"/>
      <c r="HT360" s="103"/>
      <c r="HU360" s="103"/>
      <c r="HV360" s="103"/>
      <c r="HW360" s="103"/>
      <c r="HX360" s="103"/>
      <c r="HY360" s="103"/>
      <c r="HZ360" s="103"/>
      <c r="IA360" s="103"/>
      <c r="IB360" s="103"/>
      <c r="IC360" s="103"/>
      <c r="ID360" s="103"/>
      <c r="IE360" s="103"/>
      <c r="IF360" s="103"/>
      <c r="IG360" s="103"/>
      <c r="IH360" s="103"/>
      <c r="II360" s="103"/>
      <c r="IJ360" s="103"/>
      <c r="IK360" s="103"/>
      <c r="IL360" s="103"/>
      <c r="IM360" s="103"/>
      <c r="IN360" s="103"/>
      <c r="IO360" s="103"/>
      <c r="IP360" s="103"/>
      <c r="IQ360" s="103"/>
      <c r="IR360" s="103"/>
      <c r="IS360" s="103"/>
      <c r="IT360" s="103"/>
      <c r="IU360" s="103"/>
      <c r="IV360" s="103"/>
    </row>
    <row r="361" spans="1:256" ht="15">
      <c r="A361" s="103"/>
      <c r="B361" s="103"/>
      <c r="C361" s="103"/>
      <c r="D361" s="103"/>
      <c r="F361" s="105"/>
      <c r="G361" s="103"/>
      <c r="H361" s="103"/>
      <c r="I361" s="106"/>
      <c r="J361" s="106"/>
      <c r="K361" s="106"/>
      <c r="L361" s="65"/>
      <c r="M361" s="65"/>
      <c r="N361" s="5"/>
      <c r="X361" s="6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  <c r="AV361" s="103"/>
      <c r="AW361" s="103"/>
      <c r="AX361" s="103"/>
      <c r="AY361" s="103"/>
      <c r="AZ361" s="103"/>
      <c r="BA361" s="103"/>
      <c r="BB361" s="103"/>
      <c r="BC361" s="103"/>
      <c r="BD361" s="103"/>
      <c r="BE361" s="103"/>
      <c r="BF361" s="103"/>
      <c r="BG361" s="103"/>
      <c r="BH361" s="103"/>
      <c r="BI361" s="103"/>
      <c r="BJ361" s="103"/>
      <c r="BK361" s="103"/>
      <c r="BL361" s="103"/>
      <c r="BM361" s="103"/>
      <c r="BN361" s="103"/>
      <c r="BO361" s="103"/>
      <c r="BP361" s="103"/>
      <c r="BQ361" s="103"/>
      <c r="BR361" s="103"/>
      <c r="BS361" s="103"/>
      <c r="BT361" s="103"/>
      <c r="BU361" s="103"/>
      <c r="BV361" s="103"/>
      <c r="BW361" s="103"/>
      <c r="BX361" s="103"/>
      <c r="BY361" s="103"/>
      <c r="BZ361" s="103"/>
      <c r="CA361" s="103"/>
      <c r="CB361" s="103"/>
      <c r="CC361" s="103"/>
      <c r="CD361" s="103"/>
      <c r="CE361" s="103"/>
      <c r="CF361" s="103"/>
      <c r="CG361" s="103"/>
      <c r="CH361" s="103"/>
      <c r="CI361" s="103"/>
      <c r="CJ361" s="103"/>
      <c r="CK361" s="103"/>
      <c r="CL361" s="103"/>
      <c r="CM361" s="103"/>
      <c r="CN361" s="103"/>
      <c r="CO361" s="103"/>
      <c r="CP361" s="103"/>
      <c r="CQ361" s="103"/>
      <c r="CR361" s="103"/>
      <c r="CS361" s="103"/>
      <c r="CT361" s="103"/>
      <c r="CU361" s="103"/>
      <c r="CV361" s="103"/>
      <c r="CW361" s="103"/>
      <c r="CX361" s="103"/>
      <c r="CY361" s="103"/>
      <c r="CZ361" s="103"/>
      <c r="DA361" s="103"/>
      <c r="DB361" s="103"/>
      <c r="DC361" s="103"/>
      <c r="DD361" s="103"/>
      <c r="DE361" s="103"/>
      <c r="DF361" s="103"/>
      <c r="DG361" s="103"/>
      <c r="DH361" s="103"/>
      <c r="DI361" s="103"/>
      <c r="DJ361" s="103"/>
      <c r="DK361" s="103"/>
      <c r="DL361" s="103"/>
      <c r="DM361" s="103"/>
      <c r="DN361" s="103"/>
      <c r="DO361" s="103"/>
      <c r="DP361" s="103"/>
      <c r="DQ361" s="103"/>
      <c r="DR361" s="103"/>
      <c r="DS361" s="103"/>
      <c r="DT361" s="103"/>
      <c r="DU361" s="103"/>
      <c r="DV361" s="103"/>
      <c r="DW361" s="103"/>
      <c r="DX361" s="103"/>
      <c r="DY361" s="103"/>
      <c r="DZ361" s="103"/>
      <c r="EA361" s="103"/>
      <c r="EB361" s="103"/>
      <c r="EC361" s="103"/>
      <c r="ED361" s="103"/>
      <c r="EE361" s="103"/>
      <c r="EF361" s="103"/>
      <c r="EG361" s="103"/>
      <c r="EH361" s="103"/>
      <c r="EI361" s="103"/>
      <c r="EJ361" s="103"/>
      <c r="EK361" s="103"/>
      <c r="EL361" s="103"/>
      <c r="EM361" s="103"/>
      <c r="EN361" s="103"/>
      <c r="EO361" s="103"/>
      <c r="EP361" s="103"/>
      <c r="EQ361" s="103"/>
      <c r="ER361" s="103"/>
      <c r="ES361" s="103"/>
      <c r="ET361" s="103"/>
      <c r="EU361" s="103"/>
      <c r="EV361" s="103"/>
      <c r="EW361" s="103"/>
      <c r="EX361" s="103"/>
      <c r="EY361" s="103"/>
      <c r="EZ361" s="103"/>
      <c r="FA361" s="103"/>
      <c r="FB361" s="103"/>
      <c r="FC361" s="103"/>
      <c r="FD361" s="103"/>
      <c r="FE361" s="103"/>
      <c r="FF361" s="103"/>
      <c r="FG361" s="103"/>
      <c r="FH361" s="103"/>
      <c r="FI361" s="103"/>
      <c r="FJ361" s="103"/>
      <c r="FK361" s="103"/>
      <c r="FL361" s="103"/>
      <c r="FM361" s="103"/>
      <c r="FN361" s="103"/>
      <c r="FO361" s="103"/>
      <c r="FP361" s="103"/>
      <c r="FQ361" s="103"/>
      <c r="FR361" s="103"/>
      <c r="FS361" s="103"/>
      <c r="FT361" s="103"/>
      <c r="FU361" s="103"/>
      <c r="FV361" s="103"/>
      <c r="FW361" s="103"/>
      <c r="FX361" s="103"/>
      <c r="FY361" s="103"/>
      <c r="FZ361" s="103"/>
      <c r="GA361" s="103"/>
      <c r="GB361" s="103"/>
      <c r="GC361" s="103"/>
      <c r="GD361" s="103"/>
      <c r="GE361" s="103"/>
      <c r="GF361" s="103"/>
      <c r="GG361" s="103"/>
      <c r="GH361" s="103"/>
      <c r="GI361" s="103"/>
      <c r="GJ361" s="103"/>
      <c r="GK361" s="103"/>
      <c r="GL361" s="103"/>
      <c r="GM361" s="103"/>
      <c r="GN361" s="103"/>
      <c r="GO361" s="103"/>
      <c r="GP361" s="103"/>
      <c r="GQ361" s="103"/>
      <c r="GR361" s="103"/>
      <c r="GS361" s="103"/>
      <c r="GT361" s="103"/>
      <c r="GU361" s="103"/>
      <c r="GV361" s="103"/>
      <c r="GW361" s="103"/>
      <c r="GX361" s="103"/>
      <c r="GY361" s="103"/>
      <c r="GZ361" s="103"/>
      <c r="HA361" s="103"/>
      <c r="HB361" s="103"/>
      <c r="HC361" s="103"/>
      <c r="HD361" s="103"/>
      <c r="HE361" s="103"/>
      <c r="HF361" s="103"/>
      <c r="HG361" s="103"/>
      <c r="HH361" s="103"/>
      <c r="HI361" s="103"/>
      <c r="HJ361" s="103"/>
      <c r="HK361" s="103"/>
      <c r="HL361" s="103"/>
      <c r="HM361" s="103"/>
      <c r="HN361" s="103"/>
      <c r="HO361" s="103"/>
      <c r="HP361" s="103"/>
      <c r="HQ361" s="103"/>
      <c r="HR361" s="103"/>
      <c r="HS361" s="103"/>
      <c r="HT361" s="103"/>
      <c r="HU361" s="103"/>
      <c r="HV361" s="103"/>
      <c r="HW361" s="103"/>
      <c r="HX361" s="103"/>
      <c r="HY361" s="103"/>
      <c r="HZ361" s="103"/>
      <c r="IA361" s="103"/>
      <c r="IB361" s="103"/>
      <c r="IC361" s="103"/>
      <c r="ID361" s="103"/>
      <c r="IE361" s="103"/>
      <c r="IF361" s="103"/>
      <c r="IG361" s="103"/>
      <c r="IH361" s="103"/>
      <c r="II361" s="103"/>
      <c r="IJ361" s="103"/>
      <c r="IK361" s="103"/>
      <c r="IL361" s="103"/>
      <c r="IM361" s="103"/>
      <c r="IN361" s="103"/>
      <c r="IO361" s="103"/>
      <c r="IP361" s="103"/>
      <c r="IQ361" s="103"/>
      <c r="IR361" s="103"/>
      <c r="IS361" s="103"/>
      <c r="IT361" s="103"/>
      <c r="IU361" s="103"/>
      <c r="IV361" s="103"/>
    </row>
    <row r="363" spans="1:256" ht="14">
      <c r="A363" s="10" t="s">
        <v>75</v>
      </c>
      <c r="B363" s="10" t="s">
        <v>75</v>
      </c>
      <c r="C363" s="10" t="s">
        <v>75</v>
      </c>
      <c r="D363" s="10" t="s">
        <v>75</v>
      </c>
      <c r="E363" s="10" t="s">
        <v>75</v>
      </c>
      <c r="F363" s="11" t="s">
        <v>75</v>
      </c>
      <c r="G363" s="11" t="s">
        <v>75</v>
      </c>
      <c r="H363" s="11" t="s">
        <v>75</v>
      </c>
      <c r="I363" s="35" t="s">
        <v>75</v>
      </c>
      <c r="J363" s="35" t="s">
        <v>75</v>
      </c>
      <c r="K363" s="35" t="s">
        <v>75</v>
      </c>
      <c r="L363" s="102" t="s">
        <v>75</v>
      </c>
      <c r="M363" s="11" t="s">
        <v>75</v>
      </c>
      <c r="N363" s="11" t="s">
        <v>75</v>
      </c>
      <c r="O363" s="11" t="s">
        <v>75</v>
      </c>
      <c r="P363" s="11" t="s">
        <v>75</v>
      </c>
      <c r="Q363" s="11" t="s">
        <v>75</v>
      </c>
      <c r="R363" s="11" t="s">
        <v>75</v>
      </c>
      <c r="S363" s="11" t="s">
        <v>75</v>
      </c>
      <c r="T363" s="11" t="s">
        <v>75</v>
      </c>
      <c r="U363" s="11" t="s">
        <v>75</v>
      </c>
      <c r="V363" s="11" t="s">
        <v>75</v>
      </c>
      <c r="W363" s="11" t="s">
        <v>75</v>
      </c>
    </row>
  </sheetData>
  <autoFilter ref="A10:IV129" xr:uid="{00000000-0009-0000-0000-000005000000}"/>
  <sortState xmlns:xlrd2="http://schemas.microsoft.com/office/spreadsheetml/2017/richdata2" ref="A11:IY129">
    <sortCondition ref="F11"/>
  </sortState>
  <conditionalFormatting sqref="G7:G8">
    <cfRule type="cellIs" dxfId="23" priority="1" stopIfTrue="1" operator="equal">
      <formula>"Check"</formula>
    </cfRule>
  </conditionalFormatting>
  <pageMargins left="0.7" right="0.7" top="0.75" bottom="0.75" header="0.3" footer="0.3"/>
  <ignoredErrors>
    <ignoredError sqref="F11:F5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V203"/>
  <sheetViews>
    <sheetView zoomScale="150" zoomScaleNormal="150" workbookViewId="0">
      <selection activeCell="A37" sqref="A37"/>
    </sheetView>
  </sheetViews>
  <sheetFormatPr baseColWidth="10" defaultColWidth="10.83203125" defaultRowHeight="13"/>
  <cols>
    <col min="1" max="1" width="19.5" style="9" customWidth="1"/>
    <col min="2" max="2" width="29.83203125" style="5" bestFit="1" customWidth="1"/>
    <col min="3" max="3" width="20.5" style="5" customWidth="1"/>
    <col min="4" max="4" width="13.1640625" style="34" bestFit="1" customWidth="1"/>
    <col min="5" max="5" width="33.1640625" style="88" bestFit="1" customWidth="1"/>
    <col min="6" max="6" width="10.5" style="36" bestFit="1" customWidth="1"/>
    <col min="7" max="7" width="31.5" style="5" bestFit="1" customWidth="1"/>
    <col min="8" max="8" width="13" style="5" bestFit="1" customWidth="1"/>
    <col min="9" max="9" width="22.5" style="62" customWidth="1"/>
    <col min="10" max="10" width="19.1640625" style="62" customWidth="1"/>
    <col min="11" max="11" width="20.1640625" style="62" customWidth="1"/>
    <col min="12" max="12" width="13.1640625" style="100" customWidth="1"/>
    <col min="13" max="13" width="18.83203125" style="5" customWidth="1"/>
    <col min="14" max="14" width="12.5" style="34" customWidth="1"/>
    <col min="15" max="15" width="28.1640625" style="5" customWidth="1"/>
    <col min="16" max="16" width="36.1640625" style="5" customWidth="1"/>
    <col min="17" max="17" width="13.83203125" style="5" customWidth="1"/>
    <col min="18" max="18" width="109.33203125" style="5" bestFit="1" customWidth="1"/>
    <col min="19" max="19" width="100.1640625" style="5" bestFit="1" customWidth="1"/>
    <col min="20" max="20" width="21.5" style="5" customWidth="1"/>
    <col min="21" max="21" width="38.83203125" style="5" bestFit="1" customWidth="1"/>
    <col min="22" max="22" width="35.5" style="5" customWidth="1"/>
    <col min="23" max="23" width="8.1640625" style="5" bestFit="1" customWidth="1"/>
    <col min="24" max="24" width="9.1640625" style="5" bestFit="1" customWidth="1"/>
    <col min="25" max="25" width="10.83203125" style="5"/>
    <col min="26" max="26" width="11.5" style="5" bestFit="1" customWidth="1"/>
    <col min="27" max="27" width="3" style="5" bestFit="1" customWidth="1"/>
    <col min="28" max="28" width="10.83203125" style="5"/>
    <col min="29" max="29" width="11.5" style="5" bestFit="1" customWidth="1"/>
    <col min="30" max="30" width="20" style="5" bestFit="1" customWidth="1"/>
    <col min="31" max="31" width="4.5" style="5" bestFit="1" customWidth="1"/>
    <col min="32" max="32" width="23.5" style="5" bestFit="1" customWidth="1"/>
    <col min="33" max="33" width="42.83203125" style="5" bestFit="1" customWidth="1"/>
    <col min="34" max="34" width="17.1640625" style="5" bestFit="1" customWidth="1"/>
    <col min="35" max="35" width="35.5" style="5" bestFit="1" customWidth="1"/>
    <col min="36" max="36" width="17.5" style="5" bestFit="1" customWidth="1"/>
    <col min="37" max="37" width="24.5" style="5" bestFit="1" customWidth="1"/>
    <col min="38" max="39" width="42.5" style="5" bestFit="1" customWidth="1"/>
    <col min="40" max="40" width="8.5" style="5" bestFit="1" customWidth="1"/>
    <col min="41" max="16384" width="10.83203125" style="5"/>
  </cols>
  <sheetData>
    <row r="1" spans="1:40">
      <c r="A1" s="88"/>
      <c r="B1" s="88"/>
      <c r="C1" s="88"/>
      <c r="D1" s="88"/>
      <c r="G1" s="36"/>
      <c r="L1" s="62"/>
      <c r="M1" s="62"/>
      <c r="N1" s="62"/>
    </row>
    <row r="2" spans="1:40">
      <c r="A2" s="88"/>
      <c r="B2" s="88"/>
      <c r="C2" s="88"/>
      <c r="D2" s="88"/>
      <c r="G2" s="68" t="s">
        <v>88</v>
      </c>
      <c r="L2" s="62"/>
      <c r="M2" s="62"/>
      <c r="N2" s="62"/>
    </row>
    <row r="3" spans="1:40">
      <c r="A3" s="88"/>
      <c r="B3" s="88"/>
      <c r="C3" s="88"/>
      <c r="D3" s="88"/>
      <c r="G3" s="68" t="s">
        <v>90</v>
      </c>
      <c r="H3" s="297"/>
      <c r="I3" s="298" t="s">
        <v>1168</v>
      </c>
      <c r="J3" s="298" t="s">
        <v>1169</v>
      </c>
      <c r="K3" s="298" t="s">
        <v>70</v>
      </c>
      <c r="L3" s="62"/>
      <c r="M3" s="62"/>
      <c r="N3" s="62"/>
    </row>
    <row r="4" spans="1:40">
      <c r="A4" s="88"/>
      <c r="B4" s="88"/>
      <c r="C4" s="88"/>
      <c r="D4" s="88"/>
      <c r="G4" s="68" t="s">
        <v>91</v>
      </c>
      <c r="H4" s="298" t="s">
        <v>186</v>
      </c>
      <c r="I4" s="298">
        <f>+SUMIF($E$10:$E$72,H4,$I$10:$I$72)</f>
        <v>1318460</v>
      </c>
      <c r="J4" s="298">
        <f>+SUMIF($E$10:$E$72,H4,$J$10:$J$72)</f>
        <v>937.99650393463992</v>
      </c>
      <c r="K4" s="299">
        <f>+I4/J4</f>
        <v>1405.6129148343509</v>
      </c>
      <c r="L4" s="62"/>
      <c r="M4" s="62"/>
      <c r="N4" s="62"/>
    </row>
    <row r="5" spans="1:40">
      <c r="A5" s="88"/>
      <c r="B5" s="88"/>
      <c r="C5" s="88"/>
      <c r="D5" s="88"/>
      <c r="L5" s="62"/>
      <c r="M5" s="62"/>
      <c r="N5" s="62"/>
    </row>
    <row r="6" spans="1:40" ht="14" thickBot="1">
      <c r="A6" s="88"/>
      <c r="B6" s="88"/>
      <c r="C6" s="88"/>
      <c r="D6" s="88"/>
      <c r="L6" s="62"/>
      <c r="M6" s="62"/>
      <c r="N6" s="62"/>
    </row>
    <row r="7" spans="1:40" ht="14" thickBot="1">
      <c r="A7" s="88"/>
      <c r="B7" s="88"/>
      <c r="C7" s="88"/>
      <c r="D7" s="88"/>
      <c r="G7" s="32" t="str">
        <f>+IF(I7+J7=0,"Ok","Check")</f>
        <v>Ok</v>
      </c>
      <c r="I7" s="61">
        <f>ROUND(SUM(I10:I203),0)</f>
        <v>0</v>
      </c>
      <c r="J7" s="61">
        <f>ROUND(SUM(J10:J203),0)</f>
        <v>0</v>
      </c>
      <c r="L7" s="62"/>
      <c r="M7" s="62"/>
      <c r="N7" s="62"/>
    </row>
    <row r="8" spans="1:40" ht="15" thickBot="1">
      <c r="A8" s="88"/>
      <c r="B8" s="88"/>
      <c r="C8" s="88"/>
      <c r="D8" s="88"/>
      <c r="E8" s="88" t="s">
        <v>89</v>
      </c>
      <c r="G8" s="32" t="str">
        <f>+Resumen_Base!C1</f>
        <v>Ok</v>
      </c>
      <c r="L8" s="62"/>
      <c r="M8" s="62"/>
      <c r="N8" s="62"/>
    </row>
    <row r="9" spans="1:40" ht="15" thickBot="1">
      <c r="A9" s="88"/>
      <c r="B9" s="88" t="str">
        <f>+F9&amp;G9</f>
        <v/>
      </c>
      <c r="C9" s="88"/>
      <c r="D9" s="214" t="s">
        <v>383</v>
      </c>
      <c r="E9" s="212" t="e">
        <f>+VLOOKUP(F9,Resumen_Base!$B$6:$F$69,5,0)</f>
        <v>#N/A</v>
      </c>
      <c r="H9" s="5" t="str">
        <f>+D9&amp;F9</f>
        <v>DEL</v>
      </c>
      <c r="I9" s="61">
        <f>SUM(I10:I72)</f>
        <v>25768012.199999999</v>
      </c>
      <c r="J9" s="104">
        <f>SUM(J10:J72)</f>
        <v>18277.983196832232</v>
      </c>
      <c r="L9" s="62"/>
      <c r="M9" s="62"/>
      <c r="N9" s="62"/>
    </row>
    <row r="10" spans="1:40" ht="32">
      <c r="B10" s="12" t="s">
        <v>81</v>
      </c>
      <c r="C10" s="9"/>
      <c r="D10" s="12" t="s">
        <v>71</v>
      </c>
      <c r="E10" s="12" t="s">
        <v>72</v>
      </c>
      <c r="F10" s="37" t="s">
        <v>22</v>
      </c>
      <c r="G10" s="7" t="s">
        <v>21</v>
      </c>
      <c r="H10" s="7"/>
      <c r="I10" s="8" t="s">
        <v>20</v>
      </c>
      <c r="J10" s="8" t="s">
        <v>18</v>
      </c>
      <c r="K10" s="71" t="s">
        <v>70</v>
      </c>
      <c r="L10" s="101" t="s">
        <v>16</v>
      </c>
      <c r="M10" s="7" t="s">
        <v>15</v>
      </c>
      <c r="N10" s="7" t="s">
        <v>14</v>
      </c>
      <c r="O10" s="7" t="s">
        <v>13</v>
      </c>
      <c r="P10" s="7" t="s">
        <v>12</v>
      </c>
      <c r="Q10" s="7" t="s">
        <v>11</v>
      </c>
      <c r="R10" s="7" t="s">
        <v>10</v>
      </c>
      <c r="S10" s="7" t="s">
        <v>9</v>
      </c>
      <c r="T10" s="7" t="s">
        <v>8</v>
      </c>
      <c r="U10" s="7" t="s">
        <v>7</v>
      </c>
      <c r="V10" s="7" t="s">
        <v>6</v>
      </c>
      <c r="W10" s="7" t="s">
        <v>5</v>
      </c>
      <c r="X10" s="8" t="s">
        <v>19</v>
      </c>
      <c r="Y10" s="7"/>
      <c r="Z10" s="7" t="s">
        <v>18</v>
      </c>
      <c r="AA10" s="7" t="s">
        <v>17</v>
      </c>
      <c r="AC10" s="66" t="s">
        <v>16</v>
      </c>
      <c r="AD10" s="66" t="s">
        <v>15</v>
      </c>
      <c r="AE10" s="66" t="s">
        <v>14</v>
      </c>
      <c r="AF10" s="66" t="s">
        <v>13</v>
      </c>
      <c r="AG10" s="66" t="s">
        <v>12</v>
      </c>
      <c r="AH10" s="66" t="s">
        <v>11</v>
      </c>
      <c r="AI10" s="66" t="s">
        <v>10</v>
      </c>
      <c r="AJ10" s="66" t="s">
        <v>9</v>
      </c>
      <c r="AK10" s="66" t="s">
        <v>8</v>
      </c>
      <c r="AL10" s="69" t="s">
        <v>7</v>
      </c>
      <c r="AM10" s="66" t="s">
        <v>6</v>
      </c>
      <c r="AN10" s="66" t="s">
        <v>5</v>
      </c>
    </row>
    <row r="11" spans="1:40" ht="14" hidden="1">
      <c r="C11" s="5" t="s">
        <v>1857</v>
      </c>
      <c r="D11" s="214" t="s">
        <v>383</v>
      </c>
      <c r="E11" s="212" t="str">
        <f>+VLOOKUP(F11,Resumen_Base!$B$6:$F$69,5,0)</f>
        <v>Canon Lodge/Labor Permits:</v>
      </c>
      <c r="F11" s="36" t="s">
        <v>141</v>
      </c>
      <c r="G11" s="5" t="s">
        <v>142</v>
      </c>
      <c r="H11" s="5" t="str">
        <f t="shared" ref="H11:H42" si="0">+D11&amp;F11</f>
        <v>DEL5208</v>
      </c>
      <c r="I11" s="6">
        <v>384000</v>
      </c>
      <c r="J11" s="62">
        <v>270.42253521126798</v>
      </c>
      <c r="K11" s="62">
        <v>1419.999999999998</v>
      </c>
      <c r="L11" s="62" t="s">
        <v>2669</v>
      </c>
      <c r="M11" s="100" t="s">
        <v>452</v>
      </c>
      <c r="N11" s="5" t="s">
        <v>464</v>
      </c>
      <c r="O11" s="34" t="s">
        <v>2670</v>
      </c>
      <c r="P11" s="5" t="s">
        <v>2665</v>
      </c>
      <c r="Q11" s="5" t="s">
        <v>2671</v>
      </c>
      <c r="R11" s="5" t="s">
        <v>2680</v>
      </c>
      <c r="S11" s="5" t="s">
        <v>2673</v>
      </c>
      <c r="T11" s="5" t="s">
        <v>445</v>
      </c>
    </row>
    <row r="12" spans="1:40" ht="14" hidden="1">
      <c r="C12" s="5" t="s">
        <v>1857</v>
      </c>
      <c r="D12" s="214" t="s">
        <v>383</v>
      </c>
      <c r="E12" s="212" t="str">
        <f>+VLOOKUP(F12,Resumen_Base!$B$6:$F$69,5,0)</f>
        <v>Electricity</v>
      </c>
      <c r="F12" s="36" t="s">
        <v>66</v>
      </c>
      <c r="G12" s="5" t="s">
        <v>67</v>
      </c>
      <c r="H12" s="5" t="str">
        <f t="shared" si="0"/>
        <v>DEL5259</v>
      </c>
      <c r="I12" s="6">
        <v>160000</v>
      </c>
      <c r="J12" s="62">
        <v>113.87900355871901</v>
      </c>
      <c r="K12" s="62">
        <v>1404.9999999999982</v>
      </c>
      <c r="L12" s="62" t="s">
        <v>2753</v>
      </c>
      <c r="M12" s="100" t="s">
        <v>452</v>
      </c>
      <c r="N12" s="5" t="s">
        <v>464</v>
      </c>
      <c r="O12" s="34" t="s">
        <v>2754</v>
      </c>
      <c r="P12" s="5" t="s">
        <v>2665</v>
      </c>
      <c r="Q12" s="5" t="s">
        <v>2755</v>
      </c>
      <c r="R12" s="5" t="s">
        <v>2772</v>
      </c>
      <c r="S12" s="5" t="s">
        <v>2757</v>
      </c>
      <c r="T12" s="5" t="s">
        <v>445</v>
      </c>
    </row>
    <row r="13" spans="1:40" ht="14" hidden="1">
      <c r="C13" s="5" t="s">
        <v>1857</v>
      </c>
      <c r="D13" s="214" t="s">
        <v>383</v>
      </c>
      <c r="E13" s="212" t="str">
        <f>+VLOOKUP(F13,Resumen_Base!$B$6:$F$69,5,0)</f>
        <v>Electricity - Gas for Boats &amp; Vehicles</v>
      </c>
      <c r="F13" s="36" t="s">
        <v>60</v>
      </c>
      <c r="G13" s="5" t="s">
        <v>61</v>
      </c>
      <c r="H13" s="5" t="str">
        <f t="shared" si="0"/>
        <v>DEL5248</v>
      </c>
      <c r="I13" s="6">
        <v>60925</v>
      </c>
      <c r="J13" s="62">
        <v>43.362989323843401</v>
      </c>
      <c r="K13" s="62">
        <v>1405.0000000000005</v>
      </c>
      <c r="L13" s="62" t="s">
        <v>2753</v>
      </c>
      <c r="M13" s="100" t="s">
        <v>452</v>
      </c>
      <c r="N13" s="5" t="s">
        <v>464</v>
      </c>
      <c r="O13" s="34" t="s">
        <v>2754</v>
      </c>
      <c r="P13" s="5" t="s">
        <v>2665</v>
      </c>
      <c r="Q13" s="5" t="s">
        <v>2755</v>
      </c>
      <c r="R13" s="5" t="s">
        <v>757</v>
      </c>
      <c r="S13" s="5" t="s">
        <v>2757</v>
      </c>
      <c r="T13" s="5" t="s">
        <v>445</v>
      </c>
    </row>
    <row r="14" spans="1:40" ht="14" hidden="1">
      <c r="C14" s="5" t="s">
        <v>1857</v>
      </c>
      <c r="D14" s="214" t="s">
        <v>383</v>
      </c>
      <c r="E14" s="212" t="str">
        <f>+VLOOKUP(F14,Resumen_Base!$B$6:$F$69,5,0)</f>
        <v>Electricity - Gas for Boats &amp; Vehicles</v>
      </c>
      <c r="F14" s="36" t="s">
        <v>60</v>
      </c>
      <c r="G14" s="5" t="s">
        <v>61</v>
      </c>
      <c r="H14" s="5" t="str">
        <f t="shared" si="0"/>
        <v>DEL5248</v>
      </c>
      <c r="I14" s="6">
        <v>142000</v>
      </c>
      <c r="J14" s="62">
        <v>101.067615658363</v>
      </c>
      <c r="K14" s="62">
        <v>1405</v>
      </c>
      <c r="L14" s="62" t="s">
        <v>2753</v>
      </c>
      <c r="M14" s="100" t="s">
        <v>452</v>
      </c>
      <c r="N14" s="5" t="s">
        <v>464</v>
      </c>
      <c r="O14" s="34" t="s">
        <v>2754</v>
      </c>
      <c r="P14" s="5" t="s">
        <v>2665</v>
      </c>
      <c r="Q14" s="5" t="s">
        <v>2755</v>
      </c>
      <c r="R14" s="5" t="s">
        <v>757</v>
      </c>
      <c r="S14" s="5" t="s">
        <v>2757</v>
      </c>
      <c r="T14" s="5" t="s">
        <v>445</v>
      </c>
    </row>
    <row r="15" spans="1:40" ht="14" hidden="1">
      <c r="C15" s="5" t="s">
        <v>1857</v>
      </c>
      <c r="D15" s="214" t="s">
        <v>383</v>
      </c>
      <c r="E15" s="212" t="str">
        <f>+VLOOKUP(F15,Resumen_Base!$B$6:$F$69,5,0)</f>
        <v>Electricity - Gas for Boats &amp; Vehicles</v>
      </c>
      <c r="F15" s="36" t="s">
        <v>60</v>
      </c>
      <c r="G15" s="5" t="s">
        <v>61</v>
      </c>
      <c r="H15" s="5" t="str">
        <f t="shared" si="0"/>
        <v>DEL5248</v>
      </c>
      <c r="I15" s="6">
        <v>220200</v>
      </c>
      <c r="J15" s="62">
        <v>156.72597864768699</v>
      </c>
      <c r="K15" s="62">
        <v>1404.9999999999986</v>
      </c>
      <c r="L15" s="62" t="s">
        <v>2753</v>
      </c>
      <c r="M15" s="100" t="s">
        <v>452</v>
      </c>
      <c r="N15" s="5" t="s">
        <v>464</v>
      </c>
      <c r="O15" s="34" t="s">
        <v>2754</v>
      </c>
      <c r="P15" s="5" t="s">
        <v>2665</v>
      </c>
      <c r="Q15" s="5" t="s">
        <v>2755</v>
      </c>
      <c r="R15" s="5" t="s">
        <v>2775</v>
      </c>
      <c r="S15" s="5" t="s">
        <v>2757</v>
      </c>
      <c r="T15" s="5" t="s">
        <v>445</v>
      </c>
    </row>
    <row r="16" spans="1:40" ht="14" hidden="1">
      <c r="C16" s="5" t="s">
        <v>1857</v>
      </c>
      <c r="D16" s="214" t="s">
        <v>383</v>
      </c>
      <c r="E16" s="212" t="str">
        <f>+VLOOKUP(F16,Resumen_Base!$B$6:$F$69,5,0)</f>
        <v>Food &amp; Wine</v>
      </c>
      <c r="F16" s="36" t="s">
        <v>35</v>
      </c>
      <c r="G16" s="5" t="s">
        <v>34</v>
      </c>
      <c r="H16" s="5" t="str">
        <f t="shared" si="0"/>
        <v>DEL5250</v>
      </c>
      <c r="I16" s="6">
        <v>20000</v>
      </c>
      <c r="J16" s="62">
        <v>14.234875444839901</v>
      </c>
      <c r="K16" s="62">
        <v>1404.9999999999957</v>
      </c>
      <c r="L16" s="62" t="s">
        <v>2753</v>
      </c>
      <c r="M16" s="100" t="s">
        <v>452</v>
      </c>
      <c r="N16" s="5" t="s">
        <v>464</v>
      </c>
      <c r="O16" s="34" t="s">
        <v>2754</v>
      </c>
      <c r="P16" s="5" t="s">
        <v>2665</v>
      </c>
      <c r="Q16" s="5" t="s">
        <v>2755</v>
      </c>
      <c r="R16" s="5" t="s">
        <v>2766</v>
      </c>
      <c r="S16" s="5" t="s">
        <v>2757</v>
      </c>
      <c r="T16" s="5" t="s">
        <v>445</v>
      </c>
    </row>
    <row r="17" spans="1:20" ht="14" hidden="1">
      <c r="C17" s="5" t="s">
        <v>1857</v>
      </c>
      <c r="D17" s="214" t="s">
        <v>383</v>
      </c>
      <c r="E17" s="212" t="str">
        <f>+VLOOKUP(F17,Resumen_Base!$B$6:$F$69,5,0)</f>
        <v>Food &amp; Wine</v>
      </c>
      <c r="F17" s="36" t="s">
        <v>35</v>
      </c>
      <c r="G17" s="5" t="s">
        <v>34</v>
      </c>
      <c r="H17" s="5" t="str">
        <f t="shared" si="0"/>
        <v>DEL5250</v>
      </c>
      <c r="I17" s="6">
        <v>64000</v>
      </c>
      <c r="J17" s="62">
        <v>45.551601423487497</v>
      </c>
      <c r="K17" s="62">
        <v>1405.0000000000014</v>
      </c>
      <c r="L17" s="62" t="s">
        <v>2753</v>
      </c>
      <c r="M17" s="100" t="s">
        <v>452</v>
      </c>
      <c r="N17" s="5" t="s">
        <v>464</v>
      </c>
      <c r="O17" s="34" t="s">
        <v>2754</v>
      </c>
      <c r="P17" s="5" t="s">
        <v>2665</v>
      </c>
      <c r="Q17" s="5" t="s">
        <v>2755</v>
      </c>
      <c r="R17" s="5" t="s">
        <v>2768</v>
      </c>
      <c r="S17" s="5" t="s">
        <v>2757</v>
      </c>
      <c r="T17" s="5" t="s">
        <v>445</v>
      </c>
    </row>
    <row r="18" spans="1:20" ht="14" hidden="1">
      <c r="C18" s="5" t="s">
        <v>1857</v>
      </c>
      <c r="D18" s="214" t="s">
        <v>383</v>
      </c>
      <c r="E18" s="212" t="str">
        <f>+VLOOKUP(F18,Resumen_Base!$B$6:$F$69,5,0)</f>
        <v>Food &amp; Wine</v>
      </c>
      <c r="F18" s="36" t="s">
        <v>35</v>
      </c>
      <c r="G18" s="5" t="s">
        <v>34</v>
      </c>
      <c r="H18" s="5" t="str">
        <f t="shared" si="0"/>
        <v>DEL5250</v>
      </c>
      <c r="I18" s="6">
        <v>122224</v>
      </c>
      <c r="J18" s="62">
        <v>86.992170818505301</v>
      </c>
      <c r="K18" s="62">
        <v>1405.0000000000007</v>
      </c>
      <c r="L18" s="62" t="s">
        <v>2753</v>
      </c>
      <c r="M18" s="100" t="s">
        <v>452</v>
      </c>
      <c r="N18" s="5" t="s">
        <v>464</v>
      </c>
      <c r="O18" s="34" t="s">
        <v>2754</v>
      </c>
      <c r="P18" s="5" t="s">
        <v>2665</v>
      </c>
      <c r="Q18" s="5" t="s">
        <v>2755</v>
      </c>
      <c r="R18" s="5" t="s">
        <v>2494</v>
      </c>
      <c r="S18" s="5" t="s">
        <v>2757</v>
      </c>
      <c r="T18" s="5" t="s">
        <v>445</v>
      </c>
    </row>
    <row r="19" spans="1:20" ht="14" hidden="1">
      <c r="C19" s="5" t="s">
        <v>1857</v>
      </c>
      <c r="D19" s="214" t="s">
        <v>383</v>
      </c>
      <c r="E19" s="212" t="str">
        <f>+VLOOKUP(F19,Resumen_Base!$B$6:$F$69,5,0)</f>
        <v>Food &amp; Wine</v>
      </c>
      <c r="F19" s="36" t="s">
        <v>35</v>
      </c>
      <c r="G19" s="5" t="s">
        <v>34</v>
      </c>
      <c r="H19" s="5" t="str">
        <f t="shared" si="0"/>
        <v>DEL5250</v>
      </c>
      <c r="I19" s="6">
        <v>35000</v>
      </c>
      <c r="J19" s="62">
        <v>24.911032028469801</v>
      </c>
      <c r="K19" s="62">
        <v>1404.9999999999973</v>
      </c>
      <c r="L19" s="62" t="s">
        <v>2753</v>
      </c>
      <c r="M19" s="100" t="s">
        <v>452</v>
      </c>
      <c r="N19" s="5" t="s">
        <v>464</v>
      </c>
      <c r="O19" s="34" t="s">
        <v>2754</v>
      </c>
      <c r="P19" s="5" t="s">
        <v>2665</v>
      </c>
      <c r="Q19" s="5" t="s">
        <v>2755</v>
      </c>
      <c r="R19" s="5" t="s">
        <v>1276</v>
      </c>
      <c r="S19" s="5" t="s">
        <v>2757</v>
      </c>
      <c r="T19" s="5" t="s">
        <v>445</v>
      </c>
    </row>
    <row r="20" spans="1:20" ht="14" hidden="1">
      <c r="C20" s="5" t="s">
        <v>1857</v>
      </c>
      <c r="D20" s="214" t="s">
        <v>383</v>
      </c>
      <c r="E20" s="212" t="str">
        <f>+VLOOKUP(F20,Resumen_Base!$B$6:$F$69,5,0)</f>
        <v>Food &amp; Wine</v>
      </c>
      <c r="F20" s="36" t="s">
        <v>35</v>
      </c>
      <c r="G20" s="5" t="s">
        <v>34</v>
      </c>
      <c r="H20" s="5" t="str">
        <f t="shared" si="0"/>
        <v>DEL5250</v>
      </c>
      <c r="I20" s="6">
        <v>49500</v>
      </c>
      <c r="J20" s="62">
        <v>35.231316725978701</v>
      </c>
      <c r="K20" s="62">
        <v>1404.999999999998</v>
      </c>
      <c r="L20" s="62" t="s">
        <v>2753</v>
      </c>
      <c r="M20" s="100" t="s">
        <v>452</v>
      </c>
      <c r="N20" s="5" t="s">
        <v>464</v>
      </c>
      <c r="O20" s="34" t="s">
        <v>2754</v>
      </c>
      <c r="P20" s="5" t="s">
        <v>2665</v>
      </c>
      <c r="Q20" s="5" t="s">
        <v>2755</v>
      </c>
      <c r="R20" s="5" t="s">
        <v>764</v>
      </c>
      <c r="S20" s="5" t="s">
        <v>2757</v>
      </c>
      <c r="T20" s="5" t="s">
        <v>445</v>
      </c>
    </row>
    <row r="21" spans="1:20" ht="14" hidden="1">
      <c r="C21" s="5" t="s">
        <v>1857</v>
      </c>
      <c r="D21" s="214" t="s">
        <v>383</v>
      </c>
      <c r="E21" s="212" t="str">
        <f>+VLOOKUP(F21,Resumen_Base!$B$6:$F$69,5,0)</f>
        <v>Food &amp; Wine</v>
      </c>
      <c r="F21" s="36" t="s">
        <v>35</v>
      </c>
      <c r="G21" s="5" t="s">
        <v>34</v>
      </c>
      <c r="H21" s="5" t="str">
        <f t="shared" si="0"/>
        <v>DEL5250</v>
      </c>
      <c r="I21" s="6">
        <v>54600</v>
      </c>
      <c r="J21" s="62">
        <v>38.861209964412801</v>
      </c>
      <c r="K21" s="62">
        <v>1405.0000000000005</v>
      </c>
      <c r="L21" s="62" t="s">
        <v>2753</v>
      </c>
      <c r="M21" s="100" t="s">
        <v>452</v>
      </c>
      <c r="N21" s="5" t="s">
        <v>464</v>
      </c>
      <c r="O21" s="34" t="s">
        <v>2754</v>
      </c>
      <c r="P21" s="5" t="s">
        <v>2665</v>
      </c>
      <c r="Q21" s="5" t="s">
        <v>2755</v>
      </c>
      <c r="R21" s="5" t="s">
        <v>2776</v>
      </c>
      <c r="S21" s="5" t="s">
        <v>2757</v>
      </c>
      <c r="T21" s="5" t="s">
        <v>445</v>
      </c>
    </row>
    <row r="22" spans="1:20" ht="14" hidden="1">
      <c r="C22" s="5" t="s">
        <v>1857</v>
      </c>
      <c r="D22" s="214" t="s">
        <v>383</v>
      </c>
      <c r="E22" s="212" t="str">
        <f>+VLOOKUP(F22,Resumen_Base!$B$6:$F$69,5,0)</f>
        <v>Food &amp; Wine</v>
      </c>
      <c r="F22" s="36" t="s">
        <v>35</v>
      </c>
      <c r="G22" s="5" t="s">
        <v>34</v>
      </c>
      <c r="H22" s="5" t="str">
        <f t="shared" si="0"/>
        <v>DEL5250</v>
      </c>
      <c r="I22" s="6">
        <v>54425</v>
      </c>
      <c r="J22" s="62">
        <v>38.327464788732399</v>
      </c>
      <c r="K22" s="62">
        <v>1419.9999999999998</v>
      </c>
      <c r="L22" s="62" t="s">
        <v>2663</v>
      </c>
      <c r="M22" s="100" t="s">
        <v>452</v>
      </c>
      <c r="N22" s="5" t="s">
        <v>464</v>
      </c>
      <c r="O22" s="34" t="s">
        <v>2664</v>
      </c>
      <c r="P22" s="5" t="s">
        <v>2665</v>
      </c>
      <c r="Q22" s="5" t="s">
        <v>2666</v>
      </c>
      <c r="R22" s="5" t="s">
        <v>2681</v>
      </c>
      <c r="S22" s="5" t="s">
        <v>2668</v>
      </c>
      <c r="T22" s="5" t="s">
        <v>445</v>
      </c>
    </row>
    <row r="23" spans="1:20" ht="14" hidden="1">
      <c r="C23" s="5" t="s">
        <v>1857</v>
      </c>
      <c r="D23" s="214" t="s">
        <v>383</v>
      </c>
      <c r="E23" s="212" t="str">
        <f>+VLOOKUP(F23,Resumen_Base!$B$6:$F$69,5,0)</f>
        <v>Food &amp; Wine</v>
      </c>
      <c r="F23" s="36" t="s">
        <v>35</v>
      </c>
      <c r="G23" s="5" t="s">
        <v>34</v>
      </c>
      <c r="H23" s="5" t="str">
        <f t="shared" si="0"/>
        <v>DEL5250</v>
      </c>
      <c r="I23" s="6">
        <v>861703</v>
      </c>
      <c r="J23" s="62">
        <v>613.31174377224204</v>
      </c>
      <c r="K23" s="62">
        <v>1405</v>
      </c>
      <c r="L23" s="62" t="s">
        <v>2674</v>
      </c>
      <c r="M23" s="100" t="s">
        <v>452</v>
      </c>
      <c r="N23" s="5" t="s">
        <v>464</v>
      </c>
      <c r="O23" s="34" t="s">
        <v>2675</v>
      </c>
      <c r="P23" s="5" t="s">
        <v>2665</v>
      </c>
      <c r="Q23" s="5" t="s">
        <v>2676</v>
      </c>
      <c r="R23" s="5" t="s">
        <v>2682</v>
      </c>
      <c r="S23" s="5" t="s">
        <v>2678</v>
      </c>
      <c r="T23" s="5" t="s">
        <v>445</v>
      </c>
    </row>
    <row r="24" spans="1:20" ht="14" hidden="1">
      <c r="C24" s="5" t="s">
        <v>1857</v>
      </c>
      <c r="D24" s="214" t="s">
        <v>383</v>
      </c>
      <c r="E24" s="212" t="str">
        <f>+VLOOKUP(F24,Resumen_Base!$B$6:$F$69,5,0)</f>
        <v>Food &amp; Wine</v>
      </c>
      <c r="F24" s="36" t="s">
        <v>110</v>
      </c>
      <c r="G24" s="5" t="s">
        <v>111</v>
      </c>
      <c r="H24" s="5" t="str">
        <f t="shared" si="0"/>
        <v>DEL5291</v>
      </c>
      <c r="I24" s="6">
        <v>14208</v>
      </c>
      <c r="J24" s="62">
        <v>10.112455516014199</v>
      </c>
      <c r="K24" s="62">
        <v>1405.000000000005</v>
      </c>
      <c r="L24" s="62" t="s">
        <v>2753</v>
      </c>
      <c r="M24" s="100" t="s">
        <v>452</v>
      </c>
      <c r="N24" s="5" t="s">
        <v>464</v>
      </c>
      <c r="O24" s="34" t="s">
        <v>2754</v>
      </c>
      <c r="P24" s="5" t="s">
        <v>2665</v>
      </c>
      <c r="Q24" s="5" t="s">
        <v>2755</v>
      </c>
      <c r="R24" s="5" t="s">
        <v>2784</v>
      </c>
      <c r="S24" s="5" t="s">
        <v>2757</v>
      </c>
      <c r="T24" s="5" t="s">
        <v>445</v>
      </c>
    </row>
    <row r="25" spans="1:20" ht="14" hidden="1">
      <c r="C25" s="5" t="s">
        <v>1857</v>
      </c>
      <c r="D25" s="214" t="s">
        <v>383</v>
      </c>
      <c r="E25" s="212" t="str">
        <f>+VLOOKUP(F25,Resumen_Base!$B$6:$F$69,5,0)</f>
        <v>Food &amp; Wine</v>
      </c>
      <c r="F25" s="36" t="s">
        <v>110</v>
      </c>
      <c r="G25" s="5" t="s">
        <v>111</v>
      </c>
      <c r="H25" s="5" t="str">
        <f t="shared" si="0"/>
        <v>DEL5291</v>
      </c>
      <c r="I25" s="6">
        <v>42800</v>
      </c>
      <c r="J25" s="62">
        <v>30.462633451957299</v>
      </c>
      <c r="K25" s="62">
        <v>1404.9999999999998</v>
      </c>
      <c r="L25" s="62" t="s">
        <v>2753</v>
      </c>
      <c r="M25" s="100" t="s">
        <v>452</v>
      </c>
      <c r="N25" s="5" t="s">
        <v>464</v>
      </c>
      <c r="O25" s="34" t="s">
        <v>2754</v>
      </c>
      <c r="P25" s="5" t="s">
        <v>2665</v>
      </c>
      <c r="Q25" s="5" t="s">
        <v>2755</v>
      </c>
      <c r="R25" s="5" t="s">
        <v>2786</v>
      </c>
      <c r="S25" s="5" t="s">
        <v>2757</v>
      </c>
      <c r="T25" s="5" t="s">
        <v>445</v>
      </c>
    </row>
    <row r="26" spans="1:20" ht="14" hidden="1">
      <c r="C26" s="5" t="s">
        <v>1857</v>
      </c>
      <c r="D26" s="214" t="s">
        <v>383</v>
      </c>
      <c r="E26" s="212" t="str">
        <f>+VLOOKUP(F26,Resumen_Base!$B$6:$F$69,5,0)</f>
        <v>Guides</v>
      </c>
      <c r="F26" s="36" t="s">
        <v>149</v>
      </c>
      <c r="G26" s="5" t="s">
        <v>284</v>
      </c>
      <c r="H26" s="5" t="str">
        <f t="shared" si="0"/>
        <v>DEL5227</v>
      </c>
      <c r="I26" s="6">
        <v>2212875</v>
      </c>
      <c r="J26" s="62">
        <v>1575</v>
      </c>
      <c r="K26" s="62">
        <v>1405</v>
      </c>
      <c r="L26" s="62" t="s">
        <v>2753</v>
      </c>
      <c r="M26" s="100" t="s">
        <v>452</v>
      </c>
      <c r="N26" s="5" t="s">
        <v>464</v>
      </c>
      <c r="O26" s="34" t="s">
        <v>2792</v>
      </c>
      <c r="P26" s="5" t="s">
        <v>2665</v>
      </c>
      <c r="Q26" s="5" t="s">
        <v>2793</v>
      </c>
      <c r="R26" s="5" t="s">
        <v>2796</v>
      </c>
      <c r="S26" s="5" t="s">
        <v>2795</v>
      </c>
      <c r="T26" s="5" t="s">
        <v>445</v>
      </c>
    </row>
    <row r="27" spans="1:20" ht="14" hidden="1">
      <c r="C27" s="5" t="s">
        <v>1857</v>
      </c>
      <c r="D27" s="214" t="s">
        <v>383</v>
      </c>
      <c r="E27" s="212" t="str">
        <f>+VLOOKUP(F27,Resumen_Base!$B$6:$F$69,5,0)</f>
        <v>Guides</v>
      </c>
      <c r="F27" s="36" t="s">
        <v>149</v>
      </c>
      <c r="G27" s="5" t="s">
        <v>284</v>
      </c>
      <c r="H27" s="5" t="str">
        <f t="shared" si="0"/>
        <v>DEL5227</v>
      </c>
      <c r="I27" s="6">
        <v>1475250</v>
      </c>
      <c r="J27" s="62">
        <v>1050</v>
      </c>
      <c r="K27" s="62">
        <v>1405</v>
      </c>
      <c r="L27" s="62" t="s">
        <v>2777</v>
      </c>
      <c r="M27" s="100" t="s">
        <v>452</v>
      </c>
      <c r="N27" s="5" t="s">
        <v>464</v>
      </c>
      <c r="O27" s="34" t="s">
        <v>2797</v>
      </c>
      <c r="P27" s="5" t="s">
        <v>2665</v>
      </c>
      <c r="Q27" s="5" t="s">
        <v>2798</v>
      </c>
      <c r="R27" s="5" t="s">
        <v>2799</v>
      </c>
      <c r="S27" s="5" t="s">
        <v>2800</v>
      </c>
      <c r="T27" s="5" t="s">
        <v>445</v>
      </c>
    </row>
    <row r="28" spans="1:20" ht="14" hidden="1">
      <c r="C28" s="5" t="s">
        <v>1857</v>
      </c>
      <c r="D28" s="214" t="s">
        <v>383</v>
      </c>
      <c r="E28" s="212" t="str">
        <f>+VLOOKUP(F28,Resumen_Base!$B$6:$F$69,5,0)</f>
        <v>Guides</v>
      </c>
      <c r="F28" s="36" t="s">
        <v>149</v>
      </c>
      <c r="G28" s="5" t="s">
        <v>284</v>
      </c>
      <c r="H28" s="5" t="str">
        <f t="shared" si="0"/>
        <v>DEL5227</v>
      </c>
      <c r="I28" s="6">
        <v>273975</v>
      </c>
      <c r="J28" s="62">
        <v>195</v>
      </c>
      <c r="K28" s="62">
        <v>1405</v>
      </c>
      <c r="L28" s="62" t="s">
        <v>2753</v>
      </c>
      <c r="M28" s="100" t="s">
        <v>452</v>
      </c>
      <c r="N28" s="5" t="s">
        <v>464</v>
      </c>
      <c r="O28" s="34" t="s">
        <v>2792</v>
      </c>
      <c r="P28" s="5" t="s">
        <v>2665</v>
      </c>
      <c r="Q28" s="5" t="s">
        <v>2793</v>
      </c>
      <c r="R28" s="5" t="s">
        <v>2802</v>
      </c>
      <c r="S28" s="5" t="s">
        <v>2795</v>
      </c>
      <c r="T28" s="5" t="s">
        <v>445</v>
      </c>
    </row>
    <row r="29" spans="1:20" ht="14" hidden="1">
      <c r="C29" s="5" t="s">
        <v>1857</v>
      </c>
      <c r="D29" s="214" t="s">
        <v>383</v>
      </c>
      <c r="E29" s="212" t="str">
        <f>+VLOOKUP(F29,Resumen_Base!$B$6:$F$69,5,0)</f>
        <v>Guides</v>
      </c>
      <c r="F29" s="36" t="s">
        <v>149</v>
      </c>
      <c r="G29" s="5" t="s">
        <v>284</v>
      </c>
      <c r="H29" s="5" t="str">
        <f t="shared" si="0"/>
        <v>DEL5227</v>
      </c>
      <c r="I29" s="6">
        <v>2840000</v>
      </c>
      <c r="J29" s="62">
        <v>2000</v>
      </c>
      <c r="K29" s="62">
        <v>1420</v>
      </c>
      <c r="L29" s="62" t="s">
        <v>2663</v>
      </c>
      <c r="M29" s="100" t="s">
        <v>452</v>
      </c>
      <c r="N29" s="5" t="s">
        <v>464</v>
      </c>
      <c r="O29" s="34" t="s">
        <v>2741</v>
      </c>
      <c r="P29" s="5" t="s">
        <v>2665</v>
      </c>
      <c r="Q29" s="5" t="s">
        <v>2742</v>
      </c>
      <c r="R29" s="5" t="s">
        <v>2743</v>
      </c>
      <c r="S29" s="5" t="s">
        <v>2744</v>
      </c>
      <c r="T29" s="5" t="s">
        <v>445</v>
      </c>
    </row>
    <row r="30" spans="1:20" ht="14" hidden="1">
      <c r="C30" s="5" t="s">
        <v>1857</v>
      </c>
      <c r="D30" s="214" t="s">
        <v>383</v>
      </c>
      <c r="E30" s="212" t="str">
        <f>+VLOOKUP(F30,Resumen_Base!$B$6:$F$69,5,0)</f>
        <v>Maintenance  Boats / Vehicles</v>
      </c>
      <c r="F30" s="36" t="s">
        <v>62</v>
      </c>
      <c r="G30" s="5" t="s">
        <v>63</v>
      </c>
      <c r="H30" s="5" t="str">
        <f t="shared" si="0"/>
        <v>DEL5253</v>
      </c>
      <c r="I30" s="6">
        <v>2610000</v>
      </c>
      <c r="J30" s="62">
        <v>1857.6512455515999</v>
      </c>
      <c r="K30" s="62">
        <v>1405.0000000000011</v>
      </c>
      <c r="L30" s="62" t="s">
        <v>2674</v>
      </c>
      <c r="M30" s="100" t="s">
        <v>452</v>
      </c>
      <c r="N30" s="5" t="s">
        <v>464</v>
      </c>
      <c r="O30" s="34" t="s">
        <v>2675</v>
      </c>
      <c r="P30" s="5" t="s">
        <v>2665</v>
      </c>
      <c r="Q30" s="5" t="s">
        <v>2676</v>
      </c>
      <c r="R30" s="5" t="s">
        <v>2679</v>
      </c>
      <c r="S30" s="5" t="s">
        <v>2678</v>
      </c>
      <c r="T30" s="5" t="s">
        <v>445</v>
      </c>
    </row>
    <row r="31" spans="1:20" ht="14" hidden="1">
      <c r="A31" s="214" t="s">
        <v>2832</v>
      </c>
      <c r="C31" s="5" t="s">
        <v>1857</v>
      </c>
      <c r="D31" s="214" t="s">
        <v>383</v>
      </c>
      <c r="E31" s="212" t="str">
        <f>+VLOOKUP(F31,Resumen_Base!$B$6:$F$69,5,0)</f>
        <v>Maintenance Lodge</v>
      </c>
      <c r="F31" s="36" t="s">
        <v>31</v>
      </c>
      <c r="G31" s="5" t="s">
        <v>30</v>
      </c>
      <c r="H31" s="5" t="str">
        <f t="shared" si="0"/>
        <v>DEL5252</v>
      </c>
      <c r="I31" s="6">
        <v>1405000</v>
      </c>
      <c r="J31" s="62">
        <v>1000</v>
      </c>
      <c r="K31" s="62">
        <v>1405</v>
      </c>
      <c r="L31" s="62" t="s">
        <v>2753</v>
      </c>
      <c r="M31" s="100" t="s">
        <v>452</v>
      </c>
      <c r="N31" s="5" t="s">
        <v>464</v>
      </c>
      <c r="O31" s="34" t="s">
        <v>2792</v>
      </c>
      <c r="P31" s="5" t="s">
        <v>2665</v>
      </c>
      <c r="Q31" s="5" t="s">
        <v>2793</v>
      </c>
      <c r="R31" s="5" t="s">
        <v>2794</v>
      </c>
      <c r="S31" s="5" t="s">
        <v>2795</v>
      </c>
      <c r="T31" s="5" t="s">
        <v>445</v>
      </c>
    </row>
    <row r="32" spans="1:20" ht="14" hidden="1">
      <c r="C32" s="5" t="s">
        <v>1857</v>
      </c>
      <c r="D32" s="214" t="s">
        <v>383</v>
      </c>
      <c r="E32" s="212" t="str">
        <f>+VLOOKUP(F32,Resumen_Base!$B$6:$F$69,5,0)</f>
        <v>Maintenance Lodge</v>
      </c>
      <c r="F32" s="36" t="s">
        <v>31</v>
      </c>
      <c r="G32" s="5" t="s">
        <v>30</v>
      </c>
      <c r="H32" s="5" t="str">
        <f t="shared" si="0"/>
        <v>DEL5252</v>
      </c>
      <c r="I32" s="6">
        <v>16000</v>
      </c>
      <c r="J32" s="62">
        <v>11.387900355871899</v>
      </c>
      <c r="K32" s="62">
        <v>1404.9999999999984</v>
      </c>
      <c r="L32" s="62" t="s">
        <v>2777</v>
      </c>
      <c r="M32" s="100" t="s">
        <v>452</v>
      </c>
      <c r="N32" s="5" t="s">
        <v>464</v>
      </c>
      <c r="O32" s="34" t="s">
        <v>2778</v>
      </c>
      <c r="P32" s="5" t="s">
        <v>2665</v>
      </c>
      <c r="Q32" s="5" t="s">
        <v>2779</v>
      </c>
      <c r="R32" s="5" t="s">
        <v>2780</v>
      </c>
      <c r="S32" s="5" t="s">
        <v>2781</v>
      </c>
      <c r="T32" s="5" t="s">
        <v>445</v>
      </c>
    </row>
    <row r="33" spans="1:20" ht="14" hidden="1">
      <c r="C33" s="5" t="s">
        <v>1857</v>
      </c>
      <c r="D33" s="214" t="s">
        <v>383</v>
      </c>
      <c r="E33" s="212" t="str">
        <f>+VLOOKUP(F33,Resumen_Base!$B$6:$F$69,5,0)</f>
        <v>Maintenance Lodge</v>
      </c>
      <c r="F33" s="36" t="s">
        <v>31</v>
      </c>
      <c r="G33" s="5" t="s">
        <v>30</v>
      </c>
      <c r="H33" s="5" t="str">
        <f t="shared" si="0"/>
        <v>DEL5252</v>
      </c>
      <c r="I33" s="6">
        <v>500400</v>
      </c>
      <c r="J33" s="62">
        <v>352.39436619718299</v>
      </c>
      <c r="K33" s="62">
        <v>1420.0000000000005</v>
      </c>
      <c r="L33" s="62" t="s">
        <v>2663</v>
      </c>
      <c r="M33" s="100" t="s">
        <v>452</v>
      </c>
      <c r="N33" s="5" t="s">
        <v>464</v>
      </c>
      <c r="O33" s="34" t="s">
        <v>2664</v>
      </c>
      <c r="P33" s="5" t="s">
        <v>2665</v>
      </c>
      <c r="Q33" s="5" t="s">
        <v>2666</v>
      </c>
      <c r="R33" s="5" t="s">
        <v>2683</v>
      </c>
      <c r="S33" s="5" t="s">
        <v>2668</v>
      </c>
      <c r="T33" s="5" t="s">
        <v>445</v>
      </c>
    </row>
    <row r="34" spans="1:20" ht="14" hidden="1">
      <c r="C34" s="5" t="s">
        <v>1857</v>
      </c>
      <c r="D34" s="214" t="s">
        <v>383</v>
      </c>
      <c r="E34" s="212" t="str">
        <f>+VLOOKUP(F34,Resumen_Base!$B$6:$F$69,5,0)</f>
        <v>Maintenance Lodge</v>
      </c>
      <c r="F34" s="36" t="s">
        <v>113</v>
      </c>
      <c r="G34" s="5" t="s">
        <v>114</v>
      </c>
      <c r="H34" s="5" t="str">
        <f t="shared" si="0"/>
        <v>DEL5283</v>
      </c>
      <c r="I34" s="6">
        <v>75500</v>
      </c>
      <c r="J34" s="62">
        <v>53.736654804270501</v>
      </c>
      <c r="K34" s="62">
        <v>1404.9999999999991</v>
      </c>
      <c r="L34" s="62" t="s">
        <v>2753</v>
      </c>
      <c r="M34" s="100" t="s">
        <v>452</v>
      </c>
      <c r="N34" s="5" t="s">
        <v>464</v>
      </c>
      <c r="O34" s="34" t="s">
        <v>2754</v>
      </c>
      <c r="P34" s="5" t="s">
        <v>2665</v>
      </c>
      <c r="Q34" s="5" t="s">
        <v>2755</v>
      </c>
      <c r="R34" s="5" t="s">
        <v>1965</v>
      </c>
      <c r="S34" s="5" t="s">
        <v>2757</v>
      </c>
      <c r="T34" s="5" t="s">
        <v>445</v>
      </c>
    </row>
    <row r="35" spans="1:20" ht="14" hidden="1">
      <c r="C35" s="5" t="s">
        <v>1857</v>
      </c>
      <c r="D35" s="214" t="s">
        <v>383</v>
      </c>
      <c r="E35" s="212" t="str">
        <f>+VLOOKUP(F35,Resumen_Base!$B$6:$F$69,5,0)</f>
        <v>Manager</v>
      </c>
      <c r="F35" s="36" t="s">
        <v>150</v>
      </c>
      <c r="G35" s="5" t="s">
        <v>285</v>
      </c>
      <c r="H35" s="5" t="str">
        <f t="shared" si="0"/>
        <v>DEL5228</v>
      </c>
      <c r="I35" s="6">
        <v>741240</v>
      </c>
      <c r="J35" s="62">
        <v>522</v>
      </c>
      <c r="K35" s="62">
        <v>1420</v>
      </c>
      <c r="L35" s="62" t="s">
        <v>2669</v>
      </c>
      <c r="M35" s="100" t="s">
        <v>452</v>
      </c>
      <c r="N35" s="5" t="s">
        <v>464</v>
      </c>
      <c r="O35" s="34" t="s">
        <v>2710</v>
      </c>
      <c r="P35" s="5" t="s">
        <v>2665</v>
      </c>
      <c r="Q35" s="5" t="s">
        <v>2711</v>
      </c>
      <c r="R35" s="5" t="s">
        <v>2715</v>
      </c>
      <c r="S35" s="5" t="s">
        <v>2713</v>
      </c>
      <c r="T35" s="5" t="s">
        <v>445</v>
      </c>
    </row>
    <row r="36" spans="1:20" ht="14" hidden="1">
      <c r="C36" s="5" t="s">
        <v>1857</v>
      </c>
      <c r="D36" s="214" t="s">
        <v>383</v>
      </c>
      <c r="E36" s="212" t="str">
        <f>+VLOOKUP(F36,Resumen_Base!$B$6:$F$69,5,0)</f>
        <v>Manager</v>
      </c>
      <c r="F36" s="36" t="s">
        <v>150</v>
      </c>
      <c r="G36" s="5" t="s">
        <v>285</v>
      </c>
      <c r="H36" s="5" t="str">
        <f t="shared" si="0"/>
        <v>DEL5228</v>
      </c>
      <c r="I36" s="6">
        <v>843000</v>
      </c>
      <c r="J36" s="62">
        <v>600</v>
      </c>
      <c r="K36" s="62">
        <v>1405</v>
      </c>
      <c r="L36" s="62" t="s">
        <v>2777</v>
      </c>
      <c r="M36" s="100" t="s">
        <v>452</v>
      </c>
      <c r="N36" s="5" t="s">
        <v>464</v>
      </c>
      <c r="O36" s="34" t="s">
        <v>2797</v>
      </c>
      <c r="P36" s="5" t="s">
        <v>2665</v>
      </c>
      <c r="Q36" s="5" t="s">
        <v>2798</v>
      </c>
      <c r="R36" s="5" t="s">
        <v>2807</v>
      </c>
      <c r="S36" s="5" t="s">
        <v>2800</v>
      </c>
      <c r="T36" s="5" t="s">
        <v>445</v>
      </c>
    </row>
    <row r="37" spans="1:20" ht="28">
      <c r="A37" s="214" t="s">
        <v>2833</v>
      </c>
      <c r="C37" s="5" t="s">
        <v>1857</v>
      </c>
      <c r="D37" s="214" t="s">
        <v>383</v>
      </c>
      <c r="E37" s="212" t="str">
        <f>+VLOOKUP(F37,Resumen_Base!$B$6:$F$69,5,0)</f>
        <v>Miscellaneous &amp; Shipping</v>
      </c>
      <c r="F37" s="36" t="s">
        <v>41</v>
      </c>
      <c r="G37" s="5" t="s">
        <v>40</v>
      </c>
      <c r="H37" s="5" t="str">
        <f t="shared" si="0"/>
        <v>DEL5218</v>
      </c>
      <c r="I37" s="6">
        <v>4777000</v>
      </c>
      <c r="J37" s="62">
        <v>3400</v>
      </c>
      <c r="K37" s="62">
        <v>1405</v>
      </c>
      <c r="L37" s="62" t="s">
        <v>2753</v>
      </c>
      <c r="M37" s="100" t="s">
        <v>452</v>
      </c>
      <c r="N37" s="5" t="s">
        <v>464</v>
      </c>
      <c r="O37" s="34" t="s">
        <v>2792</v>
      </c>
      <c r="P37" s="5" t="s">
        <v>2665</v>
      </c>
      <c r="Q37" s="5" t="s">
        <v>2793</v>
      </c>
      <c r="R37" s="5" t="s">
        <v>2804</v>
      </c>
      <c r="S37" s="5" t="s">
        <v>2795</v>
      </c>
      <c r="T37" s="5" t="s">
        <v>445</v>
      </c>
    </row>
    <row r="38" spans="1:20" ht="14">
      <c r="C38" s="5" t="s">
        <v>1857</v>
      </c>
      <c r="D38" s="214" t="s">
        <v>383</v>
      </c>
      <c r="E38" s="212" t="str">
        <f>+VLOOKUP(F38,Resumen_Base!$B$6:$F$69,5,0)</f>
        <v>Miscellaneous &amp; Shipping</v>
      </c>
      <c r="F38" s="36" t="s">
        <v>26</v>
      </c>
      <c r="G38" s="5" t="s">
        <v>313</v>
      </c>
      <c r="H38" s="5" t="str">
        <f t="shared" si="0"/>
        <v>DEL5263</v>
      </c>
      <c r="I38" s="6">
        <v>54500</v>
      </c>
      <c r="J38" s="62">
        <v>38.790035587188598</v>
      </c>
      <c r="K38" s="62">
        <v>1405.0000000000005</v>
      </c>
      <c r="L38" s="62" t="s">
        <v>2684</v>
      </c>
      <c r="M38" s="100" t="s">
        <v>452</v>
      </c>
      <c r="N38" s="5" t="s">
        <v>464</v>
      </c>
      <c r="O38" s="34" t="s">
        <v>2685</v>
      </c>
      <c r="P38" s="5" t="s">
        <v>2665</v>
      </c>
      <c r="Q38" s="5" t="s">
        <v>2686</v>
      </c>
      <c r="R38" s="5" t="s">
        <v>2687</v>
      </c>
      <c r="S38" s="5" t="s">
        <v>2688</v>
      </c>
      <c r="T38" s="5" t="s">
        <v>445</v>
      </c>
    </row>
    <row r="39" spans="1:20" ht="14" hidden="1">
      <c r="C39" s="5" t="s">
        <v>1857</v>
      </c>
      <c r="D39" s="214" t="s">
        <v>383</v>
      </c>
      <c r="E39" s="212" t="str">
        <f>+VLOOKUP(F39,Resumen_Base!$B$6:$F$69,5,0)</f>
        <v>Propane</v>
      </c>
      <c r="F39" s="36" t="s">
        <v>37</v>
      </c>
      <c r="G39" s="5" t="s">
        <v>36</v>
      </c>
      <c r="H39" s="5" t="str">
        <f t="shared" si="0"/>
        <v>DEL5249</v>
      </c>
      <c r="I39" s="6">
        <v>30100</v>
      </c>
      <c r="J39" s="62">
        <v>21.423487544484001</v>
      </c>
      <c r="K39" s="62">
        <v>1404.9999999999991</v>
      </c>
      <c r="L39" s="62" t="s">
        <v>2753</v>
      </c>
      <c r="M39" s="100" t="s">
        <v>452</v>
      </c>
      <c r="N39" s="5" t="s">
        <v>464</v>
      </c>
      <c r="O39" s="34" t="s">
        <v>2754</v>
      </c>
      <c r="P39" s="5" t="s">
        <v>2665</v>
      </c>
      <c r="Q39" s="5" t="s">
        <v>2755</v>
      </c>
      <c r="R39" s="5" t="s">
        <v>2765</v>
      </c>
      <c r="S39" s="5" t="s">
        <v>2757</v>
      </c>
      <c r="T39" s="5" t="s">
        <v>445</v>
      </c>
    </row>
    <row r="40" spans="1:20" ht="14" hidden="1">
      <c r="C40" s="5" t="s">
        <v>1857</v>
      </c>
      <c r="D40" s="214" t="s">
        <v>383</v>
      </c>
      <c r="E40" s="212" t="str">
        <f>+VLOOKUP(F40,Resumen_Base!$B$6:$F$69,5,0)</f>
        <v>Propane</v>
      </c>
      <c r="F40" s="36" t="s">
        <v>37</v>
      </c>
      <c r="G40" s="5" t="s">
        <v>36</v>
      </c>
      <c r="H40" s="5" t="str">
        <f t="shared" si="0"/>
        <v>DEL5249</v>
      </c>
      <c r="I40" s="6">
        <v>20000</v>
      </c>
      <c r="J40" s="62">
        <v>14.234875444839901</v>
      </c>
      <c r="K40" s="62">
        <v>1404.9999999999957</v>
      </c>
      <c r="L40" s="62" t="s">
        <v>2753</v>
      </c>
      <c r="M40" s="100" t="s">
        <v>452</v>
      </c>
      <c r="N40" s="5" t="s">
        <v>464</v>
      </c>
      <c r="O40" s="34" t="s">
        <v>2754</v>
      </c>
      <c r="P40" s="5" t="s">
        <v>2665</v>
      </c>
      <c r="Q40" s="5" t="s">
        <v>2755</v>
      </c>
      <c r="R40" s="5" t="s">
        <v>2767</v>
      </c>
      <c r="S40" s="5" t="s">
        <v>2757</v>
      </c>
      <c r="T40" s="5" t="s">
        <v>445</v>
      </c>
    </row>
    <row r="41" spans="1:20" ht="14" hidden="1">
      <c r="C41" s="5" t="s">
        <v>1857</v>
      </c>
      <c r="D41" s="214" t="s">
        <v>383</v>
      </c>
      <c r="E41" s="212" t="str">
        <f>+VLOOKUP(F41,Resumen_Base!$B$6:$F$69,5,0)</f>
        <v>Propane</v>
      </c>
      <c r="F41" s="36" t="s">
        <v>37</v>
      </c>
      <c r="G41" s="5" t="s">
        <v>36</v>
      </c>
      <c r="H41" s="5" t="str">
        <f t="shared" si="0"/>
        <v>DEL5249</v>
      </c>
      <c r="I41" s="6">
        <v>157500</v>
      </c>
      <c r="J41" s="62">
        <v>112.09964412811399</v>
      </c>
      <c r="K41" s="62">
        <v>1404.9999999999986</v>
      </c>
      <c r="L41" s="62" t="s">
        <v>2753</v>
      </c>
      <c r="M41" s="100" t="s">
        <v>452</v>
      </c>
      <c r="N41" s="5" t="s">
        <v>464</v>
      </c>
      <c r="O41" s="34" t="s">
        <v>2754</v>
      </c>
      <c r="P41" s="5" t="s">
        <v>2665</v>
      </c>
      <c r="Q41" s="5" t="s">
        <v>2755</v>
      </c>
      <c r="R41" s="5" t="s">
        <v>2769</v>
      </c>
      <c r="S41" s="5" t="s">
        <v>2757</v>
      </c>
      <c r="T41" s="5" t="s">
        <v>445</v>
      </c>
    </row>
    <row r="42" spans="1:20" ht="14" hidden="1">
      <c r="C42" s="5" t="s">
        <v>1857</v>
      </c>
      <c r="D42" s="214" t="s">
        <v>383</v>
      </c>
      <c r="E42" s="212" t="str">
        <f>+VLOOKUP(F42,Resumen_Base!$B$6:$F$69,5,0)</f>
        <v>Propane</v>
      </c>
      <c r="F42" s="36" t="s">
        <v>37</v>
      </c>
      <c r="G42" s="5" t="s">
        <v>36</v>
      </c>
      <c r="H42" s="5" t="str">
        <f t="shared" si="0"/>
        <v>DEL5249</v>
      </c>
      <c r="I42" s="6">
        <v>94500</v>
      </c>
      <c r="J42" s="62">
        <v>67.2597864768683</v>
      </c>
      <c r="K42" s="62">
        <v>1405.0000000000007</v>
      </c>
      <c r="L42" s="62" t="s">
        <v>2753</v>
      </c>
      <c r="M42" s="100" t="s">
        <v>452</v>
      </c>
      <c r="N42" s="5" t="s">
        <v>464</v>
      </c>
      <c r="O42" s="34" t="s">
        <v>2754</v>
      </c>
      <c r="P42" s="5" t="s">
        <v>2665</v>
      </c>
      <c r="Q42" s="5" t="s">
        <v>2755</v>
      </c>
      <c r="R42" s="5" t="s">
        <v>2770</v>
      </c>
      <c r="S42" s="5" t="s">
        <v>2757</v>
      </c>
      <c r="T42" s="5" t="s">
        <v>445</v>
      </c>
    </row>
    <row r="43" spans="1:20" ht="14" hidden="1">
      <c r="C43" s="5" t="s">
        <v>1857</v>
      </c>
      <c r="D43" s="214" t="s">
        <v>383</v>
      </c>
      <c r="E43" s="212" t="str">
        <f>+VLOOKUP(F43,Resumen_Base!$B$6:$F$69,5,0)</f>
        <v>Services/House</v>
      </c>
      <c r="F43" s="36" t="s">
        <v>148</v>
      </c>
      <c r="G43" s="5" t="s">
        <v>283</v>
      </c>
      <c r="H43" s="5" t="str">
        <f t="shared" ref="H43:H65" si="1">+D43&amp;F43</f>
        <v>DEL5226</v>
      </c>
      <c r="I43" s="6">
        <v>80000</v>
      </c>
      <c r="J43" s="62">
        <v>56.939501779359396</v>
      </c>
      <c r="K43" s="62">
        <v>1405.0000000000009</v>
      </c>
      <c r="L43" s="62" t="s">
        <v>2759</v>
      </c>
      <c r="M43" s="100" t="s">
        <v>452</v>
      </c>
      <c r="N43" s="5" t="s">
        <v>464</v>
      </c>
      <c r="O43" s="34" t="s">
        <v>2760</v>
      </c>
      <c r="P43" s="5" t="s">
        <v>2665</v>
      </c>
      <c r="Q43" s="5" t="s">
        <v>2761</v>
      </c>
      <c r="R43" s="5" t="s">
        <v>2762</v>
      </c>
      <c r="S43" s="5" t="s">
        <v>2763</v>
      </c>
      <c r="T43" s="5" t="s">
        <v>445</v>
      </c>
    </row>
    <row r="44" spans="1:20" ht="14" hidden="1">
      <c r="C44" s="5" t="s">
        <v>1857</v>
      </c>
      <c r="D44" s="214" t="s">
        <v>383</v>
      </c>
      <c r="E44" s="212" t="str">
        <f>+VLOOKUP(F44,Resumen_Base!$B$6:$F$69,5,0)</f>
        <v>Services/House</v>
      </c>
      <c r="F44" s="36" t="s">
        <v>148</v>
      </c>
      <c r="G44" s="5" t="s">
        <v>283</v>
      </c>
      <c r="H44" s="5" t="str">
        <f t="shared" si="1"/>
        <v>DEL5226</v>
      </c>
      <c r="I44" s="6">
        <v>2095920</v>
      </c>
      <c r="J44" s="62">
        <v>1476</v>
      </c>
      <c r="K44" s="62">
        <v>1420</v>
      </c>
      <c r="L44" s="62" t="s">
        <v>2669</v>
      </c>
      <c r="M44" s="100" t="s">
        <v>452</v>
      </c>
      <c r="N44" s="5" t="s">
        <v>464</v>
      </c>
      <c r="O44" s="34" t="s">
        <v>2710</v>
      </c>
      <c r="P44" s="5" t="s">
        <v>2665</v>
      </c>
      <c r="Q44" s="5" t="s">
        <v>2711</v>
      </c>
      <c r="R44" s="5" t="s">
        <v>2716</v>
      </c>
      <c r="S44" s="5" t="s">
        <v>2713</v>
      </c>
      <c r="T44" s="5" t="s">
        <v>445</v>
      </c>
    </row>
    <row r="45" spans="1:20" ht="14" hidden="1">
      <c r="C45" s="5" t="s">
        <v>1857</v>
      </c>
      <c r="D45" s="214" t="s">
        <v>383</v>
      </c>
      <c r="E45" s="212" t="str">
        <f>+VLOOKUP(F45,Resumen_Base!$B$6:$F$69,5,0)</f>
        <v>Services/House</v>
      </c>
      <c r="F45" s="36" t="s">
        <v>148</v>
      </c>
      <c r="G45" s="5" t="s">
        <v>283</v>
      </c>
      <c r="H45" s="5" t="str">
        <f t="shared" si="1"/>
        <v>DEL5226</v>
      </c>
      <c r="I45" s="6">
        <v>309100</v>
      </c>
      <c r="J45" s="62">
        <v>220</v>
      </c>
      <c r="K45" s="62">
        <v>1405</v>
      </c>
      <c r="L45" s="62" t="s">
        <v>2777</v>
      </c>
      <c r="M45" s="100" t="s">
        <v>452</v>
      </c>
      <c r="N45" s="5" t="s">
        <v>464</v>
      </c>
      <c r="O45" s="34" t="s">
        <v>2797</v>
      </c>
      <c r="P45" s="5" t="s">
        <v>2665</v>
      </c>
      <c r="Q45" s="5" t="s">
        <v>2798</v>
      </c>
      <c r="R45" s="5" t="s">
        <v>2805</v>
      </c>
      <c r="S45" s="5" t="s">
        <v>2800</v>
      </c>
      <c r="T45" s="5" t="s">
        <v>445</v>
      </c>
    </row>
    <row r="46" spans="1:20" ht="14" hidden="1">
      <c r="C46" s="5" t="s">
        <v>1857</v>
      </c>
      <c r="D46" s="214" t="s">
        <v>383</v>
      </c>
      <c r="E46" s="212" t="str">
        <f>+VLOOKUP(F46,Resumen_Base!$B$6:$F$69,5,0)</f>
        <v>Services/House</v>
      </c>
      <c r="F46" s="36" t="s">
        <v>148</v>
      </c>
      <c r="G46" s="5" t="s">
        <v>283</v>
      </c>
      <c r="H46" s="5" t="str">
        <f t="shared" si="1"/>
        <v>DEL5226</v>
      </c>
      <c r="I46" s="6">
        <v>20000</v>
      </c>
      <c r="J46" s="62">
        <v>14.234875444839901</v>
      </c>
      <c r="K46" s="62">
        <v>1404.9999999999957</v>
      </c>
      <c r="L46" s="62" t="s">
        <v>2777</v>
      </c>
      <c r="M46" s="100" t="s">
        <v>452</v>
      </c>
      <c r="N46" s="5" t="s">
        <v>464</v>
      </c>
      <c r="O46" s="34" t="s">
        <v>2778</v>
      </c>
      <c r="P46" s="5" t="s">
        <v>2665</v>
      </c>
      <c r="Q46" s="5" t="s">
        <v>2779</v>
      </c>
      <c r="R46" s="5" t="s">
        <v>2782</v>
      </c>
      <c r="S46" s="5" t="s">
        <v>2781</v>
      </c>
      <c r="T46" s="5" t="s">
        <v>445</v>
      </c>
    </row>
    <row r="47" spans="1:20" ht="14" hidden="1">
      <c r="C47" s="5" t="s">
        <v>1857</v>
      </c>
      <c r="D47" s="214" t="s">
        <v>383</v>
      </c>
      <c r="E47" s="212" t="str">
        <f>+VLOOKUP(F47,Resumen_Base!$B$6:$F$69,5,0)</f>
        <v>Services/House</v>
      </c>
      <c r="F47" s="36" t="s">
        <v>148</v>
      </c>
      <c r="G47" s="5" t="s">
        <v>283</v>
      </c>
      <c r="H47" s="5" t="str">
        <f t="shared" si="1"/>
        <v>DEL5226</v>
      </c>
      <c r="I47" s="6">
        <v>365300</v>
      </c>
      <c r="J47" s="62">
        <v>260</v>
      </c>
      <c r="K47" s="62">
        <v>1405</v>
      </c>
      <c r="L47" s="62" t="s">
        <v>2777</v>
      </c>
      <c r="M47" s="100" t="s">
        <v>452</v>
      </c>
      <c r="N47" s="5" t="s">
        <v>464</v>
      </c>
      <c r="O47" s="34" t="s">
        <v>2797</v>
      </c>
      <c r="P47" s="5" t="s">
        <v>2665</v>
      </c>
      <c r="Q47" s="5" t="s">
        <v>2798</v>
      </c>
      <c r="R47" s="5" t="s">
        <v>2806</v>
      </c>
      <c r="S47" s="5" t="s">
        <v>2800</v>
      </c>
      <c r="T47" s="5" t="s">
        <v>445</v>
      </c>
    </row>
    <row r="48" spans="1:20" ht="14" hidden="1">
      <c r="C48" s="5" t="s">
        <v>1857</v>
      </c>
      <c r="D48" s="214" t="s">
        <v>383</v>
      </c>
      <c r="E48" s="212" t="str">
        <f>+VLOOKUP(F48,Resumen_Base!$B$6:$F$69,5,0)</f>
        <v>Services/House</v>
      </c>
      <c r="F48" s="36" t="s">
        <v>148</v>
      </c>
      <c r="G48" s="5" t="s">
        <v>283</v>
      </c>
      <c r="H48" s="5" t="str">
        <f t="shared" si="1"/>
        <v>DEL5226</v>
      </c>
      <c r="I48" s="6">
        <v>450447</v>
      </c>
      <c r="J48" s="62">
        <v>317.21619718309898</v>
      </c>
      <c r="K48" s="62">
        <v>1419.9999999999982</v>
      </c>
      <c r="L48" s="62" t="s">
        <v>2669</v>
      </c>
      <c r="M48" s="100" t="s">
        <v>452</v>
      </c>
      <c r="N48" s="5" t="s">
        <v>464</v>
      </c>
      <c r="O48" s="34" t="s">
        <v>2670</v>
      </c>
      <c r="P48" s="5" t="s">
        <v>2665</v>
      </c>
      <c r="Q48" s="5" t="s">
        <v>2671</v>
      </c>
      <c r="R48" s="5" t="s">
        <v>2672</v>
      </c>
      <c r="S48" s="5" t="s">
        <v>2673</v>
      </c>
      <c r="T48" s="5" t="s">
        <v>445</v>
      </c>
    </row>
    <row r="49" spans="3:20" ht="14" hidden="1">
      <c r="C49" s="5" t="s">
        <v>1857</v>
      </c>
      <c r="D49" s="214" t="s">
        <v>383</v>
      </c>
      <c r="E49" s="212" t="str">
        <f>+VLOOKUP(F49,Resumen_Base!$B$6:$F$69,5,0)</f>
        <v>Social Security Contributions</v>
      </c>
      <c r="F49" s="36" t="s">
        <v>153</v>
      </c>
      <c r="G49" s="5" t="s">
        <v>154</v>
      </c>
      <c r="H49" s="5" t="str">
        <f t="shared" si="1"/>
        <v>DEL5235</v>
      </c>
      <c r="I49" s="6">
        <v>850580</v>
      </c>
      <c r="J49" s="62">
        <v>599</v>
      </c>
      <c r="K49" s="62">
        <v>1420</v>
      </c>
      <c r="L49" s="62" t="s">
        <v>2669</v>
      </c>
      <c r="M49" s="100" t="s">
        <v>452</v>
      </c>
      <c r="N49" s="5" t="s">
        <v>464</v>
      </c>
      <c r="O49" s="34" t="s">
        <v>2710</v>
      </c>
      <c r="P49" s="5" t="s">
        <v>2665</v>
      </c>
      <c r="Q49" s="5" t="s">
        <v>2711</v>
      </c>
      <c r="R49" s="5" t="s">
        <v>2714</v>
      </c>
      <c r="S49" s="5" t="s">
        <v>2713</v>
      </c>
      <c r="T49" s="5" t="s">
        <v>445</v>
      </c>
    </row>
    <row r="50" spans="3:20" ht="14" hidden="1">
      <c r="C50" s="5" t="s">
        <v>1857</v>
      </c>
      <c r="D50" s="214" t="s">
        <v>383</v>
      </c>
      <c r="E50" s="212" t="str">
        <f>+VLOOKUP(F50,Resumen_Base!$B$6:$F$69,5,0)</f>
        <v>Social Security Contributions</v>
      </c>
      <c r="F50" s="36" t="s">
        <v>157</v>
      </c>
      <c r="G50" s="5" t="s">
        <v>158</v>
      </c>
      <c r="H50" s="5" t="str">
        <f t="shared" si="1"/>
        <v>DEL5237</v>
      </c>
      <c r="I50" s="6">
        <v>301040</v>
      </c>
      <c r="J50" s="62">
        <v>212</v>
      </c>
      <c r="K50" s="62">
        <v>1420</v>
      </c>
      <c r="L50" s="62" t="s">
        <v>2669</v>
      </c>
      <c r="M50" s="100" t="s">
        <v>452</v>
      </c>
      <c r="N50" s="5" t="s">
        <v>464</v>
      </c>
      <c r="O50" s="34" t="s">
        <v>2710</v>
      </c>
      <c r="P50" s="5" t="s">
        <v>2665</v>
      </c>
      <c r="Q50" s="5" t="s">
        <v>2711</v>
      </c>
      <c r="R50" s="5" t="s">
        <v>2712</v>
      </c>
      <c r="S50" s="5" t="s">
        <v>2713</v>
      </c>
      <c r="T50" s="5" t="s">
        <v>445</v>
      </c>
    </row>
    <row r="51" spans="3:20" ht="14" hidden="1">
      <c r="C51" s="5" t="s">
        <v>1857</v>
      </c>
      <c r="D51" s="214" t="s">
        <v>383</v>
      </c>
      <c r="E51" s="212" t="str">
        <f>+VLOOKUP(F51,Resumen_Base!$B$6:$F$69,5,0)</f>
        <v>Travel for personnel (employees)</v>
      </c>
      <c r="F51" s="36" t="s">
        <v>64</v>
      </c>
      <c r="G51" s="5" t="s">
        <v>65</v>
      </c>
      <c r="H51" s="5" t="str">
        <f t="shared" si="1"/>
        <v>DEL5255</v>
      </c>
      <c r="I51" s="6">
        <v>55800</v>
      </c>
      <c r="J51" s="62">
        <v>39.715302491103202</v>
      </c>
      <c r="K51" s="62">
        <v>1405</v>
      </c>
      <c r="L51" s="62" t="s">
        <v>2753</v>
      </c>
      <c r="M51" s="100" t="s">
        <v>452</v>
      </c>
      <c r="N51" s="5" t="s">
        <v>464</v>
      </c>
      <c r="O51" s="34" t="s">
        <v>2754</v>
      </c>
      <c r="P51" s="5" t="s">
        <v>2665</v>
      </c>
      <c r="Q51" s="5" t="s">
        <v>2755</v>
      </c>
      <c r="R51" s="5" t="s">
        <v>2756</v>
      </c>
      <c r="S51" s="5" t="s">
        <v>2757</v>
      </c>
      <c r="T51" s="5" t="s">
        <v>445</v>
      </c>
    </row>
    <row r="52" spans="3:20" ht="14" hidden="1">
      <c r="C52" s="5" t="s">
        <v>1857</v>
      </c>
      <c r="D52" s="214" t="s">
        <v>383</v>
      </c>
      <c r="E52" s="212" t="str">
        <f>+VLOOKUP(F52,Resumen_Base!$B$6:$F$69,5,0)</f>
        <v>Travel for personnel (employees)</v>
      </c>
      <c r="F52" s="36" t="s">
        <v>64</v>
      </c>
      <c r="G52" s="5" t="s">
        <v>65</v>
      </c>
      <c r="H52" s="5" t="str">
        <f t="shared" si="1"/>
        <v>DEL5255</v>
      </c>
      <c r="I52" s="6">
        <v>74600</v>
      </c>
      <c r="J52" s="62">
        <v>53.096085409252701</v>
      </c>
      <c r="K52" s="62">
        <v>1404.9999999999991</v>
      </c>
      <c r="L52" s="62" t="s">
        <v>2753</v>
      </c>
      <c r="M52" s="100" t="s">
        <v>452</v>
      </c>
      <c r="N52" s="5" t="s">
        <v>464</v>
      </c>
      <c r="O52" s="34" t="s">
        <v>2754</v>
      </c>
      <c r="P52" s="5" t="s">
        <v>2665</v>
      </c>
      <c r="Q52" s="5" t="s">
        <v>2755</v>
      </c>
      <c r="R52" s="5" t="s">
        <v>2758</v>
      </c>
      <c r="S52" s="5" t="s">
        <v>2757</v>
      </c>
      <c r="T52" s="5" t="s">
        <v>445</v>
      </c>
    </row>
    <row r="53" spans="3:20" ht="14" hidden="1">
      <c r="C53" s="5" t="s">
        <v>1857</v>
      </c>
      <c r="D53" s="214" t="s">
        <v>383</v>
      </c>
      <c r="E53" s="212" t="str">
        <f>+VLOOKUP(F53,Resumen_Base!$B$6:$F$69,5,0)</f>
        <v>Travel for personnel (employees)</v>
      </c>
      <c r="F53" s="36" t="s">
        <v>64</v>
      </c>
      <c r="G53" s="5" t="s">
        <v>65</v>
      </c>
      <c r="H53" s="5" t="str">
        <f t="shared" si="1"/>
        <v>DEL5255</v>
      </c>
      <c r="I53" s="6">
        <v>56000</v>
      </c>
      <c r="J53" s="62">
        <v>39.857651245551601</v>
      </c>
      <c r="K53" s="62">
        <v>1405</v>
      </c>
      <c r="L53" s="62" t="s">
        <v>2759</v>
      </c>
      <c r="M53" s="100" t="s">
        <v>452</v>
      </c>
      <c r="N53" s="5" t="s">
        <v>464</v>
      </c>
      <c r="O53" s="34" t="s">
        <v>2760</v>
      </c>
      <c r="P53" s="5" t="s">
        <v>2665</v>
      </c>
      <c r="Q53" s="5" t="s">
        <v>2761</v>
      </c>
      <c r="R53" s="5" t="s">
        <v>2764</v>
      </c>
      <c r="S53" s="5" t="s">
        <v>2763</v>
      </c>
      <c r="T53" s="5" t="s">
        <v>445</v>
      </c>
    </row>
    <row r="54" spans="3:20" ht="14" hidden="1">
      <c r="C54" s="5" t="s">
        <v>1857</v>
      </c>
      <c r="D54" s="214" t="s">
        <v>383</v>
      </c>
      <c r="E54" s="212" t="str">
        <f>+VLOOKUP(F54,Resumen_Base!$B$6:$F$69,5,0)</f>
        <v>Travel for personnel (employees)</v>
      </c>
      <c r="F54" s="36" t="s">
        <v>64</v>
      </c>
      <c r="G54" s="5" t="s">
        <v>65</v>
      </c>
      <c r="H54" s="5" t="str">
        <f t="shared" si="1"/>
        <v>DEL5255</v>
      </c>
      <c r="I54" s="6">
        <v>100000</v>
      </c>
      <c r="J54" s="62">
        <v>71.174377224199304</v>
      </c>
      <c r="K54" s="62">
        <v>1404.9999999999998</v>
      </c>
      <c r="L54" s="62" t="s">
        <v>2753</v>
      </c>
      <c r="M54" s="100" t="s">
        <v>452</v>
      </c>
      <c r="N54" s="5" t="s">
        <v>464</v>
      </c>
      <c r="O54" s="34" t="s">
        <v>2754</v>
      </c>
      <c r="P54" s="5" t="s">
        <v>2665</v>
      </c>
      <c r="Q54" s="5" t="s">
        <v>2755</v>
      </c>
      <c r="R54" s="5" t="s">
        <v>703</v>
      </c>
      <c r="S54" s="5" t="s">
        <v>2757</v>
      </c>
      <c r="T54" s="5" t="s">
        <v>445</v>
      </c>
    </row>
    <row r="55" spans="3:20" ht="14" hidden="1">
      <c r="C55" s="5" t="s">
        <v>1857</v>
      </c>
      <c r="D55" s="214" t="s">
        <v>383</v>
      </c>
      <c r="E55" s="212" t="str">
        <f>+VLOOKUP(F55,Resumen_Base!$B$6:$F$69,5,0)</f>
        <v>Travel for personnel (employees)</v>
      </c>
      <c r="F55" s="36" t="s">
        <v>64</v>
      </c>
      <c r="G55" s="5" t="s">
        <v>65</v>
      </c>
      <c r="H55" s="5" t="str">
        <f t="shared" si="1"/>
        <v>DEL5255</v>
      </c>
      <c r="I55" s="6">
        <v>45000</v>
      </c>
      <c r="J55" s="62">
        <v>32.028469750889698</v>
      </c>
      <c r="K55" s="62">
        <v>1404.9999999999991</v>
      </c>
      <c r="L55" s="62" t="s">
        <v>2753</v>
      </c>
      <c r="M55" s="100" t="s">
        <v>452</v>
      </c>
      <c r="N55" s="5" t="s">
        <v>464</v>
      </c>
      <c r="O55" s="34" t="s">
        <v>2754</v>
      </c>
      <c r="P55" s="5" t="s">
        <v>2665</v>
      </c>
      <c r="Q55" s="5" t="s">
        <v>2755</v>
      </c>
      <c r="R55" s="5" t="s">
        <v>2771</v>
      </c>
      <c r="S55" s="5" t="s">
        <v>2757</v>
      </c>
      <c r="T55" s="5" t="s">
        <v>445</v>
      </c>
    </row>
    <row r="56" spans="3:20" ht="14" hidden="1">
      <c r="C56" s="5" t="s">
        <v>1857</v>
      </c>
      <c r="D56" s="214" t="s">
        <v>383</v>
      </c>
      <c r="E56" s="212" t="str">
        <f>+VLOOKUP(F56,Resumen_Base!$B$6:$F$69,5,0)</f>
        <v>Travel for personnel (employees)</v>
      </c>
      <c r="F56" s="36" t="s">
        <v>64</v>
      </c>
      <c r="G56" s="5" t="s">
        <v>65</v>
      </c>
      <c r="H56" s="5" t="str">
        <f t="shared" si="1"/>
        <v>DEL5255</v>
      </c>
      <c r="I56" s="6">
        <v>23000</v>
      </c>
      <c r="J56" s="62">
        <v>16.3701067615658</v>
      </c>
      <c r="K56" s="62">
        <v>1405.0000000000032</v>
      </c>
      <c r="L56" s="62" t="s">
        <v>2753</v>
      </c>
      <c r="M56" s="100" t="s">
        <v>452</v>
      </c>
      <c r="N56" s="5" t="s">
        <v>464</v>
      </c>
      <c r="O56" s="34" t="s">
        <v>2754</v>
      </c>
      <c r="P56" s="5" t="s">
        <v>2665</v>
      </c>
      <c r="Q56" s="5" t="s">
        <v>2755</v>
      </c>
      <c r="R56" s="5" t="s">
        <v>2773</v>
      </c>
      <c r="S56" s="5" t="s">
        <v>2757</v>
      </c>
      <c r="T56" s="5" t="s">
        <v>445</v>
      </c>
    </row>
    <row r="57" spans="3:20" ht="14" hidden="1">
      <c r="C57" s="5" t="s">
        <v>1857</v>
      </c>
      <c r="D57" s="214" t="s">
        <v>383</v>
      </c>
      <c r="E57" s="212" t="str">
        <f>+VLOOKUP(F57,Resumen_Base!$B$6:$F$69,5,0)</f>
        <v>Travel for personnel (employees)</v>
      </c>
      <c r="F57" s="36" t="s">
        <v>64</v>
      </c>
      <c r="G57" s="5" t="s">
        <v>65</v>
      </c>
      <c r="H57" s="5" t="str">
        <f t="shared" si="1"/>
        <v>DEL5255</v>
      </c>
      <c r="I57" s="6">
        <v>85187</v>
      </c>
      <c r="J57" s="62">
        <v>60.631316725978699</v>
      </c>
      <c r="K57" s="62">
        <v>1404.9999999999989</v>
      </c>
      <c r="L57" s="62" t="s">
        <v>2753</v>
      </c>
      <c r="M57" s="100" t="s">
        <v>452</v>
      </c>
      <c r="N57" s="5" t="s">
        <v>464</v>
      </c>
      <c r="O57" s="34" t="s">
        <v>2754</v>
      </c>
      <c r="P57" s="5" t="s">
        <v>2665</v>
      </c>
      <c r="Q57" s="5" t="s">
        <v>2755</v>
      </c>
      <c r="R57" s="5" t="s">
        <v>2774</v>
      </c>
      <c r="S57" s="5" t="s">
        <v>2757</v>
      </c>
      <c r="T57" s="5" t="s">
        <v>445</v>
      </c>
    </row>
    <row r="58" spans="3:20" ht="14" hidden="1">
      <c r="C58" s="5" t="s">
        <v>1857</v>
      </c>
      <c r="D58" s="214" t="s">
        <v>383</v>
      </c>
      <c r="E58" s="212" t="str">
        <f>+VLOOKUP(F58,Resumen_Base!$B$6:$F$69,5,0)</f>
        <v>Travel for personnel (employees)</v>
      </c>
      <c r="F58" s="36" t="s">
        <v>64</v>
      </c>
      <c r="G58" s="5" t="s">
        <v>65</v>
      </c>
      <c r="H58" s="5" t="str">
        <f t="shared" si="1"/>
        <v>DEL5255</v>
      </c>
      <c r="I58" s="6">
        <v>91100</v>
      </c>
      <c r="J58" s="62">
        <v>64.839857651245595</v>
      </c>
      <c r="K58" s="62">
        <v>1404.9999999999991</v>
      </c>
      <c r="L58" s="62" t="s">
        <v>2753</v>
      </c>
      <c r="M58" s="100" t="s">
        <v>452</v>
      </c>
      <c r="N58" s="5" t="s">
        <v>464</v>
      </c>
      <c r="O58" s="34" t="s">
        <v>2754</v>
      </c>
      <c r="P58" s="5" t="s">
        <v>2665</v>
      </c>
      <c r="Q58" s="5" t="s">
        <v>2755</v>
      </c>
      <c r="R58" s="5" t="s">
        <v>2783</v>
      </c>
      <c r="S58" s="5" t="s">
        <v>2757</v>
      </c>
      <c r="T58" s="5" t="s">
        <v>445</v>
      </c>
    </row>
    <row r="59" spans="3:20" ht="14" hidden="1">
      <c r="C59" s="5" t="s">
        <v>1857</v>
      </c>
      <c r="D59" s="214" t="s">
        <v>383</v>
      </c>
      <c r="E59" s="212" t="str">
        <f>+VLOOKUP(F59,Resumen_Base!$B$6:$F$69,5,0)</f>
        <v>Travel for personnel (employees)</v>
      </c>
      <c r="F59" s="36" t="s">
        <v>64</v>
      </c>
      <c r="G59" s="5" t="s">
        <v>65</v>
      </c>
      <c r="H59" s="5" t="str">
        <f t="shared" si="1"/>
        <v>DEL5255</v>
      </c>
      <c r="I59" s="6">
        <v>36000</v>
      </c>
      <c r="J59" s="62">
        <v>25.6227758007117</v>
      </c>
      <c r="K59" s="62">
        <v>1405.0000000000023</v>
      </c>
      <c r="L59" s="62" t="s">
        <v>2753</v>
      </c>
      <c r="M59" s="100" t="s">
        <v>452</v>
      </c>
      <c r="N59" s="5" t="s">
        <v>464</v>
      </c>
      <c r="O59" s="34" t="s">
        <v>2754</v>
      </c>
      <c r="P59" s="5" t="s">
        <v>2665</v>
      </c>
      <c r="Q59" s="5" t="s">
        <v>2755</v>
      </c>
      <c r="R59" s="5" t="s">
        <v>2785</v>
      </c>
      <c r="S59" s="5" t="s">
        <v>2757</v>
      </c>
      <c r="T59" s="5" t="s">
        <v>445</v>
      </c>
    </row>
    <row r="60" spans="3:20" ht="14" hidden="1">
      <c r="C60" s="5" t="s">
        <v>1857</v>
      </c>
      <c r="D60" s="214" t="s">
        <v>383</v>
      </c>
      <c r="E60" s="212" t="str">
        <f>+VLOOKUP(F60,Resumen_Base!$B$6:$F$69,5,0)</f>
        <v>Travel for personnel (employees)</v>
      </c>
      <c r="F60" s="36" t="s">
        <v>64</v>
      </c>
      <c r="G60" s="5" t="s">
        <v>65</v>
      </c>
      <c r="H60" s="5" t="str">
        <f t="shared" si="1"/>
        <v>DEL5255</v>
      </c>
      <c r="I60" s="6">
        <v>44100</v>
      </c>
      <c r="J60" s="62">
        <v>31.387900355871899</v>
      </c>
      <c r="K60" s="62">
        <v>1404.9999999999993</v>
      </c>
      <c r="L60" s="62" t="s">
        <v>2753</v>
      </c>
      <c r="M60" s="100" t="s">
        <v>452</v>
      </c>
      <c r="N60" s="5" t="s">
        <v>464</v>
      </c>
      <c r="O60" s="34" t="s">
        <v>2754</v>
      </c>
      <c r="P60" s="5" t="s">
        <v>2665</v>
      </c>
      <c r="Q60" s="5" t="s">
        <v>2755</v>
      </c>
      <c r="R60" s="5" t="s">
        <v>2787</v>
      </c>
      <c r="S60" s="5" t="s">
        <v>2757</v>
      </c>
      <c r="T60" s="5" t="s">
        <v>445</v>
      </c>
    </row>
    <row r="61" spans="3:20" ht="14" hidden="1">
      <c r="C61" s="5" t="s">
        <v>1857</v>
      </c>
      <c r="D61" s="214" t="s">
        <v>383</v>
      </c>
      <c r="E61" s="212" t="str">
        <f>+VLOOKUP(F61,Resumen_Base!$B$6:$F$69,5,0)</f>
        <v>Travel for personnel (employees)</v>
      </c>
      <c r="F61" s="36" t="s">
        <v>64</v>
      </c>
      <c r="G61" s="5" t="s">
        <v>65</v>
      </c>
      <c r="H61" s="5" t="str">
        <f t="shared" si="1"/>
        <v>DEL5255</v>
      </c>
      <c r="I61" s="6">
        <v>67000</v>
      </c>
      <c r="J61" s="62">
        <v>47.686832740213497</v>
      </c>
      <c r="K61" s="62">
        <v>1405.0000000000007</v>
      </c>
      <c r="L61" s="62" t="s">
        <v>2753</v>
      </c>
      <c r="M61" s="100" t="s">
        <v>452</v>
      </c>
      <c r="N61" s="5" t="s">
        <v>464</v>
      </c>
      <c r="O61" s="34" t="s">
        <v>2754</v>
      </c>
      <c r="P61" s="5" t="s">
        <v>2665</v>
      </c>
      <c r="Q61" s="5" t="s">
        <v>2755</v>
      </c>
      <c r="R61" s="5" t="s">
        <v>2788</v>
      </c>
      <c r="S61" s="5" t="s">
        <v>2757</v>
      </c>
      <c r="T61" s="5" t="s">
        <v>445</v>
      </c>
    </row>
    <row r="62" spans="3:20" ht="14" hidden="1">
      <c r="C62" s="5" t="s">
        <v>1857</v>
      </c>
      <c r="D62" s="214" t="s">
        <v>383</v>
      </c>
      <c r="E62" s="212" t="str">
        <f>+VLOOKUP(F62,Resumen_Base!$B$6:$F$69,5,0)</f>
        <v>Travel for personnel (employees)</v>
      </c>
      <c r="F62" s="36" t="s">
        <v>64</v>
      </c>
      <c r="G62" s="5" t="s">
        <v>65</v>
      </c>
      <c r="H62" s="5" t="str">
        <f t="shared" si="1"/>
        <v>DEL5255</v>
      </c>
      <c r="I62" s="6">
        <v>45000</v>
      </c>
      <c r="J62" s="62">
        <v>32.028469750889698</v>
      </c>
      <c r="K62" s="62">
        <v>1404.9999999999991</v>
      </c>
      <c r="L62" s="62" t="s">
        <v>2759</v>
      </c>
      <c r="M62" s="100" t="s">
        <v>452</v>
      </c>
      <c r="N62" s="5" t="s">
        <v>464</v>
      </c>
      <c r="O62" s="34" t="s">
        <v>2760</v>
      </c>
      <c r="P62" s="5" t="s">
        <v>2665</v>
      </c>
      <c r="Q62" s="5" t="s">
        <v>2761</v>
      </c>
      <c r="R62" s="5" t="s">
        <v>2789</v>
      </c>
      <c r="S62" s="5" t="s">
        <v>2763</v>
      </c>
      <c r="T62" s="5" t="s">
        <v>445</v>
      </c>
    </row>
    <row r="63" spans="3:20" ht="14" hidden="1">
      <c r="C63" s="5" t="s">
        <v>1857</v>
      </c>
      <c r="D63" s="214" t="s">
        <v>383</v>
      </c>
      <c r="E63" s="212" t="str">
        <f>+VLOOKUP(F63,Resumen_Base!$B$6:$F$69,5,0)</f>
        <v>Travel for personnel (employees)</v>
      </c>
      <c r="F63" s="36" t="s">
        <v>64</v>
      </c>
      <c r="G63" s="5" t="s">
        <v>65</v>
      </c>
      <c r="H63" s="5" t="str">
        <f t="shared" si="1"/>
        <v>DEL5255</v>
      </c>
      <c r="I63" s="6">
        <v>42000</v>
      </c>
      <c r="J63" s="62">
        <v>29.893238434163699</v>
      </c>
      <c r="K63" s="62">
        <v>1405</v>
      </c>
      <c r="L63" s="62" t="s">
        <v>2759</v>
      </c>
      <c r="M63" s="100" t="s">
        <v>452</v>
      </c>
      <c r="N63" s="5" t="s">
        <v>464</v>
      </c>
      <c r="O63" s="34" t="s">
        <v>2760</v>
      </c>
      <c r="P63" s="5" t="s">
        <v>2665</v>
      </c>
      <c r="Q63" s="5" t="s">
        <v>2761</v>
      </c>
      <c r="R63" s="5" t="s">
        <v>2790</v>
      </c>
      <c r="S63" s="5" t="s">
        <v>2763</v>
      </c>
      <c r="T63" s="5" t="s">
        <v>445</v>
      </c>
    </row>
    <row r="64" spans="3:20" ht="14" hidden="1">
      <c r="C64" s="5" t="s">
        <v>1857</v>
      </c>
      <c r="D64" s="214" t="s">
        <v>383</v>
      </c>
      <c r="E64" s="212" t="str">
        <f>+VLOOKUP(F64,Resumen_Base!$B$6:$F$69,5,0)</f>
        <v>Travel for personnel (employees)</v>
      </c>
      <c r="F64" s="36" t="s">
        <v>64</v>
      </c>
      <c r="G64" s="5" t="s">
        <v>65</v>
      </c>
      <c r="H64" s="5" t="str">
        <f t="shared" si="1"/>
        <v>DEL5255</v>
      </c>
      <c r="I64" s="6">
        <v>40000</v>
      </c>
      <c r="J64" s="62">
        <v>28.469750889679698</v>
      </c>
      <c r="K64" s="62">
        <v>1405.0000000000009</v>
      </c>
      <c r="L64" s="62" t="s">
        <v>2759</v>
      </c>
      <c r="M64" s="100" t="s">
        <v>452</v>
      </c>
      <c r="N64" s="5" t="s">
        <v>464</v>
      </c>
      <c r="O64" s="34" t="s">
        <v>2760</v>
      </c>
      <c r="P64" s="5" t="s">
        <v>2665</v>
      </c>
      <c r="Q64" s="5" t="s">
        <v>2761</v>
      </c>
      <c r="R64" s="5" t="s">
        <v>2791</v>
      </c>
      <c r="S64" s="5" t="s">
        <v>2763</v>
      </c>
      <c r="T64" s="5" t="s">
        <v>445</v>
      </c>
    </row>
    <row r="65" spans="1:256" ht="14" hidden="1">
      <c r="C65" s="5" t="s">
        <v>1857</v>
      </c>
      <c r="D65" s="214" t="s">
        <v>383</v>
      </c>
      <c r="E65" s="212" t="str">
        <f>+VLOOKUP(F65,Resumen_Base!$B$6:$F$69,5,0)</f>
        <v>Work uniforms for personnel (employees)</v>
      </c>
      <c r="F65" s="36" t="s">
        <v>56</v>
      </c>
      <c r="G65" s="5" t="s">
        <v>57</v>
      </c>
      <c r="H65" s="5" t="str">
        <f t="shared" si="1"/>
        <v>DEL5220</v>
      </c>
      <c r="I65" s="6">
        <v>18262</v>
      </c>
      <c r="J65" s="62">
        <v>12.9978647686833</v>
      </c>
      <c r="K65" s="62">
        <v>1404.9999999999973</v>
      </c>
      <c r="L65" s="62" t="s">
        <v>2674</v>
      </c>
      <c r="M65" s="100" t="s">
        <v>452</v>
      </c>
      <c r="N65" s="5" t="s">
        <v>464</v>
      </c>
      <c r="O65" s="34" t="s">
        <v>2675</v>
      </c>
      <c r="P65" s="5" t="s">
        <v>2665</v>
      </c>
      <c r="Q65" s="5" t="s">
        <v>2676</v>
      </c>
      <c r="R65" s="5" t="s">
        <v>2677</v>
      </c>
      <c r="S65" s="5" t="s">
        <v>2678</v>
      </c>
      <c r="T65" s="5" t="s">
        <v>445</v>
      </c>
    </row>
    <row r="66" spans="1:256">
      <c r="A66" s="214"/>
      <c r="B66" s="88"/>
      <c r="D66" s="214"/>
      <c r="F66" s="5"/>
      <c r="G66" s="34"/>
      <c r="I66" s="306"/>
      <c r="J66" s="307"/>
      <c r="K66" s="6"/>
      <c r="L66" s="5"/>
      <c r="M66" s="62"/>
      <c r="N66" s="62"/>
      <c r="O66" s="62"/>
      <c r="P66" s="100"/>
      <c r="R66" s="34"/>
    </row>
    <row r="68" spans="1:256" ht="70">
      <c r="A68" s="330" t="s">
        <v>2828</v>
      </c>
      <c r="B68" s="325"/>
      <c r="C68" s="325"/>
      <c r="D68" s="214" t="s">
        <v>383</v>
      </c>
      <c r="E68" s="212" t="str">
        <f>+VLOOKUP(F68,Resumen_Base!$B$6:$F$69,5,0)</f>
        <v>Communications - Phone, internet and satellite TV</v>
      </c>
      <c r="F68" s="345" t="s">
        <v>52</v>
      </c>
      <c r="G68" s="346" t="s">
        <v>53</v>
      </c>
      <c r="H68" s="5" t="str">
        <f t="shared" ref="H68:H69" si="2">+D68&amp;F68</f>
        <v>DEL5209</v>
      </c>
      <c r="I68" s="331">
        <f>+J68*K68</f>
        <v>55081.799999999996</v>
      </c>
      <c r="J68" s="324">
        <v>38.79</v>
      </c>
      <c r="K68" s="331">
        <v>1420</v>
      </c>
      <c r="L68" s="326">
        <v>46173</v>
      </c>
      <c r="M68" s="326"/>
      <c r="N68" s="327" t="s">
        <v>1858</v>
      </c>
      <c r="O68" s="323" t="s">
        <v>2826</v>
      </c>
      <c r="P68" s="325"/>
      <c r="Q68" s="325" t="s">
        <v>1857</v>
      </c>
      <c r="R68" s="325" t="s">
        <v>1857</v>
      </c>
      <c r="S68" s="327" t="s">
        <v>1858</v>
      </c>
    </row>
    <row r="69" spans="1:256" ht="70">
      <c r="A69" s="330" t="s">
        <v>2828</v>
      </c>
      <c r="B69" s="325"/>
      <c r="C69" s="325"/>
      <c r="D69" s="214" t="s">
        <v>383</v>
      </c>
      <c r="E69" s="212" t="str">
        <f>+VLOOKUP(F69,Resumen_Base!$B$6:$F$69,5,0)</f>
        <v>Communications - Phone, internet and satellite TV</v>
      </c>
      <c r="F69" s="345" t="s">
        <v>52</v>
      </c>
      <c r="G69" s="346" t="s">
        <v>53</v>
      </c>
      <c r="H69" s="5" t="str">
        <f t="shared" si="2"/>
        <v>DEL5209</v>
      </c>
      <c r="I69" s="331">
        <f>+J69*K69</f>
        <v>5069.3999999999996</v>
      </c>
      <c r="J69" s="324">
        <v>3.57</v>
      </c>
      <c r="K69" s="331">
        <v>1420</v>
      </c>
      <c r="L69" s="326">
        <v>46173</v>
      </c>
      <c r="M69" s="326"/>
      <c r="N69" s="327" t="s">
        <v>1858</v>
      </c>
      <c r="O69" s="323" t="s">
        <v>2827</v>
      </c>
      <c r="P69" s="325"/>
      <c r="Q69" s="325" t="s">
        <v>1857</v>
      </c>
      <c r="R69" s="325" t="s">
        <v>1857</v>
      </c>
      <c r="S69" s="327" t="s">
        <v>1858</v>
      </c>
    </row>
    <row r="71" spans="1:256" ht="15">
      <c r="A71" s="194"/>
      <c r="B71" s="194"/>
      <c r="C71" s="103"/>
      <c r="D71" s="194"/>
      <c r="E71" s="194"/>
      <c r="F71" s="193"/>
      <c r="G71" s="194"/>
      <c r="H71" s="194"/>
      <c r="I71" s="195"/>
      <c r="J71" s="195"/>
      <c r="K71" s="195"/>
      <c r="L71" s="2"/>
      <c r="M71" s="2"/>
      <c r="N71"/>
      <c r="O71"/>
      <c r="P71"/>
      <c r="Q71"/>
      <c r="R71"/>
      <c r="S71"/>
      <c r="T71"/>
      <c r="U71"/>
      <c r="V71"/>
      <c r="W71"/>
      <c r="X71" s="1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4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4"/>
      <c r="CO71" s="194"/>
      <c r="CP71" s="194"/>
      <c r="CQ71" s="194"/>
      <c r="CR71" s="194"/>
      <c r="CS71" s="194"/>
      <c r="CT71" s="194"/>
      <c r="CU71" s="194"/>
      <c r="CV71" s="194"/>
      <c r="CW71" s="194"/>
      <c r="CX71" s="194"/>
      <c r="CY71" s="194"/>
      <c r="CZ71" s="194"/>
      <c r="DA71" s="194"/>
      <c r="DB71" s="194"/>
      <c r="DC71" s="194"/>
      <c r="DD71" s="194"/>
      <c r="DE71" s="194"/>
      <c r="DF71" s="194"/>
      <c r="DG71" s="194"/>
      <c r="DH71" s="194"/>
      <c r="DI71" s="194"/>
      <c r="DJ71" s="194"/>
      <c r="DK71" s="194"/>
      <c r="DL71" s="194"/>
      <c r="DM71" s="194"/>
      <c r="DN71" s="194"/>
      <c r="DO71" s="194"/>
      <c r="DP71" s="194"/>
      <c r="DQ71" s="194"/>
      <c r="DR71" s="194"/>
      <c r="DS71" s="194"/>
      <c r="DT71" s="194"/>
      <c r="DU71" s="194"/>
      <c r="DV71" s="194"/>
      <c r="DW71" s="194"/>
      <c r="DX71" s="194"/>
      <c r="DY71" s="194"/>
      <c r="DZ71" s="194"/>
      <c r="EA71" s="194"/>
      <c r="EB71" s="194"/>
      <c r="EC71" s="194"/>
      <c r="ED71" s="194"/>
      <c r="EE71" s="194"/>
      <c r="EF71" s="194"/>
      <c r="EG71" s="194"/>
      <c r="EH71" s="194"/>
      <c r="EI71" s="194"/>
      <c r="EJ71" s="194"/>
      <c r="EK71" s="194"/>
      <c r="EL71" s="194"/>
      <c r="EM71" s="194"/>
      <c r="EN71" s="194"/>
      <c r="EO71" s="194"/>
      <c r="EP71" s="194"/>
      <c r="EQ71" s="194"/>
      <c r="ER71" s="194"/>
      <c r="ES71" s="194"/>
      <c r="ET71" s="194"/>
      <c r="EU71" s="194"/>
      <c r="EV71" s="194"/>
      <c r="EW71" s="194"/>
      <c r="EX71" s="194"/>
      <c r="EY71" s="194"/>
      <c r="EZ71" s="194"/>
      <c r="FA71" s="194"/>
      <c r="FB71" s="194"/>
      <c r="FC71" s="194"/>
      <c r="FD71" s="194"/>
      <c r="FE71" s="194"/>
      <c r="FF71" s="194"/>
      <c r="FG71" s="194"/>
      <c r="FH71" s="194"/>
      <c r="FI71" s="194"/>
      <c r="FJ71" s="194"/>
      <c r="FK71" s="194"/>
      <c r="FL71" s="194"/>
      <c r="FM71" s="194"/>
      <c r="FN71" s="194"/>
      <c r="FO71" s="194"/>
      <c r="FP71" s="194"/>
      <c r="FQ71" s="194"/>
      <c r="FR71" s="194"/>
      <c r="FS71" s="194"/>
      <c r="FT71" s="194"/>
      <c r="FU71" s="194"/>
      <c r="FV71" s="194"/>
      <c r="FW71" s="194"/>
      <c r="FX71" s="194"/>
      <c r="FY71" s="194"/>
      <c r="FZ71" s="194"/>
      <c r="GA71" s="194"/>
      <c r="GB71" s="194"/>
      <c r="GC71" s="194"/>
      <c r="GD71" s="194"/>
      <c r="GE71" s="194"/>
      <c r="GF71" s="194"/>
      <c r="GG71" s="194"/>
      <c r="GH71" s="194"/>
      <c r="GI71" s="194"/>
      <c r="GJ71" s="194"/>
      <c r="GK71" s="194"/>
      <c r="GL71" s="194"/>
      <c r="GM71" s="194"/>
      <c r="GN71" s="194"/>
      <c r="GO71" s="194"/>
      <c r="GP71" s="194"/>
      <c r="GQ71" s="194"/>
      <c r="GR71" s="194"/>
      <c r="GS71" s="194"/>
      <c r="GT71" s="194"/>
      <c r="GU71" s="194"/>
      <c r="GV71" s="194"/>
      <c r="GW71" s="194"/>
      <c r="GX71" s="194"/>
      <c r="GY71" s="194"/>
      <c r="GZ71" s="194"/>
      <c r="HA71" s="194"/>
      <c r="HB71" s="194"/>
      <c r="HC71" s="194"/>
      <c r="HD71" s="194"/>
      <c r="HE71" s="194"/>
      <c r="HF71" s="194"/>
      <c r="HG71" s="194"/>
      <c r="HH71" s="194"/>
      <c r="HI71" s="194"/>
      <c r="HJ71" s="194"/>
      <c r="HK71" s="194"/>
      <c r="HL71" s="194"/>
      <c r="HM71" s="194"/>
      <c r="HN71" s="194"/>
      <c r="HO71" s="194"/>
      <c r="HP71" s="194"/>
      <c r="HQ71" s="194"/>
      <c r="HR71" s="194"/>
      <c r="HS71" s="194"/>
      <c r="HT71" s="194"/>
      <c r="HU71" s="194"/>
      <c r="HV71" s="194"/>
      <c r="HW71" s="194"/>
      <c r="HX71" s="194"/>
      <c r="HY71" s="194"/>
      <c r="HZ71" s="194"/>
      <c r="IA71" s="194"/>
      <c r="IB71" s="194"/>
      <c r="IC71" s="194"/>
      <c r="ID71" s="194"/>
      <c r="IE71" s="194"/>
      <c r="IF71" s="194"/>
      <c r="IG71" s="194"/>
      <c r="IH71" s="194"/>
      <c r="II71" s="194"/>
      <c r="IJ71" s="194"/>
      <c r="IK71" s="194"/>
      <c r="IL71" s="194"/>
      <c r="IM71" s="194"/>
      <c r="IN71" s="194"/>
      <c r="IO71" s="194"/>
      <c r="IP71" s="194"/>
      <c r="IQ71" s="194"/>
      <c r="IR71" s="194"/>
      <c r="IS71" s="194"/>
      <c r="IT71" s="194"/>
      <c r="IU71" s="194"/>
      <c r="IV71" s="194"/>
    </row>
    <row r="72" spans="1:256" ht="14">
      <c r="A72" s="10" t="s">
        <v>75</v>
      </c>
      <c r="B72" s="10" t="s">
        <v>75</v>
      </c>
      <c r="C72" s="10" t="s">
        <v>75</v>
      </c>
      <c r="D72" s="10" t="s">
        <v>75</v>
      </c>
      <c r="E72" s="10" t="s">
        <v>75</v>
      </c>
      <c r="F72" s="11" t="s">
        <v>75</v>
      </c>
      <c r="G72" s="11" t="s">
        <v>75</v>
      </c>
      <c r="H72" s="11" t="s">
        <v>75</v>
      </c>
      <c r="I72" s="35" t="s">
        <v>75</v>
      </c>
      <c r="J72" s="35" t="s">
        <v>75</v>
      </c>
      <c r="K72" s="35" t="s">
        <v>75</v>
      </c>
      <c r="L72" s="102" t="s">
        <v>75</v>
      </c>
      <c r="M72" s="11" t="s">
        <v>75</v>
      </c>
      <c r="N72" s="11" t="s">
        <v>75</v>
      </c>
      <c r="O72" s="11" t="s">
        <v>75</v>
      </c>
      <c r="P72" s="11" t="s">
        <v>75</v>
      </c>
      <c r="Q72" s="11" t="s">
        <v>75</v>
      </c>
      <c r="R72" s="11" t="s">
        <v>75</v>
      </c>
      <c r="S72" s="11" t="s">
        <v>75</v>
      </c>
      <c r="T72" s="11" t="s">
        <v>75</v>
      </c>
      <c r="U72" s="11" t="s">
        <v>75</v>
      </c>
      <c r="V72" s="11" t="s">
        <v>75</v>
      </c>
      <c r="W72" s="11" t="s">
        <v>75</v>
      </c>
    </row>
    <row r="74" spans="1:256" ht="70">
      <c r="A74" s="330" t="s">
        <v>2828</v>
      </c>
      <c r="B74" s="325"/>
      <c r="C74" s="325"/>
      <c r="D74" s="329"/>
      <c r="E74" s="330"/>
      <c r="F74" s="325" t="s">
        <v>293</v>
      </c>
      <c r="G74" s="325" t="s">
        <v>294</v>
      </c>
      <c r="H74" s="325"/>
      <c r="I74" s="331">
        <v>-60151.199999999997</v>
      </c>
      <c r="J74" s="331">
        <v>-42.36</v>
      </c>
      <c r="K74" s="331"/>
      <c r="L74" s="326"/>
      <c r="M74" s="325"/>
      <c r="N74" s="329"/>
      <c r="O74" s="325"/>
      <c r="P74" s="325"/>
      <c r="Q74" s="325"/>
      <c r="R74" s="325"/>
      <c r="S74" s="325"/>
    </row>
    <row r="76" spans="1:256">
      <c r="C76" s="5" t="s">
        <v>1857</v>
      </c>
      <c r="F76" s="36" t="s">
        <v>291</v>
      </c>
      <c r="G76" s="5" t="s">
        <v>292</v>
      </c>
      <c r="I76" s="6">
        <v>3600000</v>
      </c>
      <c r="J76" s="62">
        <v>2562.2775800711702</v>
      </c>
      <c r="K76" s="62">
        <v>1405.0000000000023</v>
      </c>
      <c r="L76" s="62" t="s">
        <v>2689</v>
      </c>
      <c r="M76" s="100" t="s">
        <v>452</v>
      </c>
      <c r="N76" s="5" t="s">
        <v>442</v>
      </c>
      <c r="O76" s="34" t="s">
        <v>2690</v>
      </c>
      <c r="P76" s="5" t="s">
        <v>2665</v>
      </c>
      <c r="Q76" s="5" t="s">
        <v>2691</v>
      </c>
      <c r="R76" s="5" t="s">
        <v>2691</v>
      </c>
      <c r="S76" s="5" t="s">
        <v>2692</v>
      </c>
      <c r="T76" s="5" t="s">
        <v>445</v>
      </c>
    </row>
    <row r="77" spans="1:256">
      <c r="C77" s="5" t="s">
        <v>1857</v>
      </c>
      <c r="F77" s="36" t="s">
        <v>291</v>
      </c>
      <c r="G77" s="5" t="s">
        <v>292</v>
      </c>
      <c r="I77" s="6">
        <v>800000</v>
      </c>
      <c r="J77" s="62">
        <v>569.39501779359398</v>
      </c>
      <c r="K77" s="62">
        <v>1405.0000000000009</v>
      </c>
      <c r="L77" s="62" t="s">
        <v>2693</v>
      </c>
      <c r="M77" s="100" t="s">
        <v>452</v>
      </c>
      <c r="N77" s="5" t="s">
        <v>442</v>
      </c>
      <c r="O77" s="34" t="s">
        <v>2694</v>
      </c>
      <c r="P77" s="5" t="s">
        <v>2665</v>
      </c>
      <c r="Q77" s="5" t="s">
        <v>2695</v>
      </c>
      <c r="R77" s="5" t="s">
        <v>2695</v>
      </c>
      <c r="S77" s="5" t="s">
        <v>2696</v>
      </c>
      <c r="T77" s="5" t="s">
        <v>445</v>
      </c>
    </row>
    <row r="78" spans="1:256">
      <c r="C78" s="5" t="s">
        <v>1857</v>
      </c>
      <c r="F78" s="36" t="s">
        <v>291</v>
      </c>
      <c r="G78" s="5" t="s">
        <v>292</v>
      </c>
      <c r="I78" s="6">
        <v>3500000</v>
      </c>
      <c r="J78" s="62">
        <v>2491.1032028469699</v>
      </c>
      <c r="K78" s="62">
        <v>1405.000000000003</v>
      </c>
      <c r="L78" s="62" t="s">
        <v>2674</v>
      </c>
      <c r="M78" s="100" t="s">
        <v>452</v>
      </c>
      <c r="N78" s="5" t="s">
        <v>442</v>
      </c>
      <c r="O78" s="34" t="s">
        <v>2697</v>
      </c>
      <c r="P78" s="5" t="s">
        <v>2665</v>
      </c>
      <c r="Q78" s="5" t="s">
        <v>2698</v>
      </c>
      <c r="R78" s="5" t="s">
        <v>2698</v>
      </c>
      <c r="S78" s="5" t="s">
        <v>2699</v>
      </c>
      <c r="T78" s="5" t="s">
        <v>445</v>
      </c>
    </row>
    <row r="79" spans="1:256">
      <c r="C79" s="5" t="s">
        <v>1857</v>
      </c>
      <c r="F79" s="36" t="s">
        <v>291</v>
      </c>
      <c r="G79" s="5" t="s">
        <v>292</v>
      </c>
      <c r="I79" s="6">
        <v>100000</v>
      </c>
      <c r="J79" s="62">
        <v>71.174377224199304</v>
      </c>
      <c r="K79" s="62">
        <v>1404.9999999999998</v>
      </c>
      <c r="L79" s="62" t="s">
        <v>2684</v>
      </c>
      <c r="M79" s="100" t="s">
        <v>452</v>
      </c>
      <c r="N79" s="5" t="s">
        <v>442</v>
      </c>
      <c r="O79" s="34" t="s">
        <v>2700</v>
      </c>
      <c r="P79" s="5" t="s">
        <v>2665</v>
      </c>
      <c r="Q79" s="5" t="s">
        <v>2701</v>
      </c>
      <c r="R79" s="5" t="s">
        <v>2701</v>
      </c>
      <c r="S79" s="5" t="s">
        <v>2702</v>
      </c>
      <c r="T79" s="5" t="s">
        <v>445</v>
      </c>
    </row>
    <row r="80" spans="1:256">
      <c r="C80" s="5" t="s">
        <v>1857</v>
      </c>
      <c r="F80" s="36" t="s">
        <v>291</v>
      </c>
      <c r="G80" s="5" t="s">
        <v>292</v>
      </c>
      <c r="I80" s="6">
        <v>700000</v>
      </c>
      <c r="J80" s="62">
        <v>492.95774647887299</v>
      </c>
      <c r="K80" s="62">
        <v>1420.0000000000007</v>
      </c>
      <c r="L80" s="62" t="s">
        <v>2663</v>
      </c>
      <c r="M80" s="100" t="s">
        <v>452</v>
      </c>
      <c r="N80" s="5" t="s">
        <v>442</v>
      </c>
      <c r="O80" s="34" t="s">
        <v>2703</v>
      </c>
      <c r="P80" s="5" t="s">
        <v>2665</v>
      </c>
      <c r="Q80" s="5" t="s">
        <v>2704</v>
      </c>
      <c r="R80" s="5" t="s">
        <v>2704</v>
      </c>
      <c r="S80" s="5" t="s">
        <v>2705</v>
      </c>
      <c r="T80" s="5" t="s">
        <v>445</v>
      </c>
    </row>
    <row r="81" spans="3:20">
      <c r="C81" s="5" t="s">
        <v>1857</v>
      </c>
      <c r="F81" s="36" t="s">
        <v>291</v>
      </c>
      <c r="G81" s="5" t="s">
        <v>292</v>
      </c>
      <c r="I81" s="6">
        <v>-113400</v>
      </c>
      <c r="J81" s="62">
        <v>-79.8591549295775</v>
      </c>
      <c r="K81" s="62">
        <v>1419.9999999999993</v>
      </c>
      <c r="L81" s="62" t="s">
        <v>2663</v>
      </c>
      <c r="M81" s="100" t="s">
        <v>452</v>
      </c>
      <c r="N81" s="5" t="s">
        <v>464</v>
      </c>
      <c r="O81" s="34" t="s">
        <v>2664</v>
      </c>
      <c r="P81" s="5" t="s">
        <v>2665</v>
      </c>
      <c r="Q81" s="5" t="s">
        <v>2666</v>
      </c>
      <c r="R81" s="5" t="s">
        <v>2667</v>
      </c>
      <c r="S81" s="5" t="s">
        <v>2668</v>
      </c>
      <c r="T81" s="5" t="s">
        <v>445</v>
      </c>
    </row>
    <row r="82" spans="3:20">
      <c r="C82" s="5" t="s">
        <v>1857</v>
      </c>
      <c r="F82" s="36" t="s">
        <v>291</v>
      </c>
      <c r="G82" s="5" t="s">
        <v>292</v>
      </c>
      <c r="I82" s="6">
        <v>-450447</v>
      </c>
      <c r="J82" s="62">
        <v>-317.21619718309898</v>
      </c>
      <c r="K82" s="62">
        <v>1419.9999999999982</v>
      </c>
      <c r="L82" s="62" t="s">
        <v>2669</v>
      </c>
      <c r="M82" s="100" t="s">
        <v>452</v>
      </c>
      <c r="N82" s="5" t="s">
        <v>464</v>
      </c>
      <c r="O82" s="34" t="s">
        <v>2670</v>
      </c>
      <c r="P82" s="5" t="s">
        <v>2665</v>
      </c>
      <c r="Q82" s="5" t="s">
        <v>2671</v>
      </c>
      <c r="R82" s="5" t="s">
        <v>2672</v>
      </c>
      <c r="S82" s="5" t="s">
        <v>2673</v>
      </c>
      <c r="T82" s="5" t="s">
        <v>445</v>
      </c>
    </row>
    <row r="83" spans="3:20">
      <c r="C83" s="5" t="s">
        <v>1857</v>
      </c>
      <c r="F83" s="36" t="s">
        <v>291</v>
      </c>
      <c r="G83" s="5" t="s">
        <v>292</v>
      </c>
      <c r="I83" s="6">
        <v>-18262</v>
      </c>
      <c r="J83" s="62">
        <v>-12.9978647686833</v>
      </c>
      <c r="K83" s="62">
        <v>1404.9999999999973</v>
      </c>
      <c r="L83" s="62" t="s">
        <v>2674</v>
      </c>
      <c r="M83" s="100" t="s">
        <v>452</v>
      </c>
      <c r="N83" s="5" t="s">
        <v>464</v>
      </c>
      <c r="O83" s="34" t="s">
        <v>2675</v>
      </c>
      <c r="P83" s="5" t="s">
        <v>2665</v>
      </c>
      <c r="Q83" s="5" t="s">
        <v>2676</v>
      </c>
      <c r="R83" s="5" t="s">
        <v>2677</v>
      </c>
      <c r="S83" s="5" t="s">
        <v>2678</v>
      </c>
      <c r="T83" s="5" t="s">
        <v>445</v>
      </c>
    </row>
    <row r="84" spans="3:20">
      <c r="C84" s="5" t="s">
        <v>1857</v>
      </c>
      <c r="F84" s="36" t="s">
        <v>291</v>
      </c>
      <c r="G84" s="5" t="s">
        <v>292</v>
      </c>
      <c r="I84" s="6">
        <v>-2610000</v>
      </c>
      <c r="J84" s="62">
        <v>-1857.6512455515999</v>
      </c>
      <c r="K84" s="62">
        <v>1405.0000000000011</v>
      </c>
      <c r="L84" s="62" t="s">
        <v>2674</v>
      </c>
      <c r="M84" s="100" t="s">
        <v>452</v>
      </c>
      <c r="N84" s="5" t="s">
        <v>464</v>
      </c>
      <c r="O84" s="34" t="s">
        <v>2675</v>
      </c>
      <c r="P84" s="5" t="s">
        <v>2665</v>
      </c>
      <c r="Q84" s="5" t="s">
        <v>2676</v>
      </c>
      <c r="R84" s="5" t="s">
        <v>2679</v>
      </c>
      <c r="S84" s="5" t="s">
        <v>2678</v>
      </c>
      <c r="T84" s="5" t="s">
        <v>445</v>
      </c>
    </row>
    <row r="85" spans="3:20">
      <c r="C85" s="5" t="s">
        <v>1857</v>
      </c>
      <c r="F85" s="36" t="s">
        <v>291</v>
      </c>
      <c r="G85" s="5" t="s">
        <v>292</v>
      </c>
      <c r="I85" s="6">
        <v>-384000</v>
      </c>
      <c r="J85" s="62">
        <v>-270.42253521126798</v>
      </c>
      <c r="K85" s="62">
        <v>1419.999999999998</v>
      </c>
      <c r="L85" s="62" t="s">
        <v>2669</v>
      </c>
      <c r="M85" s="100" t="s">
        <v>452</v>
      </c>
      <c r="N85" s="5" t="s">
        <v>464</v>
      </c>
      <c r="O85" s="34" t="s">
        <v>2670</v>
      </c>
      <c r="P85" s="5" t="s">
        <v>2665</v>
      </c>
      <c r="Q85" s="5" t="s">
        <v>2671</v>
      </c>
      <c r="R85" s="5" t="s">
        <v>2680</v>
      </c>
      <c r="S85" s="5" t="s">
        <v>2673</v>
      </c>
      <c r="T85" s="5" t="s">
        <v>445</v>
      </c>
    </row>
    <row r="86" spans="3:20">
      <c r="C86" s="5" t="s">
        <v>1857</v>
      </c>
      <c r="F86" s="36" t="s">
        <v>291</v>
      </c>
      <c r="G86" s="5" t="s">
        <v>292</v>
      </c>
      <c r="I86" s="6">
        <v>-54425</v>
      </c>
      <c r="J86" s="62">
        <v>-38.327464788732399</v>
      </c>
      <c r="K86" s="62">
        <v>1419.9999999999998</v>
      </c>
      <c r="L86" s="62" t="s">
        <v>2663</v>
      </c>
      <c r="M86" s="100" t="s">
        <v>452</v>
      </c>
      <c r="N86" s="5" t="s">
        <v>464</v>
      </c>
      <c r="O86" s="34" t="s">
        <v>2664</v>
      </c>
      <c r="P86" s="5" t="s">
        <v>2665</v>
      </c>
      <c r="Q86" s="5" t="s">
        <v>2666</v>
      </c>
      <c r="R86" s="5" t="s">
        <v>2681</v>
      </c>
      <c r="S86" s="5" t="s">
        <v>2668</v>
      </c>
      <c r="T86" s="5" t="s">
        <v>445</v>
      </c>
    </row>
    <row r="87" spans="3:20">
      <c r="C87" s="5" t="s">
        <v>1857</v>
      </c>
      <c r="F87" s="36" t="s">
        <v>291</v>
      </c>
      <c r="G87" s="5" t="s">
        <v>292</v>
      </c>
      <c r="I87" s="6">
        <v>-861703</v>
      </c>
      <c r="J87" s="62">
        <v>-613.31174377224204</v>
      </c>
      <c r="K87" s="62">
        <v>1405</v>
      </c>
      <c r="L87" s="62" t="s">
        <v>2674</v>
      </c>
      <c r="M87" s="100" t="s">
        <v>452</v>
      </c>
      <c r="N87" s="5" t="s">
        <v>464</v>
      </c>
      <c r="O87" s="34" t="s">
        <v>2675</v>
      </c>
      <c r="P87" s="5" t="s">
        <v>2665</v>
      </c>
      <c r="Q87" s="5" t="s">
        <v>2676</v>
      </c>
      <c r="R87" s="5" t="s">
        <v>2682</v>
      </c>
      <c r="S87" s="5" t="s">
        <v>2678</v>
      </c>
      <c r="T87" s="5" t="s">
        <v>445</v>
      </c>
    </row>
    <row r="88" spans="3:20">
      <c r="C88" s="5" t="s">
        <v>1857</v>
      </c>
      <c r="F88" s="36" t="s">
        <v>291</v>
      </c>
      <c r="G88" s="5" t="s">
        <v>292</v>
      </c>
      <c r="I88" s="6">
        <v>-500400</v>
      </c>
      <c r="J88" s="62">
        <v>-352.39436619718299</v>
      </c>
      <c r="K88" s="62">
        <v>1420.0000000000005</v>
      </c>
      <c r="L88" s="62" t="s">
        <v>2663</v>
      </c>
      <c r="M88" s="100" t="s">
        <v>452</v>
      </c>
      <c r="N88" s="5" t="s">
        <v>464</v>
      </c>
      <c r="O88" s="34" t="s">
        <v>2664</v>
      </c>
      <c r="P88" s="5" t="s">
        <v>2665</v>
      </c>
      <c r="Q88" s="5" t="s">
        <v>2666</v>
      </c>
      <c r="R88" s="5" t="s">
        <v>2683</v>
      </c>
      <c r="S88" s="5" t="s">
        <v>2668</v>
      </c>
      <c r="T88" s="5" t="s">
        <v>445</v>
      </c>
    </row>
    <row r="89" spans="3:20">
      <c r="C89" s="5" t="s">
        <v>1857</v>
      </c>
      <c r="F89" s="36" t="s">
        <v>291</v>
      </c>
      <c r="G89" s="5" t="s">
        <v>292</v>
      </c>
      <c r="I89" s="6">
        <v>-54500</v>
      </c>
      <c r="J89" s="62">
        <v>-38.790035587188598</v>
      </c>
      <c r="K89" s="62">
        <v>1405.0000000000005</v>
      </c>
      <c r="L89" s="62" t="s">
        <v>2684</v>
      </c>
      <c r="M89" s="100" t="s">
        <v>452</v>
      </c>
      <c r="N89" s="5" t="s">
        <v>464</v>
      </c>
      <c r="O89" s="34" t="s">
        <v>2685</v>
      </c>
      <c r="P89" s="5" t="s">
        <v>2665</v>
      </c>
      <c r="Q89" s="5" t="s">
        <v>2686</v>
      </c>
      <c r="R89" s="5" t="s">
        <v>2687</v>
      </c>
      <c r="S89" s="5" t="s">
        <v>2688</v>
      </c>
      <c r="T89" s="5" t="s">
        <v>445</v>
      </c>
    </row>
    <row r="90" spans="3:20">
      <c r="C90" s="5" t="s">
        <v>1857</v>
      </c>
      <c r="F90" s="36" t="s">
        <v>293</v>
      </c>
      <c r="G90" s="5" t="s">
        <v>294</v>
      </c>
      <c r="I90" s="6">
        <v>-3600003.4</v>
      </c>
      <c r="J90" s="62">
        <v>-2562.2800000000002</v>
      </c>
      <c r="K90" s="62">
        <v>1404.9999999999998</v>
      </c>
      <c r="L90" s="62" t="s">
        <v>2689</v>
      </c>
      <c r="M90" s="100" t="s">
        <v>452</v>
      </c>
      <c r="N90" s="5" t="s">
        <v>442</v>
      </c>
      <c r="O90" s="34" t="s">
        <v>2690</v>
      </c>
      <c r="P90" s="5" t="s">
        <v>2665</v>
      </c>
      <c r="Q90" s="5" t="s">
        <v>2691</v>
      </c>
      <c r="R90" s="5" t="s">
        <v>2691</v>
      </c>
      <c r="S90" s="5" t="s">
        <v>2692</v>
      </c>
      <c r="T90" s="5" t="s">
        <v>445</v>
      </c>
    </row>
    <row r="91" spans="3:20">
      <c r="C91" s="5" t="s">
        <v>1857</v>
      </c>
      <c r="F91" s="36" t="s">
        <v>293</v>
      </c>
      <c r="G91" s="5" t="s">
        <v>294</v>
      </c>
      <c r="I91" s="6">
        <v>-800007</v>
      </c>
      <c r="J91" s="62">
        <v>-569.4</v>
      </c>
      <c r="K91" s="62">
        <v>1405</v>
      </c>
      <c r="L91" s="62" t="s">
        <v>2693</v>
      </c>
      <c r="M91" s="100" t="s">
        <v>452</v>
      </c>
      <c r="N91" s="5" t="s">
        <v>442</v>
      </c>
      <c r="O91" s="34" t="s">
        <v>2694</v>
      </c>
      <c r="P91" s="5" t="s">
        <v>2665</v>
      </c>
      <c r="Q91" s="5" t="s">
        <v>2695</v>
      </c>
      <c r="R91" s="5" t="s">
        <v>2695</v>
      </c>
      <c r="S91" s="5" t="s">
        <v>2696</v>
      </c>
      <c r="T91" s="5" t="s">
        <v>445</v>
      </c>
    </row>
    <row r="92" spans="3:20">
      <c r="C92" s="5" t="s">
        <v>1857</v>
      </c>
      <c r="F92" s="36" t="s">
        <v>293</v>
      </c>
      <c r="G92" s="5" t="s">
        <v>294</v>
      </c>
      <c r="I92" s="6">
        <v>-3499995.5</v>
      </c>
      <c r="J92" s="62">
        <v>-2491.1</v>
      </c>
      <c r="K92" s="62">
        <v>1405</v>
      </c>
      <c r="L92" s="62" t="s">
        <v>2674</v>
      </c>
      <c r="M92" s="100" t="s">
        <v>452</v>
      </c>
      <c r="N92" s="5" t="s">
        <v>442</v>
      </c>
      <c r="O92" s="34" t="s">
        <v>2697</v>
      </c>
      <c r="P92" s="5" t="s">
        <v>2665</v>
      </c>
      <c r="Q92" s="5" t="s">
        <v>2698</v>
      </c>
      <c r="R92" s="5" t="s">
        <v>2698</v>
      </c>
      <c r="S92" s="5" t="s">
        <v>2699</v>
      </c>
      <c r="T92" s="5" t="s">
        <v>445</v>
      </c>
    </row>
    <row r="93" spans="3:20">
      <c r="C93" s="5" t="s">
        <v>1857</v>
      </c>
      <c r="F93" s="36" t="s">
        <v>293</v>
      </c>
      <c r="G93" s="5" t="s">
        <v>294</v>
      </c>
      <c r="I93" s="6">
        <v>-99993.85</v>
      </c>
      <c r="J93" s="62">
        <v>-71.17</v>
      </c>
      <c r="K93" s="62">
        <v>1405</v>
      </c>
      <c r="L93" s="62" t="s">
        <v>2684</v>
      </c>
      <c r="M93" s="100" t="s">
        <v>452</v>
      </c>
      <c r="N93" s="5" t="s">
        <v>442</v>
      </c>
      <c r="O93" s="34" t="s">
        <v>2700</v>
      </c>
      <c r="P93" s="5" t="s">
        <v>2665</v>
      </c>
      <c r="Q93" s="5" t="s">
        <v>2701</v>
      </c>
      <c r="R93" s="5" t="s">
        <v>2701</v>
      </c>
      <c r="S93" s="5" t="s">
        <v>2702</v>
      </c>
      <c r="T93" s="5" t="s">
        <v>445</v>
      </c>
    </row>
    <row r="94" spans="3:20">
      <c r="C94" s="5" t="s">
        <v>1857</v>
      </c>
      <c r="F94" s="36" t="s">
        <v>293</v>
      </c>
      <c r="G94" s="5" t="s">
        <v>294</v>
      </c>
      <c r="I94" s="6">
        <v>-700003.2</v>
      </c>
      <c r="J94" s="62">
        <v>-492.96</v>
      </c>
      <c r="K94" s="62">
        <v>1420</v>
      </c>
      <c r="L94" s="62" t="s">
        <v>2663</v>
      </c>
      <c r="M94" s="100" t="s">
        <v>452</v>
      </c>
      <c r="N94" s="5" t="s">
        <v>442</v>
      </c>
      <c r="O94" s="34" t="s">
        <v>2703</v>
      </c>
      <c r="P94" s="5" t="s">
        <v>2665</v>
      </c>
      <c r="Q94" s="5" t="s">
        <v>2704</v>
      </c>
      <c r="R94" s="5" t="s">
        <v>2704</v>
      </c>
      <c r="S94" s="5" t="s">
        <v>2705</v>
      </c>
      <c r="T94" s="5" t="s">
        <v>445</v>
      </c>
    </row>
    <row r="95" spans="3:20">
      <c r="C95" s="5" t="s">
        <v>1857</v>
      </c>
      <c r="F95" s="36" t="s">
        <v>293</v>
      </c>
      <c r="G95" s="5" t="s">
        <v>294</v>
      </c>
      <c r="I95" s="6">
        <v>2212875</v>
      </c>
      <c r="J95" s="62">
        <v>1575</v>
      </c>
      <c r="K95" s="62">
        <v>1405</v>
      </c>
      <c r="L95" s="62" t="s">
        <v>2684</v>
      </c>
      <c r="M95" s="100" t="s">
        <v>452</v>
      </c>
      <c r="N95" s="5" t="s">
        <v>464</v>
      </c>
      <c r="O95" s="34" t="s">
        <v>2706</v>
      </c>
      <c r="P95" s="5" t="s">
        <v>2665</v>
      </c>
      <c r="Q95" s="5" t="s">
        <v>2707</v>
      </c>
      <c r="R95" s="5" t="s">
        <v>2708</v>
      </c>
      <c r="S95" s="5" t="s">
        <v>2709</v>
      </c>
      <c r="T95" s="5" t="s">
        <v>445</v>
      </c>
    </row>
    <row r="96" spans="3:20">
      <c r="C96" s="5" t="s">
        <v>1857</v>
      </c>
      <c r="F96" s="36" t="s">
        <v>293</v>
      </c>
      <c r="G96" s="5" t="s">
        <v>294</v>
      </c>
      <c r="I96" s="6">
        <v>-301040</v>
      </c>
      <c r="J96" s="62">
        <v>-212</v>
      </c>
      <c r="K96" s="62">
        <v>1420</v>
      </c>
      <c r="L96" s="62" t="s">
        <v>2669</v>
      </c>
      <c r="M96" s="100" t="s">
        <v>452</v>
      </c>
      <c r="N96" s="5" t="s">
        <v>464</v>
      </c>
      <c r="O96" s="34" t="s">
        <v>2710</v>
      </c>
      <c r="P96" s="5" t="s">
        <v>2665</v>
      </c>
      <c r="Q96" s="5" t="s">
        <v>2711</v>
      </c>
      <c r="R96" s="5" t="s">
        <v>2712</v>
      </c>
      <c r="S96" s="5" t="s">
        <v>2713</v>
      </c>
      <c r="T96" s="5" t="s">
        <v>445</v>
      </c>
    </row>
    <row r="97" spans="3:20">
      <c r="C97" s="5" t="s">
        <v>1857</v>
      </c>
      <c r="F97" s="36" t="s">
        <v>293</v>
      </c>
      <c r="G97" s="5" t="s">
        <v>294</v>
      </c>
      <c r="I97" s="6">
        <v>-850580</v>
      </c>
      <c r="J97" s="62">
        <v>-599</v>
      </c>
      <c r="K97" s="62">
        <v>1420</v>
      </c>
      <c r="L97" s="62" t="s">
        <v>2669</v>
      </c>
      <c r="M97" s="100" t="s">
        <v>452</v>
      </c>
      <c r="N97" s="5" t="s">
        <v>464</v>
      </c>
      <c r="O97" s="34" t="s">
        <v>2710</v>
      </c>
      <c r="P97" s="5" t="s">
        <v>2665</v>
      </c>
      <c r="Q97" s="5" t="s">
        <v>2711</v>
      </c>
      <c r="R97" s="5" t="s">
        <v>2714</v>
      </c>
      <c r="S97" s="5" t="s">
        <v>2713</v>
      </c>
      <c r="T97" s="5" t="s">
        <v>445</v>
      </c>
    </row>
    <row r="98" spans="3:20">
      <c r="C98" s="5" t="s">
        <v>1857</v>
      </c>
      <c r="F98" s="36" t="s">
        <v>293</v>
      </c>
      <c r="G98" s="5" t="s">
        <v>294</v>
      </c>
      <c r="I98" s="6">
        <v>-741240</v>
      </c>
      <c r="J98" s="62">
        <v>-522</v>
      </c>
      <c r="K98" s="62">
        <v>1420</v>
      </c>
      <c r="L98" s="62" t="s">
        <v>2669</v>
      </c>
      <c r="M98" s="100" t="s">
        <v>452</v>
      </c>
      <c r="N98" s="5" t="s">
        <v>464</v>
      </c>
      <c r="O98" s="34" t="s">
        <v>2710</v>
      </c>
      <c r="P98" s="5" t="s">
        <v>2665</v>
      </c>
      <c r="Q98" s="5" t="s">
        <v>2711</v>
      </c>
      <c r="R98" s="5" t="s">
        <v>2715</v>
      </c>
      <c r="S98" s="5" t="s">
        <v>2713</v>
      </c>
      <c r="T98" s="5" t="s">
        <v>445</v>
      </c>
    </row>
    <row r="99" spans="3:20">
      <c r="C99" s="5" t="s">
        <v>1857</v>
      </c>
      <c r="F99" s="36" t="s">
        <v>293</v>
      </c>
      <c r="G99" s="5" t="s">
        <v>294</v>
      </c>
      <c r="I99" s="6">
        <v>-2095920</v>
      </c>
      <c r="J99" s="62">
        <v>-1476</v>
      </c>
      <c r="K99" s="62">
        <v>1420</v>
      </c>
      <c r="L99" s="62" t="s">
        <v>2669</v>
      </c>
      <c r="M99" s="100" t="s">
        <v>452</v>
      </c>
      <c r="N99" s="5" t="s">
        <v>464</v>
      </c>
      <c r="O99" s="34" t="s">
        <v>2710</v>
      </c>
      <c r="P99" s="5" t="s">
        <v>2665</v>
      </c>
      <c r="Q99" s="5" t="s">
        <v>2711</v>
      </c>
      <c r="R99" s="5" t="s">
        <v>2716</v>
      </c>
      <c r="S99" s="5" t="s">
        <v>2713</v>
      </c>
      <c r="T99" s="5" t="s">
        <v>445</v>
      </c>
    </row>
    <row r="100" spans="3:20">
      <c r="C100" s="5" t="s">
        <v>1857</v>
      </c>
      <c r="F100" s="36" t="s">
        <v>293</v>
      </c>
      <c r="G100" s="5" t="s">
        <v>294</v>
      </c>
      <c r="I100" s="6">
        <v>1369875</v>
      </c>
      <c r="J100" s="62">
        <v>975</v>
      </c>
      <c r="K100" s="62">
        <v>1405</v>
      </c>
      <c r="L100" s="62" t="s">
        <v>2693</v>
      </c>
      <c r="M100" s="100" t="s">
        <v>452</v>
      </c>
      <c r="N100" s="5" t="s">
        <v>464</v>
      </c>
      <c r="O100" s="34" t="s">
        <v>2717</v>
      </c>
      <c r="P100" s="5" t="s">
        <v>2665</v>
      </c>
      <c r="Q100" s="5" t="s">
        <v>2718</v>
      </c>
      <c r="R100" s="5" t="s">
        <v>2719</v>
      </c>
      <c r="S100" s="5" t="s">
        <v>2720</v>
      </c>
      <c r="T100" s="5" t="s">
        <v>445</v>
      </c>
    </row>
    <row r="101" spans="3:20">
      <c r="C101" s="5" t="s">
        <v>1857</v>
      </c>
      <c r="F101" s="36" t="s">
        <v>293</v>
      </c>
      <c r="G101" s="5" t="s">
        <v>294</v>
      </c>
      <c r="I101" s="6">
        <v>5591900</v>
      </c>
      <c r="J101" s="62">
        <v>3980</v>
      </c>
      <c r="K101" s="62">
        <v>1405</v>
      </c>
      <c r="L101" s="62" t="s">
        <v>2693</v>
      </c>
      <c r="M101" s="100" t="s">
        <v>452</v>
      </c>
      <c r="N101" s="5" t="s">
        <v>464</v>
      </c>
      <c r="O101" s="34" t="s">
        <v>2717</v>
      </c>
      <c r="P101" s="5" t="s">
        <v>2665</v>
      </c>
      <c r="Q101" s="5" t="s">
        <v>2718</v>
      </c>
      <c r="R101" s="5" t="s">
        <v>2721</v>
      </c>
      <c r="S101" s="5" t="s">
        <v>2720</v>
      </c>
      <c r="T101" s="5" t="s">
        <v>445</v>
      </c>
    </row>
    <row r="102" spans="3:20">
      <c r="C102" s="5" t="s">
        <v>1857</v>
      </c>
      <c r="F102" s="36" t="s">
        <v>293</v>
      </c>
      <c r="G102" s="5" t="s">
        <v>294</v>
      </c>
      <c r="I102" s="6">
        <v>-533900</v>
      </c>
      <c r="J102" s="62">
        <v>-380</v>
      </c>
      <c r="K102" s="62">
        <v>1405</v>
      </c>
      <c r="L102" s="62" t="s">
        <v>2674</v>
      </c>
      <c r="M102" s="100" t="s">
        <v>452</v>
      </c>
      <c r="N102" s="5" t="s">
        <v>464</v>
      </c>
      <c r="O102" s="34" t="s">
        <v>2722</v>
      </c>
      <c r="P102" s="5" t="s">
        <v>2665</v>
      </c>
      <c r="Q102" s="5" t="s">
        <v>2723</v>
      </c>
      <c r="R102" s="5" t="s">
        <v>2724</v>
      </c>
      <c r="S102" s="5" t="s">
        <v>2725</v>
      </c>
      <c r="T102" s="5" t="s">
        <v>445</v>
      </c>
    </row>
    <row r="103" spans="3:20">
      <c r="C103" s="5" t="s">
        <v>1857</v>
      </c>
      <c r="F103" s="36" t="s">
        <v>293</v>
      </c>
      <c r="G103" s="5" t="s">
        <v>294</v>
      </c>
      <c r="I103" s="6">
        <v>4819150</v>
      </c>
      <c r="J103" s="62">
        <v>3430</v>
      </c>
      <c r="K103" s="62">
        <v>1405</v>
      </c>
      <c r="L103" s="62" t="s">
        <v>2684</v>
      </c>
      <c r="M103" s="100" t="s">
        <v>452</v>
      </c>
      <c r="N103" s="5" t="s">
        <v>464</v>
      </c>
      <c r="O103" s="34" t="s">
        <v>2706</v>
      </c>
      <c r="P103" s="5" t="s">
        <v>2665</v>
      </c>
      <c r="Q103" s="5" t="s">
        <v>2707</v>
      </c>
      <c r="R103" s="5" t="s">
        <v>2726</v>
      </c>
      <c r="S103" s="5" t="s">
        <v>2709</v>
      </c>
      <c r="T103" s="5" t="s">
        <v>445</v>
      </c>
    </row>
    <row r="104" spans="3:20">
      <c r="C104" s="5" t="s">
        <v>1857</v>
      </c>
      <c r="F104" s="36" t="s">
        <v>293</v>
      </c>
      <c r="G104" s="5" t="s">
        <v>294</v>
      </c>
      <c r="I104" s="6">
        <v>1299625</v>
      </c>
      <c r="J104" s="62">
        <v>925</v>
      </c>
      <c r="K104" s="62">
        <v>1405</v>
      </c>
      <c r="L104" s="62" t="s">
        <v>2684</v>
      </c>
      <c r="M104" s="100" t="s">
        <v>452</v>
      </c>
      <c r="N104" s="5" t="s">
        <v>464</v>
      </c>
      <c r="O104" s="34" t="s">
        <v>2706</v>
      </c>
      <c r="P104" s="5" t="s">
        <v>2665</v>
      </c>
      <c r="Q104" s="5" t="s">
        <v>2707</v>
      </c>
      <c r="R104" s="5" t="s">
        <v>2727</v>
      </c>
      <c r="S104" s="5" t="s">
        <v>2709</v>
      </c>
      <c r="T104" s="5" t="s">
        <v>445</v>
      </c>
    </row>
    <row r="105" spans="3:20">
      <c r="C105" s="5" t="s">
        <v>1857</v>
      </c>
      <c r="F105" s="36" t="s">
        <v>293</v>
      </c>
      <c r="G105" s="5" t="s">
        <v>294</v>
      </c>
      <c r="I105" s="6">
        <v>1313500</v>
      </c>
      <c r="J105" s="62">
        <v>925</v>
      </c>
      <c r="K105" s="62">
        <v>1420</v>
      </c>
      <c r="L105" s="62" t="s">
        <v>2669</v>
      </c>
      <c r="M105" s="100" t="s">
        <v>452</v>
      </c>
      <c r="N105" s="5" t="s">
        <v>464</v>
      </c>
      <c r="O105" s="34" t="s">
        <v>2728</v>
      </c>
      <c r="P105" s="5" t="s">
        <v>2665</v>
      </c>
      <c r="Q105" s="5" t="s">
        <v>2729</v>
      </c>
      <c r="R105" s="5" t="s">
        <v>2730</v>
      </c>
      <c r="S105" s="5" t="s">
        <v>2731</v>
      </c>
      <c r="T105" s="5" t="s">
        <v>445</v>
      </c>
    </row>
    <row r="106" spans="3:20">
      <c r="C106" s="5" t="s">
        <v>1857</v>
      </c>
      <c r="F106" s="36" t="s">
        <v>293</v>
      </c>
      <c r="G106" s="5" t="s">
        <v>294</v>
      </c>
      <c r="I106" s="6">
        <v>-45979.6</v>
      </c>
      <c r="J106" s="62">
        <v>-32.380000000000003</v>
      </c>
      <c r="K106" s="62">
        <v>1419.9999999999998</v>
      </c>
      <c r="L106" s="62" t="s">
        <v>2669</v>
      </c>
      <c r="M106" s="100" t="s">
        <v>452</v>
      </c>
      <c r="N106" s="5" t="s">
        <v>464</v>
      </c>
      <c r="O106" s="34" t="s">
        <v>2710</v>
      </c>
      <c r="P106" s="5" t="s">
        <v>2665</v>
      </c>
      <c r="Q106" s="5" t="s">
        <v>2711</v>
      </c>
      <c r="R106" s="5" t="s">
        <v>2732</v>
      </c>
      <c r="S106" s="5" t="s">
        <v>2713</v>
      </c>
      <c r="T106" s="5" t="s">
        <v>445</v>
      </c>
    </row>
    <row r="107" spans="3:20">
      <c r="C107" s="5" t="s">
        <v>1857</v>
      </c>
      <c r="F107" s="36" t="s">
        <v>293</v>
      </c>
      <c r="G107" s="5" t="s">
        <v>294</v>
      </c>
      <c r="I107" s="6">
        <v>1611700</v>
      </c>
      <c r="J107" s="62">
        <v>1135</v>
      </c>
      <c r="K107" s="62">
        <v>1420</v>
      </c>
      <c r="L107" s="62" t="s">
        <v>2669</v>
      </c>
      <c r="M107" s="100" t="s">
        <v>452</v>
      </c>
      <c r="N107" s="5" t="s">
        <v>464</v>
      </c>
      <c r="O107" s="34" t="s">
        <v>2728</v>
      </c>
      <c r="P107" s="5" t="s">
        <v>2665</v>
      </c>
      <c r="Q107" s="5" t="s">
        <v>2729</v>
      </c>
      <c r="R107" s="5" t="s">
        <v>2733</v>
      </c>
      <c r="S107" s="5" t="s">
        <v>2731</v>
      </c>
      <c r="T107" s="5" t="s">
        <v>445</v>
      </c>
    </row>
    <row r="108" spans="3:20">
      <c r="C108" s="5" t="s">
        <v>1857</v>
      </c>
      <c r="F108" s="36" t="s">
        <v>293</v>
      </c>
      <c r="G108" s="5" t="s">
        <v>294</v>
      </c>
      <c r="I108" s="6">
        <v>-56416.6</v>
      </c>
      <c r="J108" s="62">
        <v>-39.729999999999997</v>
      </c>
      <c r="K108" s="62">
        <v>1420</v>
      </c>
      <c r="L108" s="62" t="s">
        <v>2669</v>
      </c>
      <c r="M108" s="100" t="s">
        <v>452</v>
      </c>
      <c r="N108" s="5" t="s">
        <v>464</v>
      </c>
      <c r="O108" s="34" t="s">
        <v>2710</v>
      </c>
      <c r="P108" s="5" t="s">
        <v>2665</v>
      </c>
      <c r="Q108" s="5" t="s">
        <v>2711</v>
      </c>
      <c r="R108" s="5" t="s">
        <v>2734</v>
      </c>
      <c r="S108" s="5" t="s">
        <v>2713</v>
      </c>
      <c r="T108" s="5" t="s">
        <v>445</v>
      </c>
    </row>
    <row r="109" spans="3:20">
      <c r="C109" s="5" t="s">
        <v>1857</v>
      </c>
      <c r="F109" s="36" t="s">
        <v>293</v>
      </c>
      <c r="G109" s="5" t="s">
        <v>294</v>
      </c>
      <c r="I109" s="6">
        <v>625225</v>
      </c>
      <c r="J109" s="62">
        <v>445</v>
      </c>
      <c r="K109" s="62">
        <v>1405</v>
      </c>
      <c r="L109" s="62" t="s">
        <v>2684</v>
      </c>
      <c r="M109" s="100" t="s">
        <v>452</v>
      </c>
      <c r="N109" s="5" t="s">
        <v>464</v>
      </c>
      <c r="O109" s="34" t="s">
        <v>2706</v>
      </c>
      <c r="P109" s="5" t="s">
        <v>2665</v>
      </c>
      <c r="Q109" s="5" t="s">
        <v>2707</v>
      </c>
      <c r="R109" s="5" t="s">
        <v>2735</v>
      </c>
      <c r="S109" s="5" t="s">
        <v>2709</v>
      </c>
      <c r="T109" s="5" t="s">
        <v>445</v>
      </c>
    </row>
    <row r="110" spans="3:20">
      <c r="C110" s="5" t="s">
        <v>1857</v>
      </c>
      <c r="F110" s="36" t="s">
        <v>293</v>
      </c>
      <c r="G110" s="5" t="s">
        <v>294</v>
      </c>
      <c r="I110" s="6">
        <v>24850</v>
      </c>
      <c r="J110" s="62">
        <v>17.5</v>
      </c>
      <c r="K110" s="62">
        <v>1420</v>
      </c>
      <c r="L110" s="62" t="s">
        <v>2669</v>
      </c>
      <c r="M110" s="100" t="s">
        <v>452</v>
      </c>
      <c r="N110" s="5" t="s">
        <v>464</v>
      </c>
      <c r="O110" s="34" t="s">
        <v>2736</v>
      </c>
      <c r="P110" s="5" t="s">
        <v>2665</v>
      </c>
      <c r="Q110" s="5" t="s">
        <v>2737</v>
      </c>
      <c r="R110" s="5" t="s">
        <v>2738</v>
      </c>
      <c r="S110" s="5" t="s">
        <v>2739</v>
      </c>
      <c r="T110" s="5" t="s">
        <v>445</v>
      </c>
    </row>
    <row r="111" spans="3:20">
      <c r="C111" s="5" t="s">
        <v>1857</v>
      </c>
      <c r="F111" s="36" t="s">
        <v>293</v>
      </c>
      <c r="G111" s="5" t="s">
        <v>294</v>
      </c>
      <c r="I111" s="6">
        <v>-25716.2</v>
      </c>
      <c r="J111" s="62">
        <v>-18.11</v>
      </c>
      <c r="K111" s="62">
        <v>1420</v>
      </c>
      <c r="L111" s="62" t="s">
        <v>2669</v>
      </c>
      <c r="M111" s="100" t="s">
        <v>452</v>
      </c>
      <c r="N111" s="5" t="s">
        <v>464</v>
      </c>
      <c r="O111" s="34" t="s">
        <v>2710</v>
      </c>
      <c r="P111" s="5" t="s">
        <v>2665</v>
      </c>
      <c r="Q111" s="5" t="s">
        <v>2711</v>
      </c>
      <c r="R111" s="5" t="s">
        <v>2740</v>
      </c>
      <c r="S111" s="5" t="s">
        <v>2713</v>
      </c>
      <c r="T111" s="5" t="s">
        <v>445</v>
      </c>
    </row>
    <row r="112" spans="3:20">
      <c r="C112" s="5" t="s">
        <v>1857</v>
      </c>
      <c r="F112" s="36" t="s">
        <v>293</v>
      </c>
      <c r="G112" s="5" t="s">
        <v>294</v>
      </c>
      <c r="I112" s="6">
        <v>-2840000</v>
      </c>
      <c r="J112" s="62">
        <v>-2000</v>
      </c>
      <c r="K112" s="62">
        <v>1420</v>
      </c>
      <c r="L112" s="62" t="s">
        <v>2663</v>
      </c>
      <c r="M112" s="100" t="s">
        <v>452</v>
      </c>
      <c r="N112" s="5" t="s">
        <v>464</v>
      </c>
      <c r="O112" s="34" t="s">
        <v>2741</v>
      </c>
      <c r="P112" s="5" t="s">
        <v>2665</v>
      </c>
      <c r="Q112" s="5" t="s">
        <v>2742</v>
      </c>
      <c r="R112" s="5" t="s">
        <v>2743</v>
      </c>
      <c r="S112" s="5" t="s">
        <v>2744</v>
      </c>
      <c r="T112" s="5" t="s">
        <v>445</v>
      </c>
    </row>
    <row r="113" spans="3:20">
      <c r="C113" s="5" t="s">
        <v>1857</v>
      </c>
      <c r="F113" s="36" t="s">
        <v>293</v>
      </c>
      <c r="G113" s="5" t="s">
        <v>294</v>
      </c>
      <c r="I113" s="6">
        <v>-426000</v>
      </c>
      <c r="J113" s="62">
        <v>-300</v>
      </c>
      <c r="K113" s="62">
        <v>1420</v>
      </c>
      <c r="L113" s="62" t="s">
        <v>2663</v>
      </c>
      <c r="M113" s="100" t="s">
        <v>452</v>
      </c>
      <c r="N113" s="5" t="s">
        <v>464</v>
      </c>
      <c r="O113" s="34" t="s">
        <v>2741</v>
      </c>
      <c r="P113" s="5" t="s">
        <v>2665</v>
      </c>
      <c r="Q113" s="5" t="s">
        <v>2742</v>
      </c>
      <c r="R113" s="5" t="s">
        <v>2745</v>
      </c>
      <c r="S113" s="5" t="s">
        <v>2744</v>
      </c>
      <c r="T113" s="5" t="s">
        <v>445</v>
      </c>
    </row>
    <row r="114" spans="3:20">
      <c r="C114" s="5" t="s">
        <v>1857</v>
      </c>
      <c r="F114" s="36" t="s">
        <v>293</v>
      </c>
      <c r="G114" s="5" t="s">
        <v>294</v>
      </c>
      <c r="I114" s="6">
        <v>-1278000</v>
      </c>
      <c r="J114" s="62">
        <v>-900</v>
      </c>
      <c r="K114" s="62">
        <v>1420</v>
      </c>
      <c r="L114" s="62" t="s">
        <v>2663</v>
      </c>
      <c r="M114" s="100" t="s">
        <v>452</v>
      </c>
      <c r="N114" s="5" t="s">
        <v>464</v>
      </c>
      <c r="O114" s="34" t="s">
        <v>2741</v>
      </c>
      <c r="P114" s="5" t="s">
        <v>2665</v>
      </c>
      <c r="Q114" s="5" t="s">
        <v>2742</v>
      </c>
      <c r="R114" s="5" t="s">
        <v>2746</v>
      </c>
      <c r="S114" s="5" t="s">
        <v>2744</v>
      </c>
      <c r="T114" s="5" t="s">
        <v>445</v>
      </c>
    </row>
    <row r="115" spans="3:20">
      <c r="C115" s="5" t="s">
        <v>1857</v>
      </c>
      <c r="F115" s="36" t="s">
        <v>293</v>
      </c>
      <c r="G115" s="5" t="s">
        <v>294</v>
      </c>
      <c r="I115" s="6">
        <v>-1967000</v>
      </c>
      <c r="J115" s="62">
        <v>-1400</v>
      </c>
      <c r="K115" s="62">
        <v>1405</v>
      </c>
      <c r="L115" s="62" t="s">
        <v>2674</v>
      </c>
      <c r="M115" s="100" t="s">
        <v>452</v>
      </c>
      <c r="N115" s="5" t="s">
        <v>464</v>
      </c>
      <c r="O115" s="34" t="s">
        <v>2722</v>
      </c>
      <c r="P115" s="5" t="s">
        <v>2665</v>
      </c>
      <c r="Q115" s="5" t="s">
        <v>2723</v>
      </c>
      <c r="R115" s="5" t="s">
        <v>2747</v>
      </c>
      <c r="S115" s="5" t="s">
        <v>2725</v>
      </c>
      <c r="T115" s="5" t="s">
        <v>445</v>
      </c>
    </row>
    <row r="116" spans="3:20">
      <c r="C116" s="5" t="s">
        <v>1857</v>
      </c>
      <c r="F116" s="36" t="s">
        <v>293</v>
      </c>
      <c r="G116" s="5" t="s">
        <v>294</v>
      </c>
      <c r="I116" s="6">
        <v>-12240.4</v>
      </c>
      <c r="J116" s="62">
        <v>-8.6199999999999992</v>
      </c>
      <c r="K116" s="62">
        <v>1420</v>
      </c>
      <c r="L116" s="62" t="s">
        <v>2669</v>
      </c>
      <c r="M116" s="100" t="s">
        <v>452</v>
      </c>
      <c r="N116" s="5" t="s">
        <v>464</v>
      </c>
      <c r="O116" s="34" t="s">
        <v>2710</v>
      </c>
      <c r="P116" s="5" t="s">
        <v>2665</v>
      </c>
      <c r="Q116" s="5" t="s">
        <v>2711</v>
      </c>
      <c r="R116" s="5" t="s">
        <v>2748</v>
      </c>
      <c r="S116" s="5" t="s">
        <v>2713</v>
      </c>
      <c r="T116" s="5" t="s">
        <v>445</v>
      </c>
    </row>
    <row r="117" spans="3:20">
      <c r="C117" s="5" t="s">
        <v>1857</v>
      </c>
      <c r="F117" s="36" t="s">
        <v>293</v>
      </c>
      <c r="G117" s="5" t="s">
        <v>294</v>
      </c>
      <c r="I117" s="6">
        <v>702500</v>
      </c>
      <c r="J117" s="62">
        <v>500</v>
      </c>
      <c r="K117" s="62">
        <v>1405</v>
      </c>
      <c r="L117" s="62" t="s">
        <v>2669</v>
      </c>
      <c r="M117" s="100" t="s">
        <v>1416</v>
      </c>
      <c r="N117" s="5" t="s">
        <v>464</v>
      </c>
      <c r="O117" s="34" t="s">
        <v>2749</v>
      </c>
      <c r="P117" s="5" t="s">
        <v>2750</v>
      </c>
      <c r="Q117" s="5" t="s">
        <v>2751</v>
      </c>
      <c r="R117" s="5" t="s">
        <v>2751</v>
      </c>
      <c r="S117" s="5" t="s">
        <v>2752</v>
      </c>
      <c r="T117" s="5" t="s">
        <v>445</v>
      </c>
    </row>
    <row r="118" spans="3:20">
      <c r="C118" s="5" t="s">
        <v>1857</v>
      </c>
      <c r="F118" s="36" t="s">
        <v>295</v>
      </c>
      <c r="G118" s="5" t="s">
        <v>296</v>
      </c>
      <c r="I118" s="6">
        <v>-55800</v>
      </c>
      <c r="J118" s="62">
        <v>-39.715302491103202</v>
      </c>
      <c r="K118" s="62">
        <v>1405</v>
      </c>
      <c r="L118" s="62" t="s">
        <v>2753</v>
      </c>
      <c r="M118" s="100" t="s">
        <v>452</v>
      </c>
      <c r="N118" s="5" t="s">
        <v>464</v>
      </c>
      <c r="O118" s="34" t="s">
        <v>2754</v>
      </c>
      <c r="P118" s="5" t="s">
        <v>2665</v>
      </c>
      <c r="Q118" s="5" t="s">
        <v>2755</v>
      </c>
      <c r="R118" s="5" t="s">
        <v>2756</v>
      </c>
      <c r="S118" s="5" t="s">
        <v>2757</v>
      </c>
      <c r="T118" s="5" t="s">
        <v>445</v>
      </c>
    </row>
    <row r="119" spans="3:20">
      <c r="C119" s="5" t="s">
        <v>1857</v>
      </c>
      <c r="F119" s="36" t="s">
        <v>295</v>
      </c>
      <c r="G119" s="5" t="s">
        <v>296</v>
      </c>
      <c r="I119" s="6">
        <v>-74600</v>
      </c>
      <c r="J119" s="62">
        <v>-53.096085409252701</v>
      </c>
      <c r="K119" s="62">
        <v>1404.9999999999991</v>
      </c>
      <c r="L119" s="62" t="s">
        <v>2753</v>
      </c>
      <c r="M119" s="100" t="s">
        <v>452</v>
      </c>
      <c r="N119" s="5" t="s">
        <v>464</v>
      </c>
      <c r="O119" s="34" t="s">
        <v>2754</v>
      </c>
      <c r="P119" s="5" t="s">
        <v>2665</v>
      </c>
      <c r="Q119" s="5" t="s">
        <v>2755</v>
      </c>
      <c r="R119" s="5" t="s">
        <v>2758</v>
      </c>
      <c r="S119" s="5" t="s">
        <v>2757</v>
      </c>
      <c r="T119" s="5" t="s">
        <v>445</v>
      </c>
    </row>
    <row r="120" spans="3:20">
      <c r="C120" s="5" t="s">
        <v>1857</v>
      </c>
      <c r="F120" s="36" t="s">
        <v>295</v>
      </c>
      <c r="G120" s="5" t="s">
        <v>296</v>
      </c>
      <c r="I120" s="6">
        <v>-80000</v>
      </c>
      <c r="J120" s="62">
        <v>-56.939501779359396</v>
      </c>
      <c r="K120" s="62">
        <v>1405.0000000000009</v>
      </c>
      <c r="L120" s="62" t="s">
        <v>2759</v>
      </c>
      <c r="M120" s="100" t="s">
        <v>452</v>
      </c>
      <c r="N120" s="5" t="s">
        <v>464</v>
      </c>
      <c r="O120" s="34" t="s">
        <v>2760</v>
      </c>
      <c r="P120" s="5" t="s">
        <v>2665</v>
      </c>
      <c r="Q120" s="5" t="s">
        <v>2761</v>
      </c>
      <c r="R120" s="5" t="s">
        <v>2762</v>
      </c>
      <c r="S120" s="5" t="s">
        <v>2763</v>
      </c>
      <c r="T120" s="5" t="s">
        <v>445</v>
      </c>
    </row>
    <row r="121" spans="3:20">
      <c r="C121" s="5" t="s">
        <v>1857</v>
      </c>
      <c r="F121" s="36" t="s">
        <v>295</v>
      </c>
      <c r="G121" s="5" t="s">
        <v>296</v>
      </c>
      <c r="I121" s="6">
        <v>-56000</v>
      </c>
      <c r="J121" s="62">
        <v>-39.857651245551601</v>
      </c>
      <c r="K121" s="62">
        <v>1405</v>
      </c>
      <c r="L121" s="62" t="s">
        <v>2759</v>
      </c>
      <c r="M121" s="100" t="s">
        <v>452</v>
      </c>
      <c r="N121" s="5" t="s">
        <v>464</v>
      </c>
      <c r="O121" s="34" t="s">
        <v>2760</v>
      </c>
      <c r="P121" s="5" t="s">
        <v>2665</v>
      </c>
      <c r="Q121" s="5" t="s">
        <v>2761</v>
      </c>
      <c r="R121" s="5" t="s">
        <v>2764</v>
      </c>
      <c r="S121" s="5" t="s">
        <v>2763</v>
      </c>
      <c r="T121" s="5" t="s">
        <v>445</v>
      </c>
    </row>
    <row r="122" spans="3:20">
      <c r="C122" s="5" t="s">
        <v>1857</v>
      </c>
      <c r="F122" s="36" t="s">
        <v>295</v>
      </c>
      <c r="G122" s="5" t="s">
        <v>296</v>
      </c>
      <c r="I122" s="6">
        <v>-30100</v>
      </c>
      <c r="J122" s="62">
        <v>-21.423487544484001</v>
      </c>
      <c r="K122" s="62">
        <v>1404.9999999999991</v>
      </c>
      <c r="L122" s="62" t="s">
        <v>2753</v>
      </c>
      <c r="M122" s="100" t="s">
        <v>452</v>
      </c>
      <c r="N122" s="5" t="s">
        <v>464</v>
      </c>
      <c r="O122" s="34" t="s">
        <v>2754</v>
      </c>
      <c r="P122" s="5" t="s">
        <v>2665</v>
      </c>
      <c r="Q122" s="5" t="s">
        <v>2755</v>
      </c>
      <c r="R122" s="5" t="s">
        <v>2765</v>
      </c>
      <c r="S122" s="5" t="s">
        <v>2757</v>
      </c>
      <c r="T122" s="5" t="s">
        <v>445</v>
      </c>
    </row>
    <row r="123" spans="3:20">
      <c r="C123" s="5" t="s">
        <v>1857</v>
      </c>
      <c r="F123" s="36" t="s">
        <v>295</v>
      </c>
      <c r="G123" s="5" t="s">
        <v>296</v>
      </c>
      <c r="I123" s="6">
        <v>-20000</v>
      </c>
      <c r="J123" s="62">
        <v>-14.234875444839901</v>
      </c>
      <c r="K123" s="62">
        <v>1404.9999999999957</v>
      </c>
      <c r="L123" s="62" t="s">
        <v>2753</v>
      </c>
      <c r="M123" s="100" t="s">
        <v>452</v>
      </c>
      <c r="N123" s="5" t="s">
        <v>464</v>
      </c>
      <c r="O123" s="34" t="s">
        <v>2754</v>
      </c>
      <c r="P123" s="5" t="s">
        <v>2665</v>
      </c>
      <c r="Q123" s="5" t="s">
        <v>2755</v>
      </c>
      <c r="R123" s="5" t="s">
        <v>2766</v>
      </c>
      <c r="S123" s="5" t="s">
        <v>2757</v>
      </c>
      <c r="T123" s="5" t="s">
        <v>445</v>
      </c>
    </row>
    <row r="124" spans="3:20">
      <c r="C124" s="5" t="s">
        <v>1857</v>
      </c>
      <c r="F124" s="36" t="s">
        <v>295</v>
      </c>
      <c r="G124" s="5" t="s">
        <v>296</v>
      </c>
      <c r="I124" s="6">
        <v>-20000</v>
      </c>
      <c r="J124" s="62">
        <v>-14.234875444839901</v>
      </c>
      <c r="K124" s="62">
        <v>1404.9999999999957</v>
      </c>
      <c r="L124" s="62" t="s">
        <v>2753</v>
      </c>
      <c r="M124" s="100" t="s">
        <v>452</v>
      </c>
      <c r="N124" s="5" t="s">
        <v>464</v>
      </c>
      <c r="O124" s="34" t="s">
        <v>2754</v>
      </c>
      <c r="P124" s="5" t="s">
        <v>2665</v>
      </c>
      <c r="Q124" s="5" t="s">
        <v>2755</v>
      </c>
      <c r="R124" s="5" t="s">
        <v>2767</v>
      </c>
      <c r="S124" s="5" t="s">
        <v>2757</v>
      </c>
      <c r="T124" s="5" t="s">
        <v>445</v>
      </c>
    </row>
    <row r="125" spans="3:20">
      <c r="C125" s="5" t="s">
        <v>1857</v>
      </c>
      <c r="F125" s="36" t="s">
        <v>295</v>
      </c>
      <c r="G125" s="5" t="s">
        <v>296</v>
      </c>
      <c r="I125" s="6">
        <v>-64000</v>
      </c>
      <c r="J125" s="62">
        <v>-45.551601423487497</v>
      </c>
      <c r="K125" s="62">
        <v>1405.0000000000014</v>
      </c>
      <c r="L125" s="62" t="s">
        <v>2753</v>
      </c>
      <c r="M125" s="100" t="s">
        <v>452</v>
      </c>
      <c r="N125" s="5" t="s">
        <v>464</v>
      </c>
      <c r="O125" s="34" t="s">
        <v>2754</v>
      </c>
      <c r="P125" s="5" t="s">
        <v>2665</v>
      </c>
      <c r="Q125" s="5" t="s">
        <v>2755</v>
      </c>
      <c r="R125" s="5" t="s">
        <v>2768</v>
      </c>
      <c r="S125" s="5" t="s">
        <v>2757</v>
      </c>
      <c r="T125" s="5" t="s">
        <v>445</v>
      </c>
    </row>
    <row r="126" spans="3:20">
      <c r="C126" s="5" t="s">
        <v>1857</v>
      </c>
      <c r="F126" s="36" t="s">
        <v>295</v>
      </c>
      <c r="G126" s="5" t="s">
        <v>296</v>
      </c>
      <c r="I126" s="6">
        <v>-75500</v>
      </c>
      <c r="J126" s="62">
        <v>-53.736654804270501</v>
      </c>
      <c r="K126" s="62">
        <v>1404.9999999999991</v>
      </c>
      <c r="L126" s="62" t="s">
        <v>2753</v>
      </c>
      <c r="M126" s="100" t="s">
        <v>452</v>
      </c>
      <c r="N126" s="5" t="s">
        <v>464</v>
      </c>
      <c r="O126" s="34" t="s">
        <v>2754</v>
      </c>
      <c r="P126" s="5" t="s">
        <v>2665</v>
      </c>
      <c r="Q126" s="5" t="s">
        <v>2755</v>
      </c>
      <c r="R126" s="5" t="s">
        <v>1965</v>
      </c>
      <c r="S126" s="5" t="s">
        <v>2757</v>
      </c>
      <c r="T126" s="5" t="s">
        <v>445</v>
      </c>
    </row>
    <row r="127" spans="3:20">
      <c r="C127" s="5" t="s">
        <v>1857</v>
      </c>
      <c r="F127" s="36" t="s">
        <v>295</v>
      </c>
      <c r="G127" s="5" t="s">
        <v>296</v>
      </c>
      <c r="I127" s="6">
        <v>-100000</v>
      </c>
      <c r="J127" s="62">
        <v>-71.174377224199304</v>
      </c>
      <c r="K127" s="62">
        <v>1404.9999999999998</v>
      </c>
      <c r="L127" s="62" t="s">
        <v>2753</v>
      </c>
      <c r="M127" s="100" t="s">
        <v>452</v>
      </c>
      <c r="N127" s="5" t="s">
        <v>464</v>
      </c>
      <c r="O127" s="34" t="s">
        <v>2754</v>
      </c>
      <c r="P127" s="5" t="s">
        <v>2665</v>
      </c>
      <c r="Q127" s="5" t="s">
        <v>2755</v>
      </c>
      <c r="R127" s="5" t="s">
        <v>703</v>
      </c>
      <c r="S127" s="5" t="s">
        <v>2757</v>
      </c>
      <c r="T127" s="5" t="s">
        <v>445</v>
      </c>
    </row>
    <row r="128" spans="3:20">
      <c r="C128" s="5" t="s">
        <v>1857</v>
      </c>
      <c r="F128" s="36" t="s">
        <v>295</v>
      </c>
      <c r="G128" s="5" t="s">
        <v>296</v>
      </c>
      <c r="I128" s="6">
        <v>-122224</v>
      </c>
      <c r="J128" s="62">
        <v>-86.992170818505301</v>
      </c>
      <c r="K128" s="62">
        <v>1405.0000000000007</v>
      </c>
      <c r="L128" s="62" t="s">
        <v>2753</v>
      </c>
      <c r="M128" s="100" t="s">
        <v>452</v>
      </c>
      <c r="N128" s="5" t="s">
        <v>464</v>
      </c>
      <c r="O128" s="34" t="s">
        <v>2754</v>
      </c>
      <c r="P128" s="5" t="s">
        <v>2665</v>
      </c>
      <c r="Q128" s="5" t="s">
        <v>2755</v>
      </c>
      <c r="R128" s="5" t="s">
        <v>2494</v>
      </c>
      <c r="S128" s="5" t="s">
        <v>2757</v>
      </c>
      <c r="T128" s="5" t="s">
        <v>445</v>
      </c>
    </row>
    <row r="129" spans="3:20">
      <c r="C129" s="5" t="s">
        <v>1857</v>
      </c>
      <c r="F129" s="36" t="s">
        <v>295</v>
      </c>
      <c r="G129" s="5" t="s">
        <v>296</v>
      </c>
      <c r="I129" s="6">
        <v>-157500</v>
      </c>
      <c r="J129" s="62">
        <v>-112.09964412811399</v>
      </c>
      <c r="K129" s="62">
        <v>1404.9999999999986</v>
      </c>
      <c r="L129" s="62" t="s">
        <v>2753</v>
      </c>
      <c r="M129" s="100" t="s">
        <v>452</v>
      </c>
      <c r="N129" s="5" t="s">
        <v>464</v>
      </c>
      <c r="O129" s="34" t="s">
        <v>2754</v>
      </c>
      <c r="P129" s="5" t="s">
        <v>2665</v>
      </c>
      <c r="Q129" s="5" t="s">
        <v>2755</v>
      </c>
      <c r="R129" s="5" t="s">
        <v>2769</v>
      </c>
      <c r="S129" s="5" t="s">
        <v>2757</v>
      </c>
      <c r="T129" s="5" t="s">
        <v>445</v>
      </c>
    </row>
    <row r="130" spans="3:20">
      <c r="C130" s="5" t="s">
        <v>1857</v>
      </c>
      <c r="F130" s="36" t="s">
        <v>295</v>
      </c>
      <c r="G130" s="5" t="s">
        <v>296</v>
      </c>
      <c r="I130" s="6">
        <v>-94500</v>
      </c>
      <c r="J130" s="62">
        <v>-67.2597864768683</v>
      </c>
      <c r="K130" s="62">
        <v>1405.0000000000007</v>
      </c>
      <c r="L130" s="62" t="s">
        <v>2753</v>
      </c>
      <c r="M130" s="100" t="s">
        <v>452</v>
      </c>
      <c r="N130" s="5" t="s">
        <v>464</v>
      </c>
      <c r="O130" s="34" t="s">
        <v>2754</v>
      </c>
      <c r="P130" s="5" t="s">
        <v>2665</v>
      </c>
      <c r="Q130" s="5" t="s">
        <v>2755</v>
      </c>
      <c r="R130" s="5" t="s">
        <v>2770</v>
      </c>
      <c r="S130" s="5" t="s">
        <v>2757</v>
      </c>
      <c r="T130" s="5" t="s">
        <v>445</v>
      </c>
    </row>
    <row r="131" spans="3:20">
      <c r="C131" s="5" t="s">
        <v>1857</v>
      </c>
      <c r="F131" s="36" t="s">
        <v>295</v>
      </c>
      <c r="G131" s="5" t="s">
        <v>296</v>
      </c>
      <c r="I131" s="6">
        <v>-35000</v>
      </c>
      <c r="J131" s="62">
        <v>-24.911032028469801</v>
      </c>
      <c r="K131" s="62">
        <v>1404.9999999999973</v>
      </c>
      <c r="L131" s="62" t="s">
        <v>2753</v>
      </c>
      <c r="M131" s="100" t="s">
        <v>452</v>
      </c>
      <c r="N131" s="5" t="s">
        <v>464</v>
      </c>
      <c r="O131" s="34" t="s">
        <v>2754</v>
      </c>
      <c r="P131" s="5" t="s">
        <v>2665</v>
      </c>
      <c r="Q131" s="5" t="s">
        <v>2755</v>
      </c>
      <c r="R131" s="5" t="s">
        <v>1276</v>
      </c>
      <c r="S131" s="5" t="s">
        <v>2757</v>
      </c>
      <c r="T131" s="5" t="s">
        <v>445</v>
      </c>
    </row>
    <row r="132" spans="3:20">
      <c r="C132" s="5" t="s">
        <v>1857</v>
      </c>
      <c r="F132" s="36" t="s">
        <v>295</v>
      </c>
      <c r="G132" s="5" t="s">
        <v>296</v>
      </c>
      <c r="I132" s="6">
        <v>-49500</v>
      </c>
      <c r="J132" s="62">
        <v>-35.231316725978701</v>
      </c>
      <c r="K132" s="62">
        <v>1404.999999999998</v>
      </c>
      <c r="L132" s="62" t="s">
        <v>2753</v>
      </c>
      <c r="M132" s="100" t="s">
        <v>452</v>
      </c>
      <c r="N132" s="5" t="s">
        <v>464</v>
      </c>
      <c r="O132" s="34" t="s">
        <v>2754</v>
      </c>
      <c r="P132" s="5" t="s">
        <v>2665</v>
      </c>
      <c r="Q132" s="5" t="s">
        <v>2755</v>
      </c>
      <c r="R132" s="5" t="s">
        <v>764</v>
      </c>
      <c r="S132" s="5" t="s">
        <v>2757</v>
      </c>
      <c r="T132" s="5" t="s">
        <v>445</v>
      </c>
    </row>
    <row r="133" spans="3:20">
      <c r="C133" s="5" t="s">
        <v>1857</v>
      </c>
      <c r="F133" s="36" t="s">
        <v>295</v>
      </c>
      <c r="G133" s="5" t="s">
        <v>296</v>
      </c>
      <c r="I133" s="6">
        <v>-45000</v>
      </c>
      <c r="J133" s="62">
        <v>-32.028469750889698</v>
      </c>
      <c r="K133" s="62">
        <v>1404.9999999999991</v>
      </c>
      <c r="L133" s="62" t="s">
        <v>2753</v>
      </c>
      <c r="M133" s="100" t="s">
        <v>452</v>
      </c>
      <c r="N133" s="5" t="s">
        <v>464</v>
      </c>
      <c r="O133" s="34" t="s">
        <v>2754</v>
      </c>
      <c r="P133" s="5" t="s">
        <v>2665</v>
      </c>
      <c r="Q133" s="5" t="s">
        <v>2755</v>
      </c>
      <c r="R133" s="5" t="s">
        <v>2771</v>
      </c>
      <c r="S133" s="5" t="s">
        <v>2757</v>
      </c>
      <c r="T133" s="5" t="s">
        <v>445</v>
      </c>
    </row>
    <row r="134" spans="3:20">
      <c r="C134" s="5" t="s">
        <v>1857</v>
      </c>
      <c r="F134" s="36" t="s">
        <v>295</v>
      </c>
      <c r="G134" s="5" t="s">
        <v>296</v>
      </c>
      <c r="I134" s="6">
        <v>-160000</v>
      </c>
      <c r="J134" s="62">
        <v>-113.87900355871901</v>
      </c>
      <c r="K134" s="62">
        <v>1404.9999999999982</v>
      </c>
      <c r="L134" s="62" t="s">
        <v>2753</v>
      </c>
      <c r="M134" s="100" t="s">
        <v>452</v>
      </c>
      <c r="N134" s="5" t="s">
        <v>464</v>
      </c>
      <c r="O134" s="34" t="s">
        <v>2754</v>
      </c>
      <c r="P134" s="5" t="s">
        <v>2665</v>
      </c>
      <c r="Q134" s="5" t="s">
        <v>2755</v>
      </c>
      <c r="R134" s="5" t="s">
        <v>2772</v>
      </c>
      <c r="S134" s="5" t="s">
        <v>2757</v>
      </c>
      <c r="T134" s="5" t="s">
        <v>445</v>
      </c>
    </row>
    <row r="135" spans="3:20">
      <c r="C135" s="5" t="s">
        <v>1857</v>
      </c>
      <c r="F135" s="36" t="s">
        <v>295</v>
      </c>
      <c r="G135" s="5" t="s">
        <v>296</v>
      </c>
      <c r="I135" s="6">
        <v>-23000</v>
      </c>
      <c r="J135" s="62">
        <v>-16.3701067615658</v>
      </c>
      <c r="K135" s="62">
        <v>1405.0000000000032</v>
      </c>
      <c r="L135" s="62" t="s">
        <v>2753</v>
      </c>
      <c r="M135" s="100" t="s">
        <v>452</v>
      </c>
      <c r="N135" s="5" t="s">
        <v>464</v>
      </c>
      <c r="O135" s="34" t="s">
        <v>2754</v>
      </c>
      <c r="P135" s="5" t="s">
        <v>2665</v>
      </c>
      <c r="Q135" s="5" t="s">
        <v>2755</v>
      </c>
      <c r="R135" s="5" t="s">
        <v>2773</v>
      </c>
      <c r="S135" s="5" t="s">
        <v>2757</v>
      </c>
      <c r="T135" s="5" t="s">
        <v>445</v>
      </c>
    </row>
    <row r="136" spans="3:20">
      <c r="C136" s="5" t="s">
        <v>1857</v>
      </c>
      <c r="F136" s="36" t="s">
        <v>295</v>
      </c>
      <c r="G136" s="5" t="s">
        <v>296</v>
      </c>
      <c r="I136" s="6">
        <v>-85187</v>
      </c>
      <c r="J136" s="62">
        <v>-60.631316725978699</v>
      </c>
      <c r="K136" s="62">
        <v>1404.9999999999989</v>
      </c>
      <c r="L136" s="62" t="s">
        <v>2753</v>
      </c>
      <c r="M136" s="100" t="s">
        <v>452</v>
      </c>
      <c r="N136" s="5" t="s">
        <v>464</v>
      </c>
      <c r="O136" s="34" t="s">
        <v>2754</v>
      </c>
      <c r="P136" s="5" t="s">
        <v>2665</v>
      </c>
      <c r="Q136" s="5" t="s">
        <v>2755</v>
      </c>
      <c r="R136" s="5" t="s">
        <v>2774</v>
      </c>
      <c r="S136" s="5" t="s">
        <v>2757</v>
      </c>
      <c r="T136" s="5" t="s">
        <v>445</v>
      </c>
    </row>
    <row r="137" spans="3:20">
      <c r="C137" s="5" t="s">
        <v>1857</v>
      </c>
      <c r="F137" s="36" t="s">
        <v>295</v>
      </c>
      <c r="G137" s="5" t="s">
        <v>296</v>
      </c>
      <c r="I137" s="6">
        <v>-60925</v>
      </c>
      <c r="J137" s="62">
        <v>-43.362989323843401</v>
      </c>
      <c r="K137" s="62">
        <v>1405.0000000000005</v>
      </c>
      <c r="L137" s="62" t="s">
        <v>2753</v>
      </c>
      <c r="M137" s="100" t="s">
        <v>452</v>
      </c>
      <c r="N137" s="5" t="s">
        <v>464</v>
      </c>
      <c r="O137" s="34" t="s">
        <v>2754</v>
      </c>
      <c r="P137" s="5" t="s">
        <v>2665</v>
      </c>
      <c r="Q137" s="5" t="s">
        <v>2755</v>
      </c>
      <c r="R137" s="5" t="s">
        <v>757</v>
      </c>
      <c r="S137" s="5" t="s">
        <v>2757</v>
      </c>
      <c r="T137" s="5" t="s">
        <v>445</v>
      </c>
    </row>
    <row r="138" spans="3:20">
      <c r="C138" s="5" t="s">
        <v>1857</v>
      </c>
      <c r="F138" s="36" t="s">
        <v>295</v>
      </c>
      <c r="G138" s="5" t="s">
        <v>296</v>
      </c>
      <c r="I138" s="6">
        <v>-142000</v>
      </c>
      <c r="J138" s="62">
        <v>-101.067615658363</v>
      </c>
      <c r="K138" s="62">
        <v>1405</v>
      </c>
      <c r="L138" s="62" t="s">
        <v>2753</v>
      </c>
      <c r="M138" s="100" t="s">
        <v>452</v>
      </c>
      <c r="N138" s="5" t="s">
        <v>464</v>
      </c>
      <c r="O138" s="34" t="s">
        <v>2754</v>
      </c>
      <c r="P138" s="5" t="s">
        <v>2665</v>
      </c>
      <c r="Q138" s="5" t="s">
        <v>2755</v>
      </c>
      <c r="R138" s="5" t="s">
        <v>757</v>
      </c>
      <c r="S138" s="5" t="s">
        <v>2757</v>
      </c>
      <c r="T138" s="5" t="s">
        <v>445</v>
      </c>
    </row>
    <row r="139" spans="3:20">
      <c r="C139" s="5" t="s">
        <v>1857</v>
      </c>
      <c r="F139" s="36" t="s">
        <v>295</v>
      </c>
      <c r="G139" s="5" t="s">
        <v>296</v>
      </c>
      <c r="I139" s="6">
        <v>-220200</v>
      </c>
      <c r="J139" s="62">
        <v>-156.72597864768699</v>
      </c>
      <c r="K139" s="62">
        <v>1404.9999999999986</v>
      </c>
      <c r="L139" s="62" t="s">
        <v>2753</v>
      </c>
      <c r="M139" s="100" t="s">
        <v>452</v>
      </c>
      <c r="N139" s="5" t="s">
        <v>464</v>
      </c>
      <c r="O139" s="34" t="s">
        <v>2754</v>
      </c>
      <c r="P139" s="5" t="s">
        <v>2665</v>
      </c>
      <c r="Q139" s="5" t="s">
        <v>2755</v>
      </c>
      <c r="R139" s="5" t="s">
        <v>2775</v>
      </c>
      <c r="S139" s="5" t="s">
        <v>2757</v>
      </c>
      <c r="T139" s="5" t="s">
        <v>445</v>
      </c>
    </row>
    <row r="140" spans="3:20">
      <c r="C140" s="5" t="s">
        <v>1857</v>
      </c>
      <c r="F140" s="36" t="s">
        <v>295</v>
      </c>
      <c r="G140" s="5" t="s">
        <v>296</v>
      </c>
      <c r="I140" s="6">
        <v>-54600</v>
      </c>
      <c r="J140" s="62">
        <v>-38.861209964412801</v>
      </c>
      <c r="K140" s="62">
        <v>1405.0000000000005</v>
      </c>
      <c r="L140" s="62" t="s">
        <v>2753</v>
      </c>
      <c r="M140" s="100" t="s">
        <v>452</v>
      </c>
      <c r="N140" s="5" t="s">
        <v>464</v>
      </c>
      <c r="O140" s="34" t="s">
        <v>2754</v>
      </c>
      <c r="P140" s="5" t="s">
        <v>2665</v>
      </c>
      <c r="Q140" s="5" t="s">
        <v>2755</v>
      </c>
      <c r="R140" s="5" t="s">
        <v>2776</v>
      </c>
      <c r="S140" s="5" t="s">
        <v>2757</v>
      </c>
      <c r="T140" s="5" t="s">
        <v>445</v>
      </c>
    </row>
    <row r="141" spans="3:20">
      <c r="C141" s="5" t="s">
        <v>1857</v>
      </c>
      <c r="F141" s="36" t="s">
        <v>295</v>
      </c>
      <c r="G141" s="5" t="s">
        <v>296</v>
      </c>
      <c r="I141" s="6">
        <v>-16000</v>
      </c>
      <c r="J141" s="62">
        <v>-11.387900355871899</v>
      </c>
      <c r="K141" s="62">
        <v>1404.9999999999984</v>
      </c>
      <c r="L141" s="62" t="s">
        <v>2777</v>
      </c>
      <c r="M141" s="100" t="s">
        <v>452</v>
      </c>
      <c r="N141" s="5" t="s">
        <v>464</v>
      </c>
      <c r="O141" s="34" t="s">
        <v>2778</v>
      </c>
      <c r="P141" s="5" t="s">
        <v>2665</v>
      </c>
      <c r="Q141" s="5" t="s">
        <v>2779</v>
      </c>
      <c r="R141" s="5" t="s">
        <v>2780</v>
      </c>
      <c r="S141" s="5" t="s">
        <v>2781</v>
      </c>
      <c r="T141" s="5" t="s">
        <v>445</v>
      </c>
    </row>
    <row r="142" spans="3:20">
      <c r="C142" s="5" t="s">
        <v>1857</v>
      </c>
      <c r="F142" s="36" t="s">
        <v>295</v>
      </c>
      <c r="G142" s="5" t="s">
        <v>296</v>
      </c>
      <c r="I142" s="6">
        <v>-20000</v>
      </c>
      <c r="J142" s="62">
        <v>-14.234875444839901</v>
      </c>
      <c r="K142" s="62">
        <v>1404.9999999999957</v>
      </c>
      <c r="L142" s="62" t="s">
        <v>2777</v>
      </c>
      <c r="M142" s="100" t="s">
        <v>452</v>
      </c>
      <c r="N142" s="5" t="s">
        <v>464</v>
      </c>
      <c r="O142" s="34" t="s">
        <v>2778</v>
      </c>
      <c r="P142" s="5" t="s">
        <v>2665</v>
      </c>
      <c r="Q142" s="5" t="s">
        <v>2779</v>
      </c>
      <c r="R142" s="5" t="s">
        <v>2782</v>
      </c>
      <c r="S142" s="5" t="s">
        <v>2781</v>
      </c>
      <c r="T142" s="5" t="s">
        <v>445</v>
      </c>
    </row>
    <row r="143" spans="3:20">
      <c r="C143" s="5" t="s">
        <v>1857</v>
      </c>
      <c r="F143" s="36" t="s">
        <v>295</v>
      </c>
      <c r="G143" s="5" t="s">
        <v>296</v>
      </c>
      <c r="I143" s="6">
        <v>-91100</v>
      </c>
      <c r="J143" s="62">
        <v>-64.839857651245595</v>
      </c>
      <c r="K143" s="62">
        <v>1404.9999999999991</v>
      </c>
      <c r="L143" s="62" t="s">
        <v>2753</v>
      </c>
      <c r="M143" s="100" t="s">
        <v>452</v>
      </c>
      <c r="N143" s="5" t="s">
        <v>464</v>
      </c>
      <c r="O143" s="34" t="s">
        <v>2754</v>
      </c>
      <c r="P143" s="5" t="s">
        <v>2665</v>
      </c>
      <c r="Q143" s="5" t="s">
        <v>2755</v>
      </c>
      <c r="R143" s="5" t="s">
        <v>2783</v>
      </c>
      <c r="S143" s="5" t="s">
        <v>2757</v>
      </c>
      <c r="T143" s="5" t="s">
        <v>445</v>
      </c>
    </row>
    <row r="144" spans="3:20">
      <c r="C144" s="5" t="s">
        <v>1857</v>
      </c>
      <c r="F144" s="36" t="s">
        <v>295</v>
      </c>
      <c r="G144" s="5" t="s">
        <v>296</v>
      </c>
      <c r="I144" s="6">
        <v>-14208</v>
      </c>
      <c r="J144" s="62">
        <v>-10.112455516014199</v>
      </c>
      <c r="K144" s="62">
        <v>1405.000000000005</v>
      </c>
      <c r="L144" s="62" t="s">
        <v>2753</v>
      </c>
      <c r="M144" s="100" t="s">
        <v>452</v>
      </c>
      <c r="N144" s="5" t="s">
        <v>464</v>
      </c>
      <c r="O144" s="34" t="s">
        <v>2754</v>
      </c>
      <c r="P144" s="5" t="s">
        <v>2665</v>
      </c>
      <c r="Q144" s="5" t="s">
        <v>2755</v>
      </c>
      <c r="R144" s="5" t="s">
        <v>2784</v>
      </c>
      <c r="S144" s="5" t="s">
        <v>2757</v>
      </c>
      <c r="T144" s="5" t="s">
        <v>445</v>
      </c>
    </row>
    <row r="145" spans="3:20">
      <c r="C145" s="5" t="s">
        <v>1857</v>
      </c>
      <c r="F145" s="36" t="s">
        <v>295</v>
      </c>
      <c r="G145" s="5" t="s">
        <v>296</v>
      </c>
      <c r="I145" s="6">
        <v>-36000</v>
      </c>
      <c r="J145" s="62">
        <v>-25.6227758007117</v>
      </c>
      <c r="K145" s="62">
        <v>1405.0000000000023</v>
      </c>
      <c r="L145" s="62" t="s">
        <v>2753</v>
      </c>
      <c r="M145" s="100" t="s">
        <v>452</v>
      </c>
      <c r="N145" s="5" t="s">
        <v>464</v>
      </c>
      <c r="O145" s="34" t="s">
        <v>2754</v>
      </c>
      <c r="P145" s="5" t="s">
        <v>2665</v>
      </c>
      <c r="Q145" s="5" t="s">
        <v>2755</v>
      </c>
      <c r="R145" s="5" t="s">
        <v>2785</v>
      </c>
      <c r="S145" s="5" t="s">
        <v>2757</v>
      </c>
      <c r="T145" s="5" t="s">
        <v>445</v>
      </c>
    </row>
    <row r="146" spans="3:20">
      <c r="C146" s="5" t="s">
        <v>1857</v>
      </c>
      <c r="F146" s="36" t="s">
        <v>295</v>
      </c>
      <c r="G146" s="5" t="s">
        <v>296</v>
      </c>
      <c r="I146" s="6">
        <v>-42800</v>
      </c>
      <c r="J146" s="62">
        <v>-30.462633451957299</v>
      </c>
      <c r="K146" s="62">
        <v>1404.9999999999998</v>
      </c>
      <c r="L146" s="62" t="s">
        <v>2753</v>
      </c>
      <c r="M146" s="100" t="s">
        <v>452</v>
      </c>
      <c r="N146" s="5" t="s">
        <v>464</v>
      </c>
      <c r="O146" s="34" t="s">
        <v>2754</v>
      </c>
      <c r="P146" s="5" t="s">
        <v>2665</v>
      </c>
      <c r="Q146" s="5" t="s">
        <v>2755</v>
      </c>
      <c r="R146" s="5" t="s">
        <v>2786</v>
      </c>
      <c r="S146" s="5" t="s">
        <v>2757</v>
      </c>
      <c r="T146" s="5" t="s">
        <v>445</v>
      </c>
    </row>
    <row r="147" spans="3:20">
      <c r="C147" s="5" t="s">
        <v>1857</v>
      </c>
      <c r="F147" s="36" t="s">
        <v>295</v>
      </c>
      <c r="G147" s="5" t="s">
        <v>296</v>
      </c>
      <c r="I147" s="6">
        <v>-44100</v>
      </c>
      <c r="J147" s="62">
        <v>-31.387900355871899</v>
      </c>
      <c r="K147" s="62">
        <v>1404.9999999999993</v>
      </c>
      <c r="L147" s="62" t="s">
        <v>2753</v>
      </c>
      <c r="M147" s="100" t="s">
        <v>452</v>
      </c>
      <c r="N147" s="5" t="s">
        <v>464</v>
      </c>
      <c r="O147" s="34" t="s">
        <v>2754</v>
      </c>
      <c r="P147" s="5" t="s">
        <v>2665</v>
      </c>
      <c r="Q147" s="5" t="s">
        <v>2755</v>
      </c>
      <c r="R147" s="5" t="s">
        <v>2787</v>
      </c>
      <c r="S147" s="5" t="s">
        <v>2757</v>
      </c>
      <c r="T147" s="5" t="s">
        <v>445</v>
      </c>
    </row>
    <row r="148" spans="3:20">
      <c r="C148" s="5" t="s">
        <v>1857</v>
      </c>
      <c r="F148" s="36" t="s">
        <v>295</v>
      </c>
      <c r="G148" s="5" t="s">
        <v>296</v>
      </c>
      <c r="I148" s="6">
        <v>-67000</v>
      </c>
      <c r="J148" s="62">
        <v>-47.686832740213497</v>
      </c>
      <c r="K148" s="62">
        <v>1405.0000000000007</v>
      </c>
      <c r="L148" s="62" t="s">
        <v>2753</v>
      </c>
      <c r="M148" s="100" t="s">
        <v>452</v>
      </c>
      <c r="N148" s="5" t="s">
        <v>464</v>
      </c>
      <c r="O148" s="34" t="s">
        <v>2754</v>
      </c>
      <c r="P148" s="5" t="s">
        <v>2665</v>
      </c>
      <c r="Q148" s="5" t="s">
        <v>2755</v>
      </c>
      <c r="R148" s="5" t="s">
        <v>2788</v>
      </c>
      <c r="S148" s="5" t="s">
        <v>2757</v>
      </c>
      <c r="T148" s="5" t="s">
        <v>445</v>
      </c>
    </row>
    <row r="149" spans="3:20">
      <c r="C149" s="5" t="s">
        <v>1857</v>
      </c>
      <c r="F149" s="36" t="s">
        <v>295</v>
      </c>
      <c r="G149" s="5" t="s">
        <v>296</v>
      </c>
      <c r="I149" s="6">
        <v>-45000</v>
      </c>
      <c r="J149" s="62">
        <v>-32.028469750889698</v>
      </c>
      <c r="K149" s="62">
        <v>1404.9999999999991</v>
      </c>
      <c r="L149" s="62" t="s">
        <v>2759</v>
      </c>
      <c r="M149" s="100" t="s">
        <v>452</v>
      </c>
      <c r="N149" s="5" t="s">
        <v>464</v>
      </c>
      <c r="O149" s="34" t="s">
        <v>2760</v>
      </c>
      <c r="P149" s="5" t="s">
        <v>2665</v>
      </c>
      <c r="Q149" s="5" t="s">
        <v>2761</v>
      </c>
      <c r="R149" s="5" t="s">
        <v>2789</v>
      </c>
      <c r="S149" s="5" t="s">
        <v>2763</v>
      </c>
      <c r="T149" s="5" t="s">
        <v>445</v>
      </c>
    </row>
    <row r="150" spans="3:20">
      <c r="C150" s="5" t="s">
        <v>1857</v>
      </c>
      <c r="F150" s="36" t="s">
        <v>295</v>
      </c>
      <c r="G150" s="5" t="s">
        <v>296</v>
      </c>
      <c r="I150" s="6">
        <v>-42000</v>
      </c>
      <c r="J150" s="62">
        <v>-29.893238434163699</v>
      </c>
      <c r="K150" s="62">
        <v>1405</v>
      </c>
      <c r="L150" s="62" t="s">
        <v>2759</v>
      </c>
      <c r="M150" s="100" t="s">
        <v>452</v>
      </c>
      <c r="N150" s="5" t="s">
        <v>464</v>
      </c>
      <c r="O150" s="34" t="s">
        <v>2760</v>
      </c>
      <c r="P150" s="5" t="s">
        <v>2665</v>
      </c>
      <c r="Q150" s="5" t="s">
        <v>2761</v>
      </c>
      <c r="R150" s="5" t="s">
        <v>2790</v>
      </c>
      <c r="S150" s="5" t="s">
        <v>2763</v>
      </c>
      <c r="T150" s="5" t="s">
        <v>445</v>
      </c>
    </row>
    <row r="151" spans="3:20">
      <c r="C151" s="5" t="s">
        <v>1857</v>
      </c>
      <c r="F151" s="36" t="s">
        <v>295</v>
      </c>
      <c r="G151" s="5" t="s">
        <v>296</v>
      </c>
      <c r="I151" s="6">
        <v>-40000</v>
      </c>
      <c r="J151" s="62">
        <v>-28.469750889679698</v>
      </c>
      <c r="K151" s="62">
        <v>1405.0000000000009</v>
      </c>
      <c r="L151" s="62" t="s">
        <v>2759</v>
      </c>
      <c r="M151" s="100" t="s">
        <v>452</v>
      </c>
      <c r="N151" s="5" t="s">
        <v>464</v>
      </c>
      <c r="O151" s="34" t="s">
        <v>2760</v>
      </c>
      <c r="P151" s="5" t="s">
        <v>2665</v>
      </c>
      <c r="Q151" s="5" t="s">
        <v>2761</v>
      </c>
      <c r="R151" s="5" t="s">
        <v>2791</v>
      </c>
      <c r="S151" s="5" t="s">
        <v>2763</v>
      </c>
      <c r="T151" s="5" t="s">
        <v>445</v>
      </c>
    </row>
    <row r="152" spans="3:20">
      <c r="C152" s="5" t="s">
        <v>1857</v>
      </c>
      <c r="F152" s="36" t="s">
        <v>297</v>
      </c>
      <c r="G152" s="5" t="s">
        <v>298</v>
      </c>
      <c r="I152" s="6">
        <v>-1405000</v>
      </c>
      <c r="J152" s="62">
        <v>-1000</v>
      </c>
      <c r="K152" s="62">
        <v>1405</v>
      </c>
      <c r="L152" s="62" t="s">
        <v>2753</v>
      </c>
      <c r="M152" s="100" t="s">
        <v>452</v>
      </c>
      <c r="N152" s="5" t="s">
        <v>464</v>
      </c>
      <c r="O152" s="34" t="s">
        <v>2792</v>
      </c>
      <c r="P152" s="5" t="s">
        <v>2665</v>
      </c>
      <c r="Q152" s="5" t="s">
        <v>2793</v>
      </c>
      <c r="R152" s="5" t="s">
        <v>2794</v>
      </c>
      <c r="S152" s="5" t="s">
        <v>2795</v>
      </c>
      <c r="T152" s="5" t="s">
        <v>445</v>
      </c>
    </row>
    <row r="153" spans="3:20">
      <c r="C153" s="5" t="s">
        <v>1857</v>
      </c>
      <c r="F153" s="36" t="s">
        <v>297</v>
      </c>
      <c r="G153" s="5" t="s">
        <v>298</v>
      </c>
      <c r="I153" s="6">
        <v>-2212875</v>
      </c>
      <c r="J153" s="62">
        <v>-1575</v>
      </c>
      <c r="K153" s="62">
        <v>1405</v>
      </c>
      <c r="L153" s="62" t="s">
        <v>2753</v>
      </c>
      <c r="M153" s="100" t="s">
        <v>452</v>
      </c>
      <c r="N153" s="5" t="s">
        <v>464</v>
      </c>
      <c r="O153" s="34" t="s">
        <v>2792</v>
      </c>
      <c r="P153" s="5" t="s">
        <v>2665</v>
      </c>
      <c r="Q153" s="5" t="s">
        <v>2793</v>
      </c>
      <c r="R153" s="5" t="s">
        <v>2796</v>
      </c>
      <c r="S153" s="5" t="s">
        <v>2795</v>
      </c>
      <c r="T153" s="5" t="s">
        <v>445</v>
      </c>
    </row>
    <row r="154" spans="3:20">
      <c r="C154" s="5" t="s">
        <v>1857</v>
      </c>
      <c r="F154" s="36" t="s">
        <v>297</v>
      </c>
      <c r="G154" s="5" t="s">
        <v>298</v>
      </c>
      <c r="I154" s="6">
        <v>-1475250</v>
      </c>
      <c r="J154" s="62">
        <v>-1050</v>
      </c>
      <c r="K154" s="62">
        <v>1405</v>
      </c>
      <c r="L154" s="62" t="s">
        <v>2777</v>
      </c>
      <c r="M154" s="100" t="s">
        <v>452</v>
      </c>
      <c r="N154" s="5" t="s">
        <v>464</v>
      </c>
      <c r="O154" s="34" t="s">
        <v>2797</v>
      </c>
      <c r="P154" s="5" t="s">
        <v>2665</v>
      </c>
      <c r="Q154" s="5" t="s">
        <v>2798</v>
      </c>
      <c r="R154" s="5" t="s">
        <v>2799</v>
      </c>
      <c r="S154" s="5" t="s">
        <v>2800</v>
      </c>
      <c r="T154" s="5" t="s">
        <v>445</v>
      </c>
    </row>
    <row r="155" spans="3:20">
      <c r="C155" s="5" t="s">
        <v>1857</v>
      </c>
      <c r="F155" s="36" t="s">
        <v>297</v>
      </c>
      <c r="G155" s="5" t="s">
        <v>298</v>
      </c>
      <c r="I155" s="6">
        <v>-1405000</v>
      </c>
      <c r="J155" s="62">
        <v>-1000</v>
      </c>
      <c r="K155" s="62">
        <v>1405</v>
      </c>
      <c r="L155" s="62" t="s">
        <v>2777</v>
      </c>
      <c r="M155" s="100" t="s">
        <v>452</v>
      </c>
      <c r="N155" s="5" t="s">
        <v>464</v>
      </c>
      <c r="O155" s="34" t="s">
        <v>2797</v>
      </c>
      <c r="P155" s="5" t="s">
        <v>2665</v>
      </c>
      <c r="Q155" s="5" t="s">
        <v>2798</v>
      </c>
      <c r="R155" s="5" t="s">
        <v>2801</v>
      </c>
      <c r="S155" s="5" t="s">
        <v>2800</v>
      </c>
      <c r="T155" s="5" t="s">
        <v>445</v>
      </c>
    </row>
    <row r="156" spans="3:20">
      <c r="C156" s="5" t="s">
        <v>1857</v>
      </c>
      <c r="F156" s="36" t="s">
        <v>297</v>
      </c>
      <c r="G156" s="5" t="s">
        <v>298</v>
      </c>
      <c r="I156" s="6">
        <v>-273975</v>
      </c>
      <c r="J156" s="62">
        <v>-195</v>
      </c>
      <c r="K156" s="62">
        <v>1405</v>
      </c>
      <c r="L156" s="62" t="s">
        <v>2753</v>
      </c>
      <c r="M156" s="100" t="s">
        <v>452</v>
      </c>
      <c r="N156" s="5" t="s">
        <v>464</v>
      </c>
      <c r="O156" s="34" t="s">
        <v>2792</v>
      </c>
      <c r="P156" s="5" t="s">
        <v>2665</v>
      </c>
      <c r="Q156" s="5" t="s">
        <v>2793</v>
      </c>
      <c r="R156" s="5" t="s">
        <v>2802</v>
      </c>
      <c r="S156" s="5" t="s">
        <v>2795</v>
      </c>
      <c r="T156" s="5" t="s">
        <v>445</v>
      </c>
    </row>
    <row r="157" spans="3:20">
      <c r="C157" s="5" t="s">
        <v>1857</v>
      </c>
      <c r="F157" s="36" t="s">
        <v>297</v>
      </c>
      <c r="G157" s="5" t="s">
        <v>298</v>
      </c>
      <c r="I157" s="6">
        <v>-1299625</v>
      </c>
      <c r="J157" s="62">
        <v>-925</v>
      </c>
      <c r="K157" s="62">
        <v>1405</v>
      </c>
      <c r="L157" s="62" t="s">
        <v>2753</v>
      </c>
      <c r="M157" s="100" t="s">
        <v>452</v>
      </c>
      <c r="N157" s="5" t="s">
        <v>464</v>
      </c>
      <c r="O157" s="34" t="s">
        <v>2792</v>
      </c>
      <c r="P157" s="5" t="s">
        <v>2665</v>
      </c>
      <c r="Q157" s="5" t="s">
        <v>2793</v>
      </c>
      <c r="R157" s="5" t="s">
        <v>2803</v>
      </c>
      <c r="S157" s="5" t="s">
        <v>2795</v>
      </c>
      <c r="T157" s="5" t="s">
        <v>445</v>
      </c>
    </row>
    <row r="158" spans="3:20">
      <c r="C158" s="5" t="s">
        <v>1857</v>
      </c>
      <c r="F158" s="36" t="s">
        <v>297</v>
      </c>
      <c r="G158" s="5" t="s">
        <v>298</v>
      </c>
      <c r="I158" s="6">
        <v>-4777000</v>
      </c>
      <c r="J158" s="62">
        <v>-3400</v>
      </c>
      <c r="K158" s="62">
        <v>1405</v>
      </c>
      <c r="L158" s="62" t="s">
        <v>2753</v>
      </c>
      <c r="M158" s="100" t="s">
        <v>452</v>
      </c>
      <c r="N158" s="5" t="s">
        <v>464</v>
      </c>
      <c r="O158" s="34" t="s">
        <v>2792</v>
      </c>
      <c r="P158" s="5" t="s">
        <v>2665</v>
      </c>
      <c r="Q158" s="5" t="s">
        <v>2793</v>
      </c>
      <c r="R158" s="5" t="s">
        <v>2804</v>
      </c>
      <c r="S158" s="5" t="s">
        <v>2795</v>
      </c>
      <c r="T158" s="5" t="s">
        <v>445</v>
      </c>
    </row>
    <row r="159" spans="3:20">
      <c r="C159" s="5" t="s">
        <v>1857</v>
      </c>
      <c r="F159" s="36" t="s">
        <v>297</v>
      </c>
      <c r="G159" s="5" t="s">
        <v>298</v>
      </c>
      <c r="I159" s="6">
        <v>-309100</v>
      </c>
      <c r="J159" s="62">
        <v>-220</v>
      </c>
      <c r="K159" s="62">
        <v>1405</v>
      </c>
      <c r="L159" s="62" t="s">
        <v>2777</v>
      </c>
      <c r="M159" s="100" t="s">
        <v>452</v>
      </c>
      <c r="N159" s="5" t="s">
        <v>464</v>
      </c>
      <c r="O159" s="34" t="s">
        <v>2797</v>
      </c>
      <c r="P159" s="5" t="s">
        <v>2665</v>
      </c>
      <c r="Q159" s="5" t="s">
        <v>2798</v>
      </c>
      <c r="R159" s="5" t="s">
        <v>2805</v>
      </c>
      <c r="S159" s="5" t="s">
        <v>2800</v>
      </c>
      <c r="T159" s="5" t="s">
        <v>445</v>
      </c>
    </row>
    <row r="160" spans="3:20">
      <c r="C160" s="5" t="s">
        <v>1857</v>
      </c>
      <c r="F160" s="36" t="s">
        <v>297</v>
      </c>
      <c r="G160" s="5" t="s">
        <v>298</v>
      </c>
      <c r="I160" s="6">
        <v>-365300</v>
      </c>
      <c r="J160" s="62">
        <v>-260</v>
      </c>
      <c r="K160" s="62">
        <v>1405</v>
      </c>
      <c r="L160" s="62" t="s">
        <v>2777</v>
      </c>
      <c r="M160" s="100" t="s">
        <v>452</v>
      </c>
      <c r="N160" s="5" t="s">
        <v>464</v>
      </c>
      <c r="O160" s="34" t="s">
        <v>2797</v>
      </c>
      <c r="P160" s="5" t="s">
        <v>2665</v>
      </c>
      <c r="Q160" s="5" t="s">
        <v>2798</v>
      </c>
      <c r="R160" s="5" t="s">
        <v>2806</v>
      </c>
      <c r="S160" s="5" t="s">
        <v>2800</v>
      </c>
      <c r="T160" s="5" t="s">
        <v>445</v>
      </c>
    </row>
    <row r="161" spans="3:20">
      <c r="C161" s="5" t="s">
        <v>1857</v>
      </c>
      <c r="F161" s="36" t="s">
        <v>297</v>
      </c>
      <c r="G161" s="5" t="s">
        <v>298</v>
      </c>
      <c r="I161" s="6">
        <v>-843000</v>
      </c>
      <c r="J161" s="62">
        <v>-600</v>
      </c>
      <c r="K161" s="62">
        <v>1405</v>
      </c>
      <c r="L161" s="62" t="s">
        <v>2777</v>
      </c>
      <c r="M161" s="100" t="s">
        <v>452</v>
      </c>
      <c r="N161" s="5" t="s">
        <v>464</v>
      </c>
      <c r="O161" s="34" t="s">
        <v>2797</v>
      </c>
      <c r="P161" s="5" t="s">
        <v>2665</v>
      </c>
      <c r="Q161" s="5" t="s">
        <v>2798</v>
      </c>
      <c r="R161" s="5" t="s">
        <v>2807</v>
      </c>
      <c r="S161" s="5" t="s">
        <v>2800</v>
      </c>
      <c r="T161" s="5" t="s">
        <v>445</v>
      </c>
    </row>
    <row r="162" spans="3:20">
      <c r="C162" s="5" t="s">
        <v>1857</v>
      </c>
      <c r="F162" s="36" t="s">
        <v>297</v>
      </c>
      <c r="G162" s="5" t="s">
        <v>298</v>
      </c>
      <c r="I162" s="6">
        <v>-702500</v>
      </c>
      <c r="J162" s="62">
        <v>-500</v>
      </c>
      <c r="K162" s="62">
        <v>1405</v>
      </c>
      <c r="L162" s="62" t="s">
        <v>2753</v>
      </c>
      <c r="M162" s="100" t="s">
        <v>452</v>
      </c>
      <c r="N162" s="5" t="s">
        <v>464</v>
      </c>
      <c r="O162" s="34" t="s">
        <v>2792</v>
      </c>
      <c r="P162" s="5" t="s">
        <v>2665</v>
      </c>
      <c r="Q162" s="5" t="s">
        <v>2793</v>
      </c>
      <c r="R162" s="5" t="s">
        <v>2808</v>
      </c>
      <c r="S162" s="5" t="s">
        <v>2795</v>
      </c>
      <c r="T162" s="5" t="s">
        <v>445</v>
      </c>
    </row>
    <row r="163" spans="3:20">
      <c r="C163" s="5" t="s">
        <v>1857</v>
      </c>
      <c r="F163" s="36" t="s">
        <v>1380</v>
      </c>
      <c r="G163" s="5" t="s">
        <v>1381</v>
      </c>
      <c r="I163" s="6">
        <v>702500</v>
      </c>
      <c r="J163" s="62">
        <v>500</v>
      </c>
      <c r="K163" s="62">
        <v>1405</v>
      </c>
      <c r="L163" s="62" t="s">
        <v>2759</v>
      </c>
      <c r="M163" s="100" t="s">
        <v>1382</v>
      </c>
      <c r="N163" s="5" t="s">
        <v>464</v>
      </c>
      <c r="O163" s="34" t="s">
        <v>2809</v>
      </c>
      <c r="P163" s="5" t="s">
        <v>2810</v>
      </c>
      <c r="Q163" s="5" t="s">
        <v>2811</v>
      </c>
      <c r="R163" s="5" t="s">
        <v>2812</v>
      </c>
      <c r="S163" s="5" t="s">
        <v>2813</v>
      </c>
      <c r="T163" s="5" t="s">
        <v>445</v>
      </c>
    </row>
    <row r="164" spans="3:20">
      <c r="C164" s="5" t="s">
        <v>1857</v>
      </c>
      <c r="F164" s="36" t="s">
        <v>1380</v>
      </c>
      <c r="G164" s="5" t="s">
        <v>1381</v>
      </c>
      <c r="I164" s="6">
        <v>-702500</v>
      </c>
      <c r="J164" s="62">
        <v>-500</v>
      </c>
      <c r="K164" s="62">
        <v>1405</v>
      </c>
      <c r="L164" s="62" t="s">
        <v>2669</v>
      </c>
      <c r="M164" s="100" t="s">
        <v>1416</v>
      </c>
      <c r="N164" s="5" t="s">
        <v>464</v>
      </c>
      <c r="O164" s="34" t="s">
        <v>2749</v>
      </c>
      <c r="P164" s="5" t="s">
        <v>2750</v>
      </c>
      <c r="Q164" s="5" t="s">
        <v>2751</v>
      </c>
      <c r="R164" s="5" t="s">
        <v>2751</v>
      </c>
      <c r="S164" s="5" t="s">
        <v>2752</v>
      </c>
      <c r="T164" s="5" t="s">
        <v>445</v>
      </c>
    </row>
    <row r="165" spans="3:20">
      <c r="C165" s="5" t="s">
        <v>1857</v>
      </c>
      <c r="F165" s="36" t="s">
        <v>299</v>
      </c>
      <c r="G165" s="5" t="s">
        <v>300</v>
      </c>
      <c r="I165" s="6">
        <v>533900</v>
      </c>
      <c r="J165" s="62">
        <v>380</v>
      </c>
      <c r="K165" s="62">
        <v>1405</v>
      </c>
      <c r="L165" s="62" t="s">
        <v>2674</v>
      </c>
      <c r="M165" s="100" t="s">
        <v>452</v>
      </c>
      <c r="N165" s="5" t="s">
        <v>464</v>
      </c>
      <c r="O165" s="34" t="s">
        <v>2722</v>
      </c>
      <c r="P165" s="5" t="s">
        <v>2665</v>
      </c>
      <c r="Q165" s="5" t="s">
        <v>2723</v>
      </c>
      <c r="R165" s="5" t="s">
        <v>2724</v>
      </c>
      <c r="S165" s="5" t="s">
        <v>2725</v>
      </c>
      <c r="T165" s="5" t="s">
        <v>445</v>
      </c>
    </row>
    <row r="166" spans="3:20">
      <c r="C166" s="5" t="s">
        <v>1857</v>
      </c>
      <c r="F166" s="36" t="s">
        <v>301</v>
      </c>
      <c r="G166" s="5" t="s">
        <v>302</v>
      </c>
      <c r="I166" s="6">
        <v>113400</v>
      </c>
      <c r="J166" s="62">
        <v>79.8591549295775</v>
      </c>
      <c r="K166" s="62">
        <v>1419.9999999999993</v>
      </c>
      <c r="L166" s="62" t="s">
        <v>2663</v>
      </c>
      <c r="M166" s="100" t="s">
        <v>452</v>
      </c>
      <c r="N166" s="5" t="s">
        <v>464</v>
      </c>
      <c r="O166" s="34" t="s">
        <v>2664</v>
      </c>
      <c r="P166" s="5" t="s">
        <v>2665</v>
      </c>
      <c r="Q166" s="5" t="s">
        <v>2666</v>
      </c>
      <c r="R166" s="5" t="s">
        <v>2667</v>
      </c>
      <c r="S166" s="5" t="s">
        <v>2668</v>
      </c>
      <c r="T166" s="5" t="s">
        <v>445</v>
      </c>
    </row>
    <row r="167" spans="3:20">
      <c r="C167" s="5" t="s">
        <v>1857</v>
      </c>
      <c r="F167" s="36" t="s">
        <v>303</v>
      </c>
      <c r="G167" s="5" t="s">
        <v>304</v>
      </c>
      <c r="I167" s="6">
        <v>-1369875</v>
      </c>
      <c r="J167" s="62">
        <v>-975</v>
      </c>
      <c r="K167" s="62">
        <v>1405</v>
      </c>
      <c r="L167" s="62" t="s">
        <v>2693</v>
      </c>
      <c r="M167" s="100" t="s">
        <v>452</v>
      </c>
      <c r="N167" s="5" t="s">
        <v>464</v>
      </c>
      <c r="O167" s="34" t="s">
        <v>2717</v>
      </c>
      <c r="P167" s="5" t="s">
        <v>2665</v>
      </c>
      <c r="Q167" s="5" t="s">
        <v>2718</v>
      </c>
      <c r="R167" s="5" t="s">
        <v>2719</v>
      </c>
      <c r="S167" s="5" t="s">
        <v>2720</v>
      </c>
      <c r="T167" s="5" t="s">
        <v>445</v>
      </c>
    </row>
    <row r="168" spans="3:20">
      <c r="C168" s="5" t="s">
        <v>1857</v>
      </c>
      <c r="F168" s="36" t="s">
        <v>303</v>
      </c>
      <c r="G168" s="5" t="s">
        <v>304</v>
      </c>
      <c r="I168" s="6">
        <v>-5591900</v>
      </c>
      <c r="J168" s="62">
        <v>-3980</v>
      </c>
      <c r="K168" s="62">
        <v>1405</v>
      </c>
      <c r="L168" s="62" t="s">
        <v>2693</v>
      </c>
      <c r="M168" s="100" t="s">
        <v>452</v>
      </c>
      <c r="N168" s="5" t="s">
        <v>464</v>
      </c>
      <c r="O168" s="34" t="s">
        <v>2717</v>
      </c>
      <c r="P168" s="5" t="s">
        <v>2665</v>
      </c>
      <c r="Q168" s="5" t="s">
        <v>2718</v>
      </c>
      <c r="R168" s="5" t="s">
        <v>2721</v>
      </c>
      <c r="S168" s="5" t="s">
        <v>2720</v>
      </c>
      <c r="T168" s="5" t="s">
        <v>445</v>
      </c>
    </row>
    <row r="169" spans="3:20">
      <c r="C169" s="5" t="s">
        <v>1857</v>
      </c>
      <c r="F169" s="36" t="s">
        <v>303</v>
      </c>
      <c r="G169" s="5" t="s">
        <v>304</v>
      </c>
      <c r="I169" s="6">
        <v>-4819150</v>
      </c>
      <c r="J169" s="62">
        <v>-3430</v>
      </c>
      <c r="K169" s="62">
        <v>1405</v>
      </c>
      <c r="L169" s="62" t="s">
        <v>2684</v>
      </c>
      <c r="M169" s="100" t="s">
        <v>452</v>
      </c>
      <c r="N169" s="5" t="s">
        <v>464</v>
      </c>
      <c r="O169" s="34" t="s">
        <v>2706</v>
      </c>
      <c r="P169" s="5" t="s">
        <v>2665</v>
      </c>
      <c r="Q169" s="5" t="s">
        <v>2707</v>
      </c>
      <c r="R169" s="5" t="s">
        <v>2726</v>
      </c>
      <c r="S169" s="5" t="s">
        <v>2709</v>
      </c>
      <c r="T169" s="5" t="s">
        <v>445</v>
      </c>
    </row>
    <row r="170" spans="3:20">
      <c r="C170" s="5" t="s">
        <v>1857</v>
      </c>
      <c r="F170" s="36" t="s">
        <v>303</v>
      </c>
      <c r="G170" s="5" t="s">
        <v>304</v>
      </c>
      <c r="I170" s="6">
        <v>-1299625</v>
      </c>
      <c r="J170" s="62">
        <v>-925</v>
      </c>
      <c r="K170" s="62">
        <v>1405</v>
      </c>
      <c r="L170" s="62" t="s">
        <v>2684</v>
      </c>
      <c r="M170" s="100" t="s">
        <v>452</v>
      </c>
      <c r="N170" s="5" t="s">
        <v>464</v>
      </c>
      <c r="O170" s="34" t="s">
        <v>2706</v>
      </c>
      <c r="P170" s="5" t="s">
        <v>2665</v>
      </c>
      <c r="Q170" s="5" t="s">
        <v>2707</v>
      </c>
      <c r="R170" s="5" t="s">
        <v>2727</v>
      </c>
      <c r="S170" s="5" t="s">
        <v>2709</v>
      </c>
      <c r="T170" s="5" t="s">
        <v>445</v>
      </c>
    </row>
    <row r="171" spans="3:20">
      <c r="C171" s="5" t="s">
        <v>1857</v>
      </c>
      <c r="F171" s="36" t="s">
        <v>303</v>
      </c>
      <c r="G171" s="5" t="s">
        <v>304</v>
      </c>
      <c r="I171" s="6">
        <v>-1313500</v>
      </c>
      <c r="J171" s="62">
        <v>-925</v>
      </c>
      <c r="K171" s="62">
        <v>1420</v>
      </c>
      <c r="L171" s="62" t="s">
        <v>2669</v>
      </c>
      <c r="M171" s="100" t="s">
        <v>452</v>
      </c>
      <c r="N171" s="5" t="s">
        <v>464</v>
      </c>
      <c r="O171" s="34" t="s">
        <v>2728</v>
      </c>
      <c r="P171" s="5" t="s">
        <v>2665</v>
      </c>
      <c r="Q171" s="5" t="s">
        <v>2729</v>
      </c>
      <c r="R171" s="5" t="s">
        <v>2730</v>
      </c>
      <c r="S171" s="5" t="s">
        <v>2731</v>
      </c>
      <c r="T171" s="5" t="s">
        <v>445</v>
      </c>
    </row>
    <row r="172" spans="3:20">
      <c r="C172" s="5" t="s">
        <v>1857</v>
      </c>
      <c r="F172" s="36" t="s">
        <v>303</v>
      </c>
      <c r="G172" s="5" t="s">
        <v>304</v>
      </c>
      <c r="I172" s="6">
        <v>-1611700</v>
      </c>
      <c r="J172" s="62">
        <v>-1135</v>
      </c>
      <c r="K172" s="62">
        <v>1420</v>
      </c>
      <c r="L172" s="62" t="s">
        <v>2669</v>
      </c>
      <c r="M172" s="100" t="s">
        <v>452</v>
      </c>
      <c r="N172" s="5" t="s">
        <v>464</v>
      </c>
      <c r="O172" s="34" t="s">
        <v>2728</v>
      </c>
      <c r="P172" s="5" t="s">
        <v>2665</v>
      </c>
      <c r="Q172" s="5" t="s">
        <v>2729</v>
      </c>
      <c r="R172" s="5" t="s">
        <v>2733</v>
      </c>
      <c r="S172" s="5" t="s">
        <v>2731</v>
      </c>
      <c r="T172" s="5" t="s">
        <v>445</v>
      </c>
    </row>
    <row r="173" spans="3:20">
      <c r="C173" s="5" t="s">
        <v>1857</v>
      </c>
      <c r="F173" s="36" t="s">
        <v>303</v>
      </c>
      <c r="G173" s="5" t="s">
        <v>304</v>
      </c>
      <c r="I173" s="6">
        <v>-625225</v>
      </c>
      <c r="J173" s="62">
        <v>-445</v>
      </c>
      <c r="K173" s="62">
        <v>1405</v>
      </c>
      <c r="L173" s="62" t="s">
        <v>2684</v>
      </c>
      <c r="M173" s="100" t="s">
        <v>452</v>
      </c>
      <c r="N173" s="5" t="s">
        <v>464</v>
      </c>
      <c r="O173" s="34" t="s">
        <v>2706</v>
      </c>
      <c r="P173" s="5" t="s">
        <v>2665</v>
      </c>
      <c r="Q173" s="5" t="s">
        <v>2707</v>
      </c>
      <c r="R173" s="5" t="s">
        <v>2735</v>
      </c>
      <c r="S173" s="5" t="s">
        <v>2709</v>
      </c>
      <c r="T173" s="5" t="s">
        <v>445</v>
      </c>
    </row>
    <row r="174" spans="3:20">
      <c r="C174" s="5" t="s">
        <v>1857</v>
      </c>
      <c r="F174" s="36" t="s">
        <v>1679</v>
      </c>
      <c r="G174" s="5" t="s">
        <v>1680</v>
      </c>
      <c r="I174" s="6">
        <v>702500</v>
      </c>
      <c r="J174" s="62">
        <v>500</v>
      </c>
      <c r="K174" s="62">
        <v>1405</v>
      </c>
      <c r="L174" s="62" t="s">
        <v>2753</v>
      </c>
      <c r="M174" s="100" t="s">
        <v>452</v>
      </c>
      <c r="N174" s="5" t="s">
        <v>464</v>
      </c>
      <c r="O174" s="34" t="s">
        <v>2792</v>
      </c>
      <c r="P174" s="5" t="s">
        <v>2665</v>
      </c>
      <c r="Q174" s="5" t="s">
        <v>2793</v>
      </c>
      <c r="R174" s="5" t="s">
        <v>2808</v>
      </c>
      <c r="S174" s="5" t="s">
        <v>2795</v>
      </c>
      <c r="T174" s="5" t="s">
        <v>445</v>
      </c>
    </row>
    <row r="175" spans="3:20">
      <c r="C175" s="5" t="s">
        <v>1857</v>
      </c>
      <c r="F175" s="36" t="s">
        <v>1679</v>
      </c>
      <c r="G175" s="5" t="s">
        <v>1680</v>
      </c>
      <c r="I175" s="6">
        <v>-702500</v>
      </c>
      <c r="J175" s="62">
        <v>-500</v>
      </c>
      <c r="K175" s="62">
        <v>1405</v>
      </c>
      <c r="L175" s="62" t="s">
        <v>2759</v>
      </c>
      <c r="M175" s="100" t="s">
        <v>1382</v>
      </c>
      <c r="N175" s="5" t="s">
        <v>464</v>
      </c>
      <c r="O175" s="34" t="s">
        <v>2809</v>
      </c>
      <c r="P175" s="5" t="s">
        <v>2810</v>
      </c>
      <c r="Q175" s="5" t="s">
        <v>2811</v>
      </c>
      <c r="R175" s="5" t="s">
        <v>2812</v>
      </c>
      <c r="S175" s="5" t="s">
        <v>2813</v>
      </c>
      <c r="T175" s="5" t="s">
        <v>445</v>
      </c>
    </row>
    <row r="176" spans="3:20">
      <c r="C176" s="5" t="s">
        <v>1857</v>
      </c>
      <c r="F176" s="36" t="s">
        <v>45</v>
      </c>
      <c r="G176" s="5" t="s">
        <v>44</v>
      </c>
      <c r="I176" s="6">
        <v>1405000</v>
      </c>
      <c r="J176" s="62">
        <v>1000</v>
      </c>
      <c r="K176" s="62">
        <v>1405</v>
      </c>
      <c r="L176" s="62" t="s">
        <v>2777</v>
      </c>
      <c r="M176" s="100" t="s">
        <v>452</v>
      </c>
      <c r="N176" s="5" t="s">
        <v>464</v>
      </c>
      <c r="O176" s="34" t="s">
        <v>2797</v>
      </c>
      <c r="P176" s="5" t="s">
        <v>2665</v>
      </c>
      <c r="Q176" s="5" t="s">
        <v>2798</v>
      </c>
      <c r="R176" s="5" t="s">
        <v>2801</v>
      </c>
      <c r="S176" s="5" t="s">
        <v>2800</v>
      </c>
      <c r="T176" s="5" t="s">
        <v>445</v>
      </c>
    </row>
    <row r="177" spans="3:20">
      <c r="C177" s="5" t="s">
        <v>1857</v>
      </c>
      <c r="F177" s="36" t="s">
        <v>45</v>
      </c>
      <c r="G177" s="5" t="s">
        <v>44</v>
      </c>
      <c r="I177" s="6">
        <v>1299625</v>
      </c>
      <c r="J177" s="62">
        <v>925</v>
      </c>
      <c r="K177" s="62">
        <v>1405</v>
      </c>
      <c r="L177" s="62" t="s">
        <v>2753</v>
      </c>
      <c r="M177" s="100" t="s">
        <v>452</v>
      </c>
      <c r="N177" s="5" t="s">
        <v>464</v>
      </c>
      <c r="O177" s="34" t="s">
        <v>2792</v>
      </c>
      <c r="P177" s="5" t="s">
        <v>2665</v>
      </c>
      <c r="Q177" s="5" t="s">
        <v>2793</v>
      </c>
      <c r="R177" s="5" t="s">
        <v>2803</v>
      </c>
      <c r="S177" s="5" t="s">
        <v>2795</v>
      </c>
      <c r="T177" s="5" t="s">
        <v>445</v>
      </c>
    </row>
    <row r="178" spans="3:20">
      <c r="C178" s="5" t="s">
        <v>1857</v>
      </c>
      <c r="F178" s="36" t="s">
        <v>45</v>
      </c>
      <c r="G178" s="5" t="s">
        <v>44</v>
      </c>
      <c r="I178" s="6">
        <v>1967000</v>
      </c>
      <c r="J178" s="62">
        <v>1400</v>
      </c>
      <c r="K178" s="62">
        <v>1405</v>
      </c>
      <c r="L178" s="62" t="s">
        <v>2674</v>
      </c>
      <c r="M178" s="100" t="s">
        <v>452</v>
      </c>
      <c r="N178" s="5" t="s">
        <v>464</v>
      </c>
      <c r="O178" s="34" t="s">
        <v>2722</v>
      </c>
      <c r="P178" s="5" t="s">
        <v>2665</v>
      </c>
      <c r="Q178" s="5" t="s">
        <v>2723</v>
      </c>
      <c r="R178" s="5" t="s">
        <v>2747</v>
      </c>
      <c r="S178" s="5" t="s">
        <v>2725</v>
      </c>
      <c r="T178" s="5" t="s">
        <v>445</v>
      </c>
    </row>
    <row r="179" spans="3:20">
      <c r="C179" s="5" t="s">
        <v>1857</v>
      </c>
      <c r="F179" s="36" t="s">
        <v>457</v>
      </c>
      <c r="G179" s="5" t="s">
        <v>458</v>
      </c>
      <c r="I179" s="6">
        <v>3.4</v>
      </c>
      <c r="J179" s="62">
        <v>0</v>
      </c>
      <c r="K179" s="62" t="e">
        <v>#DIV/0!</v>
      </c>
      <c r="L179" s="62" t="s">
        <v>2689</v>
      </c>
      <c r="M179" s="100" t="s">
        <v>452</v>
      </c>
      <c r="N179" s="5" t="s">
        <v>442</v>
      </c>
      <c r="O179" s="34" t="s">
        <v>2690</v>
      </c>
      <c r="P179" s="5" t="s">
        <v>2665</v>
      </c>
      <c r="Q179" s="5" t="s">
        <v>2691</v>
      </c>
      <c r="R179" s="5" t="s">
        <v>2691</v>
      </c>
      <c r="S179" s="5" t="s">
        <v>2692</v>
      </c>
      <c r="T179" s="5" t="s">
        <v>445</v>
      </c>
    </row>
    <row r="180" spans="3:20">
      <c r="C180" s="5" t="s">
        <v>1857</v>
      </c>
      <c r="F180" s="36" t="s">
        <v>457</v>
      </c>
      <c r="G180" s="5" t="s">
        <v>458</v>
      </c>
      <c r="I180" s="6">
        <v>0</v>
      </c>
      <c r="J180" s="62">
        <v>2.3999999999999998E-3</v>
      </c>
      <c r="K180" s="62">
        <v>0</v>
      </c>
      <c r="L180" s="62" t="s">
        <v>2689</v>
      </c>
      <c r="M180" s="100" t="s">
        <v>452</v>
      </c>
      <c r="N180" s="5" t="s">
        <v>442</v>
      </c>
      <c r="O180" s="34" t="s">
        <v>2690</v>
      </c>
      <c r="P180" s="5" t="s">
        <v>2665</v>
      </c>
      <c r="Q180" s="5" t="s">
        <v>2691</v>
      </c>
      <c r="R180" s="5" t="s">
        <v>2691</v>
      </c>
      <c r="S180" s="5" t="s">
        <v>2692</v>
      </c>
      <c r="T180" s="5" t="s">
        <v>445</v>
      </c>
    </row>
    <row r="181" spans="3:20">
      <c r="C181" s="5" t="s">
        <v>1857</v>
      </c>
      <c r="F181" s="36" t="s">
        <v>457</v>
      </c>
      <c r="G181" s="5" t="s">
        <v>458</v>
      </c>
      <c r="I181" s="6">
        <v>0</v>
      </c>
      <c r="J181" s="62">
        <v>5.0000000000000001E-3</v>
      </c>
      <c r="K181" s="62">
        <v>0</v>
      </c>
      <c r="L181" s="62" t="s">
        <v>2693</v>
      </c>
      <c r="M181" s="100" t="s">
        <v>452</v>
      </c>
      <c r="N181" s="5" t="s">
        <v>442</v>
      </c>
      <c r="O181" s="34" t="s">
        <v>2694</v>
      </c>
      <c r="P181" s="5" t="s">
        <v>2665</v>
      </c>
      <c r="Q181" s="5" t="s">
        <v>2695</v>
      </c>
      <c r="R181" s="5" t="s">
        <v>2695</v>
      </c>
      <c r="S181" s="5" t="s">
        <v>2696</v>
      </c>
      <c r="T181" s="5" t="s">
        <v>445</v>
      </c>
    </row>
    <row r="182" spans="3:20">
      <c r="C182" s="5" t="s">
        <v>1857</v>
      </c>
      <c r="F182" s="36" t="s">
        <v>457</v>
      </c>
      <c r="G182" s="5" t="s">
        <v>458</v>
      </c>
      <c r="I182" s="6">
        <v>7</v>
      </c>
      <c r="J182" s="62">
        <v>0</v>
      </c>
      <c r="K182" s="62" t="e">
        <v>#DIV/0!</v>
      </c>
      <c r="L182" s="62" t="s">
        <v>2693</v>
      </c>
      <c r="M182" s="100" t="s">
        <v>452</v>
      </c>
      <c r="N182" s="5" t="s">
        <v>442</v>
      </c>
      <c r="O182" s="34" t="s">
        <v>2694</v>
      </c>
      <c r="P182" s="5" t="s">
        <v>2665</v>
      </c>
      <c r="Q182" s="5" t="s">
        <v>2695</v>
      </c>
      <c r="R182" s="5" t="s">
        <v>2695</v>
      </c>
      <c r="S182" s="5" t="s">
        <v>2696</v>
      </c>
      <c r="T182" s="5" t="s">
        <v>445</v>
      </c>
    </row>
    <row r="183" spans="3:20">
      <c r="C183" s="5" t="s">
        <v>1857</v>
      </c>
      <c r="F183" s="36" t="s">
        <v>457</v>
      </c>
      <c r="G183" s="5" t="s">
        <v>458</v>
      </c>
      <c r="I183" s="6">
        <v>-4.5</v>
      </c>
      <c r="J183" s="62">
        <v>0</v>
      </c>
      <c r="K183" s="62" t="e">
        <v>#DIV/0!</v>
      </c>
      <c r="L183" s="62" t="s">
        <v>2674</v>
      </c>
      <c r="M183" s="100" t="s">
        <v>452</v>
      </c>
      <c r="N183" s="5" t="s">
        <v>442</v>
      </c>
      <c r="O183" s="34" t="s">
        <v>2697</v>
      </c>
      <c r="P183" s="5" t="s">
        <v>2665</v>
      </c>
      <c r="Q183" s="5" t="s">
        <v>2698</v>
      </c>
      <c r="R183" s="5" t="s">
        <v>2698</v>
      </c>
      <c r="S183" s="5" t="s">
        <v>2699</v>
      </c>
      <c r="T183" s="5" t="s">
        <v>445</v>
      </c>
    </row>
    <row r="184" spans="3:20">
      <c r="C184" s="5" t="s">
        <v>1857</v>
      </c>
      <c r="F184" s="36" t="s">
        <v>457</v>
      </c>
      <c r="G184" s="5" t="s">
        <v>458</v>
      </c>
      <c r="I184" s="6">
        <v>0</v>
      </c>
      <c r="J184" s="62">
        <v>-3.2000000000000002E-3</v>
      </c>
      <c r="K184" s="62">
        <v>0</v>
      </c>
      <c r="L184" s="62" t="s">
        <v>2674</v>
      </c>
      <c r="M184" s="100" t="s">
        <v>452</v>
      </c>
      <c r="N184" s="5" t="s">
        <v>442</v>
      </c>
      <c r="O184" s="34" t="s">
        <v>2697</v>
      </c>
      <c r="P184" s="5" t="s">
        <v>2665</v>
      </c>
      <c r="Q184" s="5" t="s">
        <v>2698</v>
      </c>
      <c r="R184" s="5" t="s">
        <v>2698</v>
      </c>
      <c r="S184" s="5" t="s">
        <v>2699</v>
      </c>
      <c r="T184" s="5" t="s">
        <v>445</v>
      </c>
    </row>
    <row r="185" spans="3:20">
      <c r="C185" s="5" t="s">
        <v>1857</v>
      </c>
      <c r="F185" s="36" t="s">
        <v>457</v>
      </c>
      <c r="G185" s="5" t="s">
        <v>458</v>
      </c>
      <c r="I185" s="6">
        <v>0</v>
      </c>
      <c r="J185" s="62">
        <v>-4.4000000000000003E-3</v>
      </c>
      <c r="K185" s="62">
        <v>0</v>
      </c>
      <c r="L185" s="62" t="s">
        <v>2684</v>
      </c>
      <c r="M185" s="100" t="s">
        <v>452</v>
      </c>
      <c r="N185" s="5" t="s">
        <v>442</v>
      </c>
      <c r="O185" s="34" t="s">
        <v>2700</v>
      </c>
      <c r="P185" s="5" t="s">
        <v>2665</v>
      </c>
      <c r="Q185" s="5" t="s">
        <v>2701</v>
      </c>
      <c r="R185" s="5" t="s">
        <v>2701</v>
      </c>
      <c r="S185" s="5" t="s">
        <v>2702</v>
      </c>
      <c r="T185" s="5" t="s">
        <v>445</v>
      </c>
    </row>
    <row r="186" spans="3:20">
      <c r="C186" s="5" t="s">
        <v>1857</v>
      </c>
      <c r="F186" s="36" t="s">
        <v>457</v>
      </c>
      <c r="G186" s="5" t="s">
        <v>458</v>
      </c>
      <c r="I186" s="6">
        <v>-6.15</v>
      </c>
      <c r="J186" s="62">
        <v>0</v>
      </c>
      <c r="K186" s="62" t="e">
        <v>#DIV/0!</v>
      </c>
      <c r="L186" s="62" t="s">
        <v>2684</v>
      </c>
      <c r="M186" s="100" t="s">
        <v>452</v>
      </c>
      <c r="N186" s="5" t="s">
        <v>442</v>
      </c>
      <c r="O186" s="34" t="s">
        <v>2700</v>
      </c>
      <c r="P186" s="5" t="s">
        <v>2665</v>
      </c>
      <c r="Q186" s="5" t="s">
        <v>2701</v>
      </c>
      <c r="R186" s="5" t="s">
        <v>2701</v>
      </c>
      <c r="S186" s="5" t="s">
        <v>2702</v>
      </c>
      <c r="T186" s="5" t="s">
        <v>445</v>
      </c>
    </row>
    <row r="187" spans="3:20">
      <c r="C187" s="5" t="s">
        <v>1857</v>
      </c>
      <c r="F187" s="36" t="s">
        <v>457</v>
      </c>
      <c r="G187" s="5" t="s">
        <v>458</v>
      </c>
      <c r="I187" s="6">
        <v>0</v>
      </c>
      <c r="J187" s="62">
        <v>2.3E-3</v>
      </c>
      <c r="K187" s="62">
        <v>0</v>
      </c>
      <c r="L187" s="62" t="s">
        <v>2663</v>
      </c>
      <c r="M187" s="100" t="s">
        <v>452</v>
      </c>
      <c r="N187" s="5" t="s">
        <v>442</v>
      </c>
      <c r="O187" s="34" t="s">
        <v>2703</v>
      </c>
      <c r="P187" s="5" t="s">
        <v>2665</v>
      </c>
      <c r="Q187" s="5" t="s">
        <v>2704</v>
      </c>
      <c r="R187" s="5" t="s">
        <v>2704</v>
      </c>
      <c r="S187" s="5" t="s">
        <v>2705</v>
      </c>
      <c r="T187" s="5" t="s">
        <v>445</v>
      </c>
    </row>
    <row r="188" spans="3:20">
      <c r="C188" s="5" t="s">
        <v>1857</v>
      </c>
      <c r="F188" s="36" t="s">
        <v>457</v>
      </c>
      <c r="G188" s="5" t="s">
        <v>458</v>
      </c>
      <c r="I188" s="6">
        <v>3.2</v>
      </c>
      <c r="J188" s="62">
        <v>0</v>
      </c>
      <c r="K188" s="62" t="e">
        <v>#DIV/0!</v>
      </c>
      <c r="L188" s="62" t="s">
        <v>2663</v>
      </c>
      <c r="M188" s="100" t="s">
        <v>452</v>
      </c>
      <c r="N188" s="5" t="s">
        <v>442</v>
      </c>
      <c r="O188" s="34" t="s">
        <v>2703</v>
      </c>
      <c r="P188" s="5" t="s">
        <v>2665</v>
      </c>
      <c r="Q188" s="5" t="s">
        <v>2704</v>
      </c>
      <c r="R188" s="5" t="s">
        <v>2704</v>
      </c>
      <c r="S188" s="5" t="s">
        <v>2705</v>
      </c>
      <c r="T188" s="5" t="s">
        <v>445</v>
      </c>
    </row>
    <row r="189" spans="3:20">
      <c r="C189" s="5" t="s">
        <v>1857</v>
      </c>
      <c r="F189" s="36" t="s">
        <v>320</v>
      </c>
      <c r="G189" s="5" t="s">
        <v>321</v>
      </c>
      <c r="I189" s="6">
        <v>45979.6</v>
      </c>
      <c r="J189" s="62">
        <v>32.380000000000003</v>
      </c>
      <c r="K189" s="62">
        <v>1419.9999999999998</v>
      </c>
      <c r="L189" s="62" t="s">
        <v>2669</v>
      </c>
      <c r="M189" s="100" t="s">
        <v>452</v>
      </c>
      <c r="N189" s="5" t="s">
        <v>464</v>
      </c>
      <c r="O189" s="34" t="s">
        <v>2710</v>
      </c>
      <c r="P189" s="5" t="s">
        <v>2665</v>
      </c>
      <c r="Q189" s="5" t="s">
        <v>2711</v>
      </c>
      <c r="R189" s="5" t="s">
        <v>2732</v>
      </c>
      <c r="S189" s="5" t="s">
        <v>2713</v>
      </c>
      <c r="T189" s="5" t="s">
        <v>445</v>
      </c>
    </row>
    <row r="190" spans="3:20">
      <c r="C190" s="5" t="s">
        <v>1857</v>
      </c>
      <c r="F190" s="36" t="s">
        <v>320</v>
      </c>
      <c r="G190" s="5" t="s">
        <v>321</v>
      </c>
      <c r="I190" s="6">
        <v>56416.6</v>
      </c>
      <c r="J190" s="62">
        <v>39.729999999999997</v>
      </c>
      <c r="K190" s="62">
        <v>1420</v>
      </c>
      <c r="L190" s="62" t="s">
        <v>2669</v>
      </c>
      <c r="M190" s="100" t="s">
        <v>452</v>
      </c>
      <c r="N190" s="5" t="s">
        <v>464</v>
      </c>
      <c r="O190" s="34" t="s">
        <v>2710</v>
      </c>
      <c r="P190" s="5" t="s">
        <v>2665</v>
      </c>
      <c r="Q190" s="5" t="s">
        <v>2711</v>
      </c>
      <c r="R190" s="5" t="s">
        <v>2734</v>
      </c>
      <c r="S190" s="5" t="s">
        <v>2713</v>
      </c>
      <c r="T190" s="5" t="s">
        <v>445</v>
      </c>
    </row>
    <row r="191" spans="3:20">
      <c r="C191" s="5" t="s">
        <v>1857</v>
      </c>
      <c r="F191" s="36" t="s">
        <v>320</v>
      </c>
      <c r="G191" s="5" t="s">
        <v>321</v>
      </c>
      <c r="I191" s="6">
        <v>-24850</v>
      </c>
      <c r="J191" s="62">
        <v>-17.5</v>
      </c>
      <c r="K191" s="62">
        <v>1420</v>
      </c>
      <c r="L191" s="62" t="s">
        <v>2669</v>
      </c>
      <c r="M191" s="100" t="s">
        <v>452</v>
      </c>
      <c r="N191" s="5" t="s">
        <v>464</v>
      </c>
      <c r="O191" s="34" t="s">
        <v>2736</v>
      </c>
      <c r="P191" s="5" t="s">
        <v>2665</v>
      </c>
      <c r="Q191" s="5" t="s">
        <v>2737</v>
      </c>
      <c r="R191" s="5" t="s">
        <v>2738</v>
      </c>
      <c r="S191" s="5" t="s">
        <v>2739</v>
      </c>
      <c r="T191" s="5" t="s">
        <v>445</v>
      </c>
    </row>
    <row r="192" spans="3:20">
      <c r="C192" s="5" t="s">
        <v>1857</v>
      </c>
      <c r="F192" s="36" t="s">
        <v>320</v>
      </c>
      <c r="G192" s="5" t="s">
        <v>321</v>
      </c>
      <c r="I192" s="6">
        <v>25716.2</v>
      </c>
      <c r="J192" s="62">
        <v>18.11</v>
      </c>
      <c r="K192" s="62">
        <v>1420</v>
      </c>
      <c r="L192" s="62" t="s">
        <v>2669</v>
      </c>
      <c r="M192" s="100" t="s">
        <v>452</v>
      </c>
      <c r="N192" s="5" t="s">
        <v>464</v>
      </c>
      <c r="O192" s="34" t="s">
        <v>2710</v>
      </c>
      <c r="P192" s="5" t="s">
        <v>2665</v>
      </c>
      <c r="Q192" s="5" t="s">
        <v>2711</v>
      </c>
      <c r="R192" s="5" t="s">
        <v>2740</v>
      </c>
      <c r="S192" s="5" t="s">
        <v>2713</v>
      </c>
      <c r="T192" s="5" t="s">
        <v>445</v>
      </c>
    </row>
    <row r="193" spans="1:256">
      <c r="C193" s="5" t="s">
        <v>1857</v>
      </c>
      <c r="F193" s="36" t="s">
        <v>320</v>
      </c>
      <c r="G193" s="5" t="s">
        <v>321</v>
      </c>
      <c r="I193" s="6">
        <v>426000</v>
      </c>
      <c r="J193" s="62">
        <v>300</v>
      </c>
      <c r="K193" s="62">
        <v>1420</v>
      </c>
      <c r="L193" s="62" t="s">
        <v>2663</v>
      </c>
      <c r="M193" s="100" t="s">
        <v>452</v>
      </c>
      <c r="N193" s="5" t="s">
        <v>464</v>
      </c>
      <c r="O193" s="34" t="s">
        <v>2741</v>
      </c>
      <c r="P193" s="5" t="s">
        <v>2665</v>
      </c>
      <c r="Q193" s="5" t="s">
        <v>2742</v>
      </c>
      <c r="R193" s="5" t="s">
        <v>2745</v>
      </c>
      <c r="S193" s="5" t="s">
        <v>2744</v>
      </c>
      <c r="T193" s="5" t="s">
        <v>445</v>
      </c>
    </row>
    <row r="194" spans="1:256">
      <c r="C194" s="5" t="s">
        <v>1857</v>
      </c>
      <c r="F194" s="36" t="s">
        <v>320</v>
      </c>
      <c r="G194" s="5" t="s">
        <v>321</v>
      </c>
      <c r="I194" s="6">
        <v>12240.4</v>
      </c>
      <c r="J194" s="62">
        <v>8.6199999999999992</v>
      </c>
      <c r="K194" s="62">
        <v>1420</v>
      </c>
      <c r="L194" s="62" t="s">
        <v>2669</v>
      </c>
      <c r="M194" s="100" t="s">
        <v>452</v>
      </c>
      <c r="N194" s="5" t="s">
        <v>464</v>
      </c>
      <c r="O194" s="34" t="s">
        <v>2710</v>
      </c>
      <c r="P194" s="5" t="s">
        <v>2665</v>
      </c>
      <c r="Q194" s="5" t="s">
        <v>2711</v>
      </c>
      <c r="R194" s="5" t="s">
        <v>2748</v>
      </c>
      <c r="S194" s="5" t="s">
        <v>2713</v>
      </c>
      <c r="T194" s="5" t="s">
        <v>445</v>
      </c>
    </row>
    <row r="195" spans="1:256">
      <c r="C195" s="5" t="s">
        <v>1857</v>
      </c>
      <c r="F195" s="36" t="s">
        <v>2814</v>
      </c>
      <c r="G195" s="5" t="s">
        <v>2815</v>
      </c>
      <c r="I195" s="6">
        <v>-2212875</v>
      </c>
      <c r="J195" s="62">
        <v>-1575</v>
      </c>
      <c r="K195" s="62">
        <v>1405</v>
      </c>
      <c r="L195" s="62" t="s">
        <v>2684</v>
      </c>
      <c r="M195" s="100" t="s">
        <v>452</v>
      </c>
      <c r="N195" s="5" t="s">
        <v>464</v>
      </c>
      <c r="O195" s="34" t="s">
        <v>2706</v>
      </c>
      <c r="P195" s="5" t="s">
        <v>2665</v>
      </c>
      <c r="Q195" s="5" t="s">
        <v>2707</v>
      </c>
      <c r="R195" s="5" t="s">
        <v>2708</v>
      </c>
      <c r="S195" s="5" t="s">
        <v>2709</v>
      </c>
      <c r="T195" s="5" t="s">
        <v>445</v>
      </c>
    </row>
    <row r="196" spans="1:256">
      <c r="I196" s="6"/>
      <c r="L196" s="62"/>
      <c r="M196" s="100"/>
      <c r="N196" s="5"/>
      <c r="O196" s="34"/>
    </row>
    <row r="197" spans="1:256" ht="28">
      <c r="A197" s="328" t="s">
        <v>2829</v>
      </c>
      <c r="B197" s="325"/>
      <c r="C197" s="325" t="s">
        <v>1857</v>
      </c>
      <c r="D197" s="329"/>
      <c r="E197" s="330"/>
      <c r="F197" s="325" t="s">
        <v>324</v>
      </c>
      <c r="G197" s="325" t="s">
        <v>325</v>
      </c>
      <c r="H197" s="325"/>
      <c r="I197" s="343">
        <v>1278000</v>
      </c>
      <c r="J197" s="331">
        <v>900</v>
      </c>
      <c r="K197" s="331">
        <v>1420</v>
      </c>
      <c r="L197" s="331" t="s">
        <v>2663</v>
      </c>
      <c r="M197" s="326" t="s">
        <v>452</v>
      </c>
      <c r="N197" s="325" t="s">
        <v>464</v>
      </c>
      <c r="O197" s="329" t="s">
        <v>2741</v>
      </c>
      <c r="P197" s="325" t="s">
        <v>2665</v>
      </c>
      <c r="Q197" s="325" t="s">
        <v>2742</v>
      </c>
      <c r="R197" s="325" t="s">
        <v>2746</v>
      </c>
      <c r="S197" s="325" t="s">
        <v>2744</v>
      </c>
      <c r="T197" s="325" t="s">
        <v>445</v>
      </c>
    </row>
    <row r="199" spans="1:256" ht="15">
      <c r="A199" s="5"/>
      <c r="B199" s="103"/>
      <c r="C199" s="103"/>
      <c r="D199" s="103"/>
      <c r="F199" s="105"/>
      <c r="G199" s="103"/>
      <c r="H199" s="103"/>
      <c r="I199" s="106"/>
      <c r="J199" s="106"/>
      <c r="K199" s="106"/>
      <c r="L199" s="65"/>
      <c r="M199" s="65"/>
      <c r="N199" s="5"/>
      <c r="X199" s="6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03"/>
      <c r="BY199" s="103"/>
      <c r="BZ199" s="103"/>
      <c r="CA199" s="103"/>
      <c r="CB199" s="103"/>
      <c r="CC199" s="103"/>
      <c r="CD199" s="103"/>
      <c r="CE199" s="103"/>
      <c r="CF199" s="103"/>
      <c r="CG199" s="103"/>
      <c r="CH199" s="103"/>
      <c r="CI199" s="103"/>
      <c r="CJ199" s="103"/>
      <c r="CK199" s="103"/>
      <c r="CL199" s="103"/>
      <c r="CM199" s="103"/>
      <c r="CN199" s="103"/>
      <c r="CO199" s="103"/>
      <c r="CP199" s="103"/>
      <c r="CQ199" s="103"/>
      <c r="CR199" s="103"/>
      <c r="CS199" s="103"/>
      <c r="CT199" s="103"/>
      <c r="CU199" s="103"/>
      <c r="CV199" s="103"/>
      <c r="CW199" s="103"/>
      <c r="CX199" s="103"/>
      <c r="CY199" s="103"/>
      <c r="CZ199" s="103"/>
      <c r="DA199" s="103"/>
      <c r="DB199" s="103"/>
      <c r="DC199" s="103"/>
      <c r="DD199" s="103"/>
      <c r="DE199" s="103"/>
      <c r="DF199" s="103"/>
      <c r="DG199" s="103"/>
      <c r="DH199" s="103"/>
      <c r="DI199" s="103"/>
      <c r="DJ199" s="103"/>
      <c r="DK199" s="103"/>
      <c r="DL199" s="103"/>
      <c r="DM199" s="103"/>
      <c r="DN199" s="103"/>
      <c r="DO199" s="103"/>
      <c r="DP199" s="103"/>
      <c r="DQ199" s="103"/>
      <c r="DR199" s="103"/>
      <c r="DS199" s="103"/>
      <c r="DT199" s="103"/>
      <c r="DU199" s="103"/>
      <c r="DV199" s="103"/>
      <c r="DW199" s="103"/>
      <c r="DX199" s="103"/>
      <c r="DY199" s="103"/>
      <c r="DZ199" s="103"/>
      <c r="EA199" s="103"/>
      <c r="EB199" s="103"/>
      <c r="EC199" s="103"/>
      <c r="ED199" s="103"/>
      <c r="EE199" s="103"/>
      <c r="EF199" s="103"/>
      <c r="EG199" s="103"/>
      <c r="EH199" s="103"/>
      <c r="EI199" s="103"/>
      <c r="EJ199" s="103"/>
      <c r="EK199" s="103"/>
      <c r="EL199" s="103"/>
      <c r="EM199" s="103"/>
      <c r="EN199" s="103"/>
      <c r="EO199" s="103"/>
      <c r="EP199" s="103"/>
      <c r="EQ199" s="103"/>
      <c r="ER199" s="103"/>
      <c r="ES199" s="103"/>
      <c r="ET199" s="103"/>
      <c r="EU199" s="103"/>
      <c r="EV199" s="103"/>
      <c r="EW199" s="103"/>
      <c r="EX199" s="103"/>
      <c r="EY199" s="103"/>
      <c r="EZ199" s="103"/>
      <c r="FA199" s="103"/>
      <c r="FB199" s="103"/>
      <c r="FC199" s="103"/>
      <c r="FD199" s="103"/>
      <c r="FE199" s="103"/>
      <c r="FF199" s="103"/>
      <c r="FG199" s="103"/>
      <c r="FH199" s="103"/>
      <c r="FI199" s="103"/>
      <c r="FJ199" s="103"/>
      <c r="FK199" s="103"/>
      <c r="FL199" s="103"/>
      <c r="FM199" s="103"/>
      <c r="FN199" s="103"/>
      <c r="FO199" s="103"/>
      <c r="FP199" s="103"/>
      <c r="FQ199" s="103"/>
      <c r="FR199" s="103"/>
      <c r="FS199" s="103"/>
      <c r="FT199" s="103"/>
      <c r="FU199" s="103"/>
      <c r="FV199" s="103"/>
      <c r="FW199" s="103"/>
      <c r="FX199" s="103"/>
      <c r="FY199" s="103"/>
      <c r="FZ199" s="103"/>
      <c r="GA199" s="103"/>
      <c r="GB199" s="103"/>
      <c r="GC199" s="103"/>
      <c r="GD199" s="103"/>
      <c r="GE199" s="103"/>
      <c r="GF199" s="103"/>
      <c r="GG199" s="103"/>
      <c r="GH199" s="103"/>
      <c r="GI199" s="103"/>
      <c r="GJ199" s="103"/>
      <c r="GK199" s="103"/>
      <c r="GL199" s="103"/>
      <c r="GM199" s="103"/>
      <c r="GN199" s="103"/>
      <c r="GO199" s="103"/>
      <c r="GP199" s="103"/>
      <c r="GQ199" s="103"/>
      <c r="GR199" s="103"/>
      <c r="GS199" s="103"/>
      <c r="GT199" s="103"/>
      <c r="GU199" s="103"/>
      <c r="GV199" s="103"/>
      <c r="GW199" s="103"/>
      <c r="GX199" s="103"/>
      <c r="GY199" s="103"/>
      <c r="GZ199" s="103"/>
      <c r="HA199" s="103"/>
      <c r="HB199" s="103"/>
      <c r="HC199" s="103"/>
      <c r="HD199" s="103"/>
      <c r="HE199" s="103"/>
      <c r="HF199" s="103"/>
      <c r="HG199" s="103"/>
      <c r="HH199" s="103"/>
      <c r="HI199" s="103"/>
      <c r="HJ199" s="103"/>
      <c r="HK199" s="103"/>
      <c r="HL199" s="103"/>
      <c r="HM199" s="103"/>
      <c r="HN199" s="103"/>
      <c r="HO199" s="103"/>
      <c r="HP199" s="103"/>
      <c r="HQ199" s="103"/>
      <c r="HR199" s="103"/>
      <c r="HS199" s="103"/>
      <c r="HT199" s="103"/>
      <c r="HU199" s="103"/>
      <c r="HV199" s="103"/>
      <c r="HW199" s="103"/>
      <c r="HX199" s="103"/>
      <c r="HY199" s="103"/>
      <c r="HZ199" s="103"/>
      <c r="IA199" s="103"/>
      <c r="IB199" s="103"/>
      <c r="IC199" s="103"/>
      <c r="ID199" s="103"/>
      <c r="IE199" s="103"/>
      <c r="IF199" s="103"/>
      <c r="IG199" s="103"/>
      <c r="IH199" s="103"/>
      <c r="II199" s="103"/>
      <c r="IJ199" s="103"/>
      <c r="IK199" s="103"/>
      <c r="IL199" s="103"/>
      <c r="IM199" s="103"/>
      <c r="IN199" s="103"/>
      <c r="IO199" s="103"/>
      <c r="IP199" s="103"/>
      <c r="IQ199" s="103"/>
      <c r="IR199" s="103"/>
      <c r="IS199" s="103"/>
      <c r="IT199" s="103"/>
      <c r="IU199" s="103"/>
      <c r="IV199" s="103"/>
    </row>
    <row r="200" spans="1:256" ht="15">
      <c r="A200" s="103"/>
      <c r="B200" s="103"/>
      <c r="C200" s="103"/>
      <c r="D200" s="103"/>
      <c r="F200" s="105"/>
      <c r="G200" s="103"/>
      <c r="H200" s="103"/>
      <c r="I200" s="106"/>
      <c r="J200" s="106"/>
      <c r="K200" s="106"/>
      <c r="L200" s="65"/>
      <c r="M200" s="65"/>
      <c r="N200" s="5"/>
      <c r="X200" s="6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3"/>
      <c r="BX200" s="103"/>
      <c r="BY200" s="103"/>
      <c r="BZ200" s="103"/>
      <c r="CA200" s="103"/>
      <c r="CB200" s="103"/>
      <c r="CC200" s="103"/>
      <c r="CD200" s="103"/>
      <c r="CE200" s="103"/>
      <c r="CF200" s="103"/>
      <c r="CG200" s="103"/>
      <c r="CH200" s="103"/>
      <c r="CI200" s="103"/>
      <c r="CJ200" s="103"/>
      <c r="CK200" s="103"/>
      <c r="CL200" s="103"/>
      <c r="CM200" s="103"/>
      <c r="CN200" s="103"/>
      <c r="CO200" s="103"/>
      <c r="CP200" s="103"/>
      <c r="CQ200" s="103"/>
      <c r="CR200" s="103"/>
      <c r="CS200" s="103"/>
      <c r="CT200" s="103"/>
      <c r="CU200" s="103"/>
      <c r="CV200" s="103"/>
      <c r="CW200" s="103"/>
      <c r="CX200" s="103"/>
      <c r="CY200" s="103"/>
      <c r="CZ200" s="103"/>
      <c r="DA200" s="103"/>
      <c r="DB200" s="103"/>
      <c r="DC200" s="103"/>
      <c r="DD200" s="103"/>
      <c r="DE200" s="103"/>
      <c r="DF200" s="103"/>
      <c r="DG200" s="103"/>
      <c r="DH200" s="103"/>
      <c r="DI200" s="103"/>
      <c r="DJ200" s="103"/>
      <c r="DK200" s="103"/>
      <c r="DL200" s="103"/>
      <c r="DM200" s="103"/>
      <c r="DN200" s="103"/>
      <c r="DO200" s="103"/>
      <c r="DP200" s="103"/>
      <c r="DQ200" s="103"/>
      <c r="DR200" s="103"/>
      <c r="DS200" s="103"/>
      <c r="DT200" s="103"/>
      <c r="DU200" s="103"/>
      <c r="DV200" s="103"/>
      <c r="DW200" s="103"/>
      <c r="DX200" s="103"/>
      <c r="DY200" s="103"/>
      <c r="DZ200" s="103"/>
      <c r="EA200" s="103"/>
      <c r="EB200" s="103"/>
      <c r="EC200" s="103"/>
      <c r="ED200" s="103"/>
      <c r="EE200" s="103"/>
      <c r="EF200" s="103"/>
      <c r="EG200" s="103"/>
      <c r="EH200" s="103"/>
      <c r="EI200" s="103"/>
      <c r="EJ200" s="103"/>
      <c r="EK200" s="103"/>
      <c r="EL200" s="103"/>
      <c r="EM200" s="103"/>
      <c r="EN200" s="103"/>
      <c r="EO200" s="103"/>
      <c r="EP200" s="103"/>
      <c r="EQ200" s="103"/>
      <c r="ER200" s="103"/>
      <c r="ES200" s="103"/>
      <c r="ET200" s="103"/>
      <c r="EU200" s="103"/>
      <c r="EV200" s="103"/>
      <c r="EW200" s="103"/>
      <c r="EX200" s="103"/>
      <c r="EY200" s="103"/>
      <c r="EZ200" s="103"/>
      <c r="FA200" s="103"/>
      <c r="FB200" s="103"/>
      <c r="FC200" s="103"/>
      <c r="FD200" s="103"/>
      <c r="FE200" s="103"/>
      <c r="FF200" s="103"/>
      <c r="FG200" s="103"/>
      <c r="FH200" s="103"/>
      <c r="FI200" s="103"/>
      <c r="FJ200" s="103"/>
      <c r="FK200" s="103"/>
      <c r="FL200" s="103"/>
      <c r="FM200" s="103"/>
      <c r="FN200" s="103"/>
      <c r="FO200" s="103"/>
      <c r="FP200" s="103"/>
      <c r="FQ200" s="103"/>
      <c r="FR200" s="103"/>
      <c r="FS200" s="103"/>
      <c r="FT200" s="103"/>
      <c r="FU200" s="103"/>
      <c r="FV200" s="103"/>
      <c r="FW200" s="103"/>
      <c r="FX200" s="103"/>
      <c r="FY200" s="103"/>
      <c r="FZ200" s="103"/>
      <c r="GA200" s="103"/>
      <c r="GB200" s="103"/>
      <c r="GC200" s="103"/>
      <c r="GD200" s="103"/>
      <c r="GE200" s="103"/>
      <c r="GF200" s="103"/>
      <c r="GG200" s="103"/>
      <c r="GH200" s="103"/>
      <c r="GI200" s="103"/>
      <c r="GJ200" s="103"/>
      <c r="GK200" s="103"/>
      <c r="GL200" s="103"/>
      <c r="GM200" s="103"/>
      <c r="GN200" s="103"/>
      <c r="GO200" s="103"/>
      <c r="GP200" s="103"/>
      <c r="GQ200" s="103"/>
      <c r="GR200" s="103"/>
      <c r="GS200" s="103"/>
      <c r="GT200" s="103"/>
      <c r="GU200" s="103"/>
      <c r="GV200" s="103"/>
      <c r="GW200" s="103"/>
      <c r="GX200" s="103"/>
      <c r="GY200" s="103"/>
      <c r="GZ200" s="103"/>
      <c r="HA200" s="103"/>
      <c r="HB200" s="103"/>
      <c r="HC200" s="103"/>
      <c r="HD200" s="103"/>
      <c r="HE200" s="103"/>
      <c r="HF200" s="103"/>
      <c r="HG200" s="103"/>
      <c r="HH200" s="103"/>
      <c r="HI200" s="103"/>
      <c r="HJ200" s="103"/>
      <c r="HK200" s="103"/>
      <c r="HL200" s="103"/>
      <c r="HM200" s="103"/>
      <c r="HN200" s="103"/>
      <c r="HO200" s="103"/>
      <c r="HP200" s="103"/>
      <c r="HQ200" s="103"/>
      <c r="HR200" s="103"/>
      <c r="HS200" s="103"/>
      <c r="HT200" s="103"/>
      <c r="HU200" s="103"/>
      <c r="HV200" s="103"/>
      <c r="HW200" s="103"/>
      <c r="HX200" s="103"/>
      <c r="HY200" s="103"/>
      <c r="HZ200" s="103"/>
      <c r="IA200" s="103"/>
      <c r="IB200" s="103"/>
      <c r="IC200" s="103"/>
      <c r="ID200" s="103"/>
      <c r="IE200" s="103"/>
      <c r="IF200" s="103"/>
      <c r="IG200" s="103"/>
      <c r="IH200" s="103"/>
      <c r="II200" s="103"/>
      <c r="IJ200" s="103"/>
      <c r="IK200" s="103"/>
      <c r="IL200" s="103"/>
      <c r="IM200" s="103"/>
      <c r="IN200" s="103"/>
      <c r="IO200" s="103"/>
      <c r="IP200" s="103"/>
      <c r="IQ200" s="103"/>
      <c r="IR200" s="103"/>
      <c r="IS200" s="103"/>
      <c r="IT200" s="103"/>
      <c r="IU200" s="103"/>
      <c r="IV200" s="103"/>
    </row>
    <row r="201" spans="1:256" ht="15">
      <c r="A201" s="103"/>
      <c r="B201" s="103"/>
      <c r="C201" s="103"/>
      <c r="D201" s="103"/>
      <c r="F201" s="105"/>
      <c r="G201" s="103"/>
      <c r="H201" s="103"/>
      <c r="I201" s="106"/>
      <c r="J201" s="106"/>
      <c r="K201" s="106"/>
      <c r="L201" s="65"/>
      <c r="M201" s="65"/>
      <c r="N201" s="5"/>
      <c r="X201" s="6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03"/>
      <c r="BY201" s="103"/>
      <c r="BZ201" s="103"/>
      <c r="CA201" s="103"/>
      <c r="CB201" s="103"/>
      <c r="CC201" s="103"/>
      <c r="CD201" s="103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3"/>
      <c r="CY201" s="103"/>
      <c r="CZ201" s="103"/>
      <c r="DA201" s="103"/>
      <c r="DB201" s="103"/>
      <c r="DC201" s="103"/>
      <c r="DD201" s="103"/>
      <c r="DE201" s="103"/>
      <c r="DF201" s="103"/>
      <c r="DG201" s="103"/>
      <c r="DH201" s="103"/>
      <c r="DI201" s="103"/>
      <c r="DJ201" s="103"/>
      <c r="DK201" s="103"/>
      <c r="DL201" s="103"/>
      <c r="DM201" s="103"/>
      <c r="DN201" s="103"/>
      <c r="DO201" s="103"/>
      <c r="DP201" s="103"/>
      <c r="DQ201" s="103"/>
      <c r="DR201" s="103"/>
      <c r="DS201" s="103"/>
      <c r="DT201" s="103"/>
      <c r="DU201" s="103"/>
      <c r="DV201" s="103"/>
      <c r="DW201" s="103"/>
      <c r="DX201" s="103"/>
      <c r="DY201" s="103"/>
      <c r="DZ201" s="103"/>
      <c r="EA201" s="103"/>
      <c r="EB201" s="103"/>
      <c r="EC201" s="103"/>
      <c r="ED201" s="103"/>
      <c r="EE201" s="103"/>
      <c r="EF201" s="103"/>
      <c r="EG201" s="103"/>
      <c r="EH201" s="103"/>
      <c r="EI201" s="103"/>
      <c r="EJ201" s="103"/>
      <c r="EK201" s="103"/>
      <c r="EL201" s="103"/>
      <c r="EM201" s="103"/>
      <c r="EN201" s="103"/>
      <c r="EO201" s="103"/>
      <c r="EP201" s="103"/>
      <c r="EQ201" s="103"/>
      <c r="ER201" s="103"/>
      <c r="ES201" s="103"/>
      <c r="ET201" s="103"/>
      <c r="EU201" s="103"/>
      <c r="EV201" s="103"/>
      <c r="EW201" s="103"/>
      <c r="EX201" s="103"/>
      <c r="EY201" s="103"/>
      <c r="EZ201" s="103"/>
      <c r="FA201" s="103"/>
      <c r="FB201" s="103"/>
      <c r="FC201" s="103"/>
      <c r="FD201" s="103"/>
      <c r="FE201" s="103"/>
      <c r="FF201" s="103"/>
      <c r="FG201" s="103"/>
      <c r="FH201" s="103"/>
      <c r="FI201" s="103"/>
      <c r="FJ201" s="103"/>
      <c r="FK201" s="103"/>
      <c r="FL201" s="103"/>
      <c r="FM201" s="103"/>
      <c r="FN201" s="103"/>
      <c r="FO201" s="103"/>
      <c r="FP201" s="103"/>
      <c r="FQ201" s="103"/>
      <c r="FR201" s="103"/>
      <c r="FS201" s="103"/>
      <c r="FT201" s="103"/>
      <c r="FU201" s="103"/>
      <c r="FV201" s="103"/>
      <c r="FW201" s="103"/>
      <c r="FX201" s="103"/>
      <c r="FY201" s="103"/>
      <c r="FZ201" s="103"/>
      <c r="GA201" s="103"/>
      <c r="GB201" s="103"/>
      <c r="GC201" s="103"/>
      <c r="GD201" s="103"/>
      <c r="GE201" s="103"/>
      <c r="GF201" s="103"/>
      <c r="GG201" s="103"/>
      <c r="GH201" s="103"/>
      <c r="GI201" s="103"/>
      <c r="GJ201" s="103"/>
      <c r="GK201" s="103"/>
      <c r="GL201" s="103"/>
      <c r="GM201" s="103"/>
      <c r="GN201" s="103"/>
      <c r="GO201" s="103"/>
      <c r="GP201" s="103"/>
      <c r="GQ201" s="103"/>
      <c r="GR201" s="103"/>
      <c r="GS201" s="103"/>
      <c r="GT201" s="103"/>
      <c r="GU201" s="103"/>
      <c r="GV201" s="103"/>
      <c r="GW201" s="103"/>
      <c r="GX201" s="103"/>
      <c r="GY201" s="103"/>
      <c r="GZ201" s="103"/>
      <c r="HA201" s="103"/>
      <c r="HB201" s="103"/>
      <c r="HC201" s="103"/>
      <c r="HD201" s="103"/>
      <c r="HE201" s="103"/>
      <c r="HF201" s="103"/>
      <c r="HG201" s="103"/>
      <c r="HH201" s="103"/>
      <c r="HI201" s="103"/>
      <c r="HJ201" s="103"/>
      <c r="HK201" s="103"/>
      <c r="HL201" s="103"/>
      <c r="HM201" s="103"/>
      <c r="HN201" s="103"/>
      <c r="HO201" s="103"/>
      <c r="HP201" s="103"/>
      <c r="HQ201" s="103"/>
      <c r="HR201" s="103"/>
      <c r="HS201" s="103"/>
      <c r="HT201" s="103"/>
      <c r="HU201" s="103"/>
      <c r="HV201" s="103"/>
      <c r="HW201" s="103"/>
      <c r="HX201" s="103"/>
      <c r="HY201" s="103"/>
      <c r="HZ201" s="103"/>
      <c r="IA201" s="103"/>
      <c r="IB201" s="103"/>
      <c r="IC201" s="103"/>
      <c r="ID201" s="103"/>
      <c r="IE201" s="103"/>
      <c r="IF201" s="103"/>
      <c r="IG201" s="103"/>
      <c r="IH201" s="103"/>
      <c r="II201" s="103"/>
      <c r="IJ201" s="103"/>
      <c r="IK201" s="103"/>
      <c r="IL201" s="103"/>
      <c r="IM201" s="103"/>
      <c r="IN201" s="103"/>
      <c r="IO201" s="103"/>
      <c r="IP201" s="103"/>
      <c r="IQ201" s="103"/>
      <c r="IR201" s="103"/>
      <c r="IS201" s="103"/>
      <c r="IT201" s="103"/>
      <c r="IU201" s="103"/>
      <c r="IV201" s="103"/>
    </row>
    <row r="203" spans="1:256" ht="14">
      <c r="A203" s="10" t="s">
        <v>75</v>
      </c>
      <c r="B203" s="10" t="s">
        <v>75</v>
      </c>
      <c r="C203" s="10" t="s">
        <v>75</v>
      </c>
      <c r="D203" s="10" t="s">
        <v>75</v>
      </c>
      <c r="E203" s="10" t="s">
        <v>75</v>
      </c>
      <c r="F203" s="11" t="s">
        <v>75</v>
      </c>
      <c r="G203" s="11" t="s">
        <v>75</v>
      </c>
      <c r="H203" s="11" t="s">
        <v>75</v>
      </c>
      <c r="I203" s="35" t="s">
        <v>75</v>
      </c>
      <c r="J203" s="35" t="s">
        <v>75</v>
      </c>
      <c r="K203" s="35" t="s">
        <v>75</v>
      </c>
      <c r="L203" s="102" t="s">
        <v>75</v>
      </c>
      <c r="M203" s="11" t="s">
        <v>75</v>
      </c>
      <c r="N203" s="11" t="s">
        <v>75</v>
      </c>
      <c r="O203" s="11" t="s">
        <v>75</v>
      </c>
      <c r="P203" s="11" t="s">
        <v>75</v>
      </c>
      <c r="Q203" s="11" t="s">
        <v>75</v>
      </c>
      <c r="R203" s="11" t="s">
        <v>75</v>
      </c>
      <c r="S203" s="11" t="s">
        <v>75</v>
      </c>
      <c r="T203" s="11" t="s">
        <v>75</v>
      </c>
      <c r="U203" s="11" t="s">
        <v>75</v>
      </c>
      <c r="V203" s="11" t="s">
        <v>75</v>
      </c>
      <c r="W203" s="11" t="s">
        <v>75</v>
      </c>
    </row>
  </sheetData>
  <autoFilter ref="A10:IV65" xr:uid="{00000000-0009-0000-0000-000006000000}">
    <filterColumn colId="4">
      <filters>
        <filter val="Miscellaneous &amp; Shipping"/>
      </filters>
    </filterColumn>
  </autoFilter>
  <sortState xmlns:xlrd2="http://schemas.microsoft.com/office/spreadsheetml/2017/richdata2" ref="A11:IY65">
    <sortCondition ref="E11"/>
  </sortState>
  <conditionalFormatting sqref="G7:G8">
    <cfRule type="cellIs" dxfId="22" priority="1" stopIfTrue="1" operator="equal">
      <formula>"Check"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AF69"/>
  <sheetViews>
    <sheetView zoomScale="70" zoomScaleNormal="70" workbookViewId="0">
      <pane xSplit="4" ySplit="5" topLeftCell="X6" activePane="bottomRight" state="frozen"/>
      <selection activeCell="J93" sqref="J93"/>
      <selection pane="topRight" activeCell="J93" sqref="J93"/>
      <selection pane="bottomLeft" activeCell="J93" sqref="J93"/>
      <selection pane="bottomRight" activeCell="AD8" sqref="AD8"/>
    </sheetView>
  </sheetViews>
  <sheetFormatPr baseColWidth="10" defaultColWidth="10.83203125" defaultRowHeight="13"/>
  <cols>
    <col min="1" max="1" width="57.5" style="5" bestFit="1" customWidth="1"/>
    <col min="2" max="2" width="12.5" style="5" bestFit="1" customWidth="1"/>
    <col min="3" max="3" width="29.83203125" style="5" bestFit="1" customWidth="1"/>
    <col min="4" max="4" width="12.5" style="5" bestFit="1" customWidth="1"/>
    <col min="5" max="6" width="1.5" style="5" customWidth="1"/>
    <col min="7" max="7" width="7.5" style="5" bestFit="1" customWidth="1"/>
    <col min="8" max="8" width="20.5" style="77" bestFit="1" customWidth="1"/>
    <col min="9" max="9" width="18" style="85" bestFit="1" customWidth="1"/>
    <col min="10" max="10" width="3" style="5" customWidth="1"/>
    <col min="11" max="11" width="16.5" style="77" bestFit="1" customWidth="1"/>
    <col min="12" max="12" width="18" style="85" bestFit="1" customWidth="1"/>
    <col min="13" max="13" width="3" style="5" customWidth="1"/>
    <col min="14" max="14" width="16.5" style="77" bestFit="1" customWidth="1"/>
    <col min="15" max="15" width="18" style="85" bestFit="1" customWidth="1"/>
    <col min="16" max="16" width="3" style="5" customWidth="1"/>
    <col min="17" max="17" width="16.5" style="77" bestFit="1" customWidth="1"/>
    <col min="18" max="18" width="18" style="85" bestFit="1" customWidth="1"/>
    <col min="19" max="19" width="3" style="5" customWidth="1"/>
    <col min="20" max="20" width="16.5" style="77" bestFit="1" customWidth="1"/>
    <col min="21" max="21" width="18" style="85" bestFit="1" customWidth="1"/>
    <col min="22" max="22" width="3" style="5" customWidth="1"/>
    <col min="23" max="23" width="16.5" style="77" bestFit="1" customWidth="1"/>
    <col min="24" max="24" width="18" style="85" bestFit="1" customWidth="1"/>
    <col min="25" max="25" width="3" style="5" customWidth="1"/>
    <col min="26" max="26" width="16.5" style="77" bestFit="1" customWidth="1"/>
    <col min="27" max="27" width="18" style="85" bestFit="1" customWidth="1"/>
    <col min="28" max="28" width="3" style="5" customWidth="1"/>
    <col min="29" max="29" width="17" style="77" bestFit="1" customWidth="1"/>
    <col min="30" max="30" width="18" style="85" bestFit="1" customWidth="1"/>
    <col min="31" max="31" width="15.5" style="5" bestFit="1" customWidth="1"/>
    <col min="32" max="32" width="16.5" style="5" bestFit="1" customWidth="1"/>
    <col min="33" max="16384" width="10.83203125" style="5"/>
  </cols>
  <sheetData>
    <row r="1" spans="1:32" ht="14" thickBot="1">
      <c r="C1" s="32" t="str">
        <f>+IF(ROUND(SUM(G1:AD1),0)=0,"Ok","Check")</f>
        <v>Ok</v>
      </c>
      <c r="D1" s="72" t="s">
        <v>19</v>
      </c>
      <c r="H1" s="73">
        <f>+H2-'Mov_Analizados_Sept25 - Nov 25'!I9</f>
        <v>0</v>
      </c>
      <c r="I1" s="74">
        <f>+I2-'Mov_Analizados_Sept25 - Nov 25'!J9</f>
        <v>0</v>
      </c>
      <c r="K1" s="73">
        <f>+K2-Mov_Analizados_Dic25!I9</f>
        <v>0</v>
      </c>
      <c r="L1" s="74">
        <f>+L2-Mov_Analizados_Dic25!J9</f>
        <v>0</v>
      </c>
      <c r="N1" s="73">
        <f>+N2-Mov_Analizados_Ene26!I9</f>
        <v>0</v>
      </c>
      <c r="O1" s="74">
        <f>+O2-Mov_Analizados_Ene26!J9</f>
        <v>3.2741809263825417E-11</v>
      </c>
      <c r="Q1" s="73">
        <f>+Q2-Mov_Analizados_Feb26!I9</f>
        <v>0</v>
      </c>
      <c r="R1" s="74">
        <f>+R2-Mov_Analizados_Feb26!J9</f>
        <v>0</v>
      </c>
      <c r="T1" s="73">
        <f>+T2-Mov_Analizados_Mar26!I9</f>
        <v>0</v>
      </c>
      <c r="U1" s="74">
        <f>+U2-Mov_Analizados_Mar26!J9</f>
        <v>0</v>
      </c>
      <c r="W1" s="73">
        <f>+W2-Mov_Analizados_Abr26!I9</f>
        <v>0</v>
      </c>
      <c r="X1" s="76">
        <f>+X2-Mov_Analizados_Abr26!J9</f>
        <v>0</v>
      </c>
      <c r="Z1" s="73">
        <f>+Z2-Mov_Analizados_May26!I9</f>
        <v>0</v>
      </c>
      <c r="AA1" s="76">
        <f>+AA2-Mov_Analizados_May26!J9</f>
        <v>0</v>
      </c>
      <c r="AC1" s="73">
        <f>ROUND(+AC2-H2-K2-N2-Q2-T2-W2-Z2,0)</f>
        <v>0</v>
      </c>
      <c r="AD1" s="76">
        <f>ROUND(+AD2-I2-L2-O2-R2-U2-X2-AA2,0)</f>
        <v>0</v>
      </c>
    </row>
    <row r="2" spans="1:32" ht="14" thickBot="1">
      <c r="D2" s="72" t="s">
        <v>74</v>
      </c>
      <c r="H2" s="75">
        <f>SUM(H5:H69)-H5</f>
        <v>97836924.420000002</v>
      </c>
      <c r="I2" s="76">
        <f>SUM(I5:I69)-I5</f>
        <v>69488.431189172363</v>
      </c>
      <c r="K2" s="75">
        <f>SUM(K5:K69)-K5</f>
        <v>25550567.050000001</v>
      </c>
      <c r="L2" s="76">
        <f>SUM(L5:L69)-L5</f>
        <v>17678.519215770812</v>
      </c>
      <c r="N2" s="75">
        <f>SUM(N5:N69)-N5</f>
        <v>41028183.159999996</v>
      </c>
      <c r="O2" s="76">
        <f>SUM(O5:O69)-O5</f>
        <v>30923.554306490165</v>
      </c>
      <c r="Q2" s="75">
        <f>SUM(Q5:Q69)-Q5</f>
        <v>30528431.810000002</v>
      </c>
      <c r="R2" s="76">
        <f>SUM(R5:R69)-R5</f>
        <v>20615.660836973329</v>
      </c>
      <c r="T2" s="75">
        <f>SUM(T5:T69)-T5</f>
        <v>33993183.609999999</v>
      </c>
      <c r="U2" s="76">
        <f>SUM(U5:U69)-U5</f>
        <v>24157.839002053821</v>
      </c>
      <c r="W2" s="75">
        <f>SUM(W5:W69)-W5</f>
        <v>27266203.350000001</v>
      </c>
      <c r="X2" s="76">
        <f>SUM(X5:X69)-X5</f>
        <v>19406.55042704627</v>
      </c>
      <c r="Z2" s="75">
        <f>SUM(Z5:Z69)-Z5</f>
        <v>25768012.199999999</v>
      </c>
      <c r="AA2" s="76">
        <f>SUM(AA5:AA69)-AA5</f>
        <v>18277.983196832243</v>
      </c>
      <c r="AC2" s="75">
        <f>SUM(AC5:AC69)-AC5</f>
        <v>281971505.59999996</v>
      </c>
      <c r="AD2" s="76">
        <f>SUM(AD5:AD69)-AD5</f>
        <v>200548.53817433916</v>
      </c>
      <c r="AE2" s="205">
        <f>+AD2-AF2</f>
        <v>0</v>
      </c>
      <c r="AF2" s="84">
        <f>+SUM(AF5:AF69)</f>
        <v>200548.53817433905</v>
      </c>
    </row>
    <row r="3" spans="1:32" ht="14" thickBot="1">
      <c r="I3" s="78"/>
      <c r="L3" s="78"/>
      <c r="O3" s="78"/>
      <c r="R3" s="78"/>
      <c r="U3" s="78"/>
      <c r="X3" s="78"/>
      <c r="AA3" s="78"/>
      <c r="AD3" s="78"/>
    </row>
    <row r="4" spans="1:32" ht="14" thickBot="1">
      <c r="H4" s="354" t="s">
        <v>1197</v>
      </c>
      <c r="I4" s="355"/>
      <c r="K4" s="354" t="s">
        <v>1198</v>
      </c>
      <c r="L4" s="355"/>
      <c r="N4" s="354" t="s">
        <v>1459</v>
      </c>
      <c r="O4" s="355"/>
      <c r="Q4" s="354" t="s">
        <v>1892</v>
      </c>
      <c r="R4" s="355"/>
      <c r="T4" s="354" t="s">
        <v>2186</v>
      </c>
      <c r="U4" s="355"/>
      <c r="W4" s="354" t="s">
        <v>2404</v>
      </c>
      <c r="X4" s="355"/>
      <c r="Z4" s="354" t="s">
        <v>2662</v>
      </c>
      <c r="AA4" s="355"/>
      <c r="AC4" s="352" t="s">
        <v>121</v>
      </c>
      <c r="AD4" s="353"/>
    </row>
    <row r="5" spans="1:32" ht="14" thickBot="1">
      <c r="A5" s="79" t="s">
        <v>80</v>
      </c>
      <c r="B5" s="80" t="s">
        <v>22</v>
      </c>
      <c r="C5" s="81" t="s">
        <v>21</v>
      </c>
      <c r="D5" s="82" t="s">
        <v>73</v>
      </c>
      <c r="H5" s="75">
        <f>SUM(H7:H69)</f>
        <v>97836924.420000002</v>
      </c>
      <c r="I5" s="76">
        <f>SUM(I7:I69)</f>
        <v>69488.431189172392</v>
      </c>
      <c r="K5" s="75">
        <f>SUM(K7:K69)</f>
        <v>25550567.050000001</v>
      </c>
      <c r="L5" s="76">
        <f>SUM(L7:L69)</f>
        <v>17678.519215770812</v>
      </c>
      <c r="N5" s="75">
        <f>SUM(N7:N69)</f>
        <v>41028183.159999996</v>
      </c>
      <c r="O5" s="76">
        <f>SUM(O7:O69)</f>
        <v>30923.554306490158</v>
      </c>
      <c r="Q5" s="75">
        <f>SUM(Q7:Q69)</f>
        <v>30528431.810000002</v>
      </c>
      <c r="R5" s="76">
        <f>SUM(R7:R69)</f>
        <v>20615.660836973322</v>
      </c>
      <c r="T5" s="75">
        <f>SUM(T7:T69)</f>
        <v>33993183.609999999</v>
      </c>
      <c r="U5" s="76">
        <f>SUM(U7:U69)</f>
        <v>24157.839002053828</v>
      </c>
      <c r="W5" s="75">
        <f>SUM(W7:W69)</f>
        <v>27266203.350000001</v>
      </c>
      <c r="X5" s="76">
        <f>SUM(X7:X69)</f>
        <v>19406.550427046262</v>
      </c>
      <c r="Z5" s="75">
        <f>SUM(Z7:Z69)</f>
        <v>25768012.199999999</v>
      </c>
      <c r="AA5" s="76">
        <f>SUM(AA7:AA69)</f>
        <v>18277.983196832236</v>
      </c>
      <c r="AC5" s="75">
        <f>SUM(AC7:AC69)</f>
        <v>281971505.59999996</v>
      </c>
      <c r="AD5" s="76">
        <f>SUM(AD7:AD69)</f>
        <v>200548.53817433905</v>
      </c>
      <c r="AE5" s="349">
        <f>SUM(G5:AB5)-AC5-AD5</f>
        <v>5.1746610552072525E-8</v>
      </c>
      <c r="AF5" s="84">
        <f>+AD5</f>
        <v>200548.53817433905</v>
      </c>
    </row>
    <row r="6" spans="1:32" ht="14" thickBot="1">
      <c r="B6" s="189" t="s">
        <v>383</v>
      </c>
      <c r="C6" s="34"/>
      <c r="D6" s="34"/>
      <c r="I6" s="78"/>
      <c r="L6" s="78"/>
      <c r="O6" s="78"/>
      <c r="R6" s="78"/>
      <c r="U6" s="78"/>
      <c r="X6" s="78"/>
      <c r="AA6" s="78"/>
      <c r="AD6" s="78"/>
    </row>
    <row r="7" spans="1:32" s="83" customFormat="1" ht="14" thickBot="1">
      <c r="A7" s="188" t="s">
        <v>75</v>
      </c>
      <c r="B7" s="188" t="s">
        <v>75</v>
      </c>
      <c r="C7" s="188" t="s">
        <v>75</v>
      </c>
      <c r="D7" s="188" t="s">
        <v>75</v>
      </c>
      <c r="E7" s="188" t="s">
        <v>75</v>
      </c>
      <c r="F7" s="188" t="s">
        <v>75</v>
      </c>
      <c r="G7" s="188" t="s">
        <v>75</v>
      </c>
      <c r="H7" s="188" t="s">
        <v>75</v>
      </c>
      <c r="I7" s="188" t="s">
        <v>75</v>
      </c>
      <c r="J7" s="188" t="s">
        <v>75</v>
      </c>
      <c r="K7" s="188" t="s">
        <v>75</v>
      </c>
      <c r="L7" s="188" t="s">
        <v>75</v>
      </c>
      <c r="M7" s="188" t="s">
        <v>75</v>
      </c>
      <c r="N7" s="188" t="s">
        <v>75</v>
      </c>
      <c r="O7" s="188" t="s">
        <v>75</v>
      </c>
      <c r="P7" s="188" t="s">
        <v>75</v>
      </c>
      <c r="Q7" s="188" t="s">
        <v>75</v>
      </c>
      <c r="R7" s="188" t="s">
        <v>75</v>
      </c>
      <c r="S7" s="188" t="s">
        <v>75</v>
      </c>
      <c r="T7" s="188" t="s">
        <v>75</v>
      </c>
      <c r="U7" s="188" t="s">
        <v>75</v>
      </c>
      <c r="V7" s="188" t="s">
        <v>75</v>
      </c>
      <c r="W7" s="188" t="s">
        <v>75</v>
      </c>
      <c r="X7" s="188" t="s">
        <v>75</v>
      </c>
      <c r="Y7" s="188" t="s">
        <v>75</v>
      </c>
      <c r="Z7" s="188" t="s">
        <v>75</v>
      </c>
      <c r="AA7" s="188" t="s">
        <v>75</v>
      </c>
      <c r="AB7" s="188" t="s">
        <v>75</v>
      </c>
      <c r="AC7" s="188" t="s">
        <v>75</v>
      </c>
      <c r="AD7" s="188" t="s">
        <v>75</v>
      </c>
    </row>
    <row r="8" spans="1:32">
      <c r="A8" s="5" t="str">
        <f>+VLOOKUP(B8,'Plan Cuentas Link Armado'!$A$3:$D$104,4,0)</f>
        <v>Fixed Asset's Payments (Investments) Mejoras/equipamiento Lodge</v>
      </c>
      <c r="B8" s="3" t="s">
        <v>46</v>
      </c>
      <c r="C8" t="s">
        <v>47</v>
      </c>
      <c r="D8" t="s">
        <v>384</v>
      </c>
      <c r="F8" s="5" t="str">
        <f>+VLOOKUP(B8,'Plan Cuentas Link Armado'!$A$3:$D$104,4,0)</f>
        <v>Fixed Asset's Payments (Investments) Mejoras/equipamiento Lodge</v>
      </c>
      <c r="H8" s="77">
        <f>+SUMIF('Mov_Analizados_Sept25 - Nov 25'!$H$10:$H$371,Resumen_Base!D8,'Mov_Analizados_Sept25 - Nov 25'!$I$10:$I$371)</f>
        <v>19422600</v>
      </c>
      <c r="I8" s="78">
        <f>+SUMIF('Mov_Analizados_Sept25 - Nov 25'!$H$10:$H$371,Resumen_Base!D8,'Mov_Analizados_Sept25 - Nov 25'!$J$10:$J$371)</f>
        <v>13927.276054887117</v>
      </c>
      <c r="K8" s="77">
        <f>+SUMIF(Mov_Analizados_Dic25!$H$10:$H$130,Resumen_Base!D8,Mov_Analizados_Dic25!$I$10:$I$130)</f>
        <v>0</v>
      </c>
      <c r="L8" s="78">
        <f>+SUMIF(Mov_Analizados_Dic25!$H$10:$H$130,Resumen_Base!D8,Mov_Analizados_Dic25!$J$10:$J$130)</f>
        <v>0</v>
      </c>
      <c r="N8" s="77">
        <f>+SUMIF(Mov_Analizados_Ene26!$H$10:$H$243,Resumen_Base!D8,Mov_Analizados_Ene26!$I$10:$I$243)</f>
        <v>0</v>
      </c>
      <c r="O8" s="78">
        <f>+SUMIF(Mov_Analizados_Ene26!$H$10:$H$243,Resumen_Base!D8,Mov_Analizados_Ene26!$J$10:$J$243)</f>
        <v>0</v>
      </c>
      <c r="Q8" s="77">
        <f>+SUMIF(Mov_Analizados_Feb26!$H$10:$H$259,Resumen_Base!D8,Mov_Analizados_Feb26!$I$10:$I$259)</f>
        <v>424500</v>
      </c>
      <c r="R8" s="78">
        <f>+SUMIF(Mov_Analizados_Feb26!$H$10:$H$259,Resumen_Base!D8,Mov_Analizados_Feb26!$J$10:$J$259)</f>
        <v>300</v>
      </c>
      <c r="T8" s="77">
        <f>+SUMIF(Mov_Analizados_Mar26!$H$10:$H$259,Resumen_Base!D8,Mov_Analizados_Mar26!$I$10:$I$259)</f>
        <v>0</v>
      </c>
      <c r="U8" s="78">
        <f>+SUMIF(Mov_Analizados_Mar26!$H$10:$H$259,Resumen_Base!D8,Mov_Analizados_Mar26!$J$10:$J$259)</f>
        <v>0</v>
      </c>
      <c r="W8" s="77">
        <f>+SUMIF(Mov_Analizados_Abr26!$H$10:$H$258,Resumen_Base!D8,Mov_Analizados_Abr26!$I$10:$I$258)</f>
        <v>0</v>
      </c>
      <c r="X8" s="78">
        <f>+SUMIF(Mov_Analizados_Abr26!$H$10:$H$258,Resumen_Base!D8,Mov_Analizados_Abr26!$J$10:$J$258)</f>
        <v>0</v>
      </c>
      <c r="Z8" s="77">
        <f>+SUMIF(Mov_Analizados_May26!$H$10:$H$258,Resumen_Base!D8,Mov_Analizados_May26!$I$10:$I$258)</f>
        <v>0</v>
      </c>
      <c r="AA8" s="78">
        <f>+SUMIF(Mov_Analizados_May26!$H$10:$H$258,Resumen_Base!D8,Mov_Analizados_May26!$J$10:$J$258)</f>
        <v>0</v>
      </c>
      <c r="AC8" s="77">
        <f>+H8+K8+N8+Q8+T8+W8+Z8</f>
        <v>19847100</v>
      </c>
      <c r="AD8" s="78">
        <f>+I8+L8+O8+R8+U8+X8+AA8</f>
        <v>14227.276054887117</v>
      </c>
    </row>
    <row r="9" spans="1:32">
      <c r="A9" s="5" t="str">
        <f>+VLOOKUP(B9,'Plan Cuentas Link Armado'!$A$3:$D$104,4,0)</f>
        <v>Fixed Asset's Payments (Investments) Mejoras/equipamiento Lodge</v>
      </c>
      <c r="B9" s="3" t="s">
        <v>48</v>
      </c>
      <c r="C9" t="s">
        <v>49</v>
      </c>
      <c r="D9" t="s">
        <v>385</v>
      </c>
      <c r="F9" s="5" t="str">
        <f>+VLOOKUP(B9,'Plan Cuentas Link Armado'!$A$3:$D$104,4,0)</f>
        <v>Fixed Asset's Payments (Investments) Mejoras/equipamiento Lodge</v>
      </c>
      <c r="H9" s="77">
        <f>+SUMIF('Mov_Analizados_Sept25 - Nov 25'!$H$10:$H$371,Resumen_Base!D9,'Mov_Analizados_Sept25 - Nov 25'!$I$10:$I$371)</f>
        <v>4304970.4000000004</v>
      </c>
      <c r="I9" s="78">
        <f>+SUMIF('Mov_Analizados_Sept25 - Nov 25'!$H$10:$H$371,Resumen_Base!D9,'Mov_Analizados_Sept25 - Nov 25'!$J$10:$J$371)</f>
        <v>3040.12</v>
      </c>
      <c r="K9" s="77">
        <f>+SUMIF(Mov_Analizados_Dic25!$H$10:$H$130,Resumen_Base!D9,Mov_Analizados_Dic25!$I$10:$I$130)</f>
        <v>0</v>
      </c>
      <c r="L9" s="78">
        <f>+SUMIF(Mov_Analizados_Dic25!$H$10:$H$130,Resumen_Base!D9,Mov_Analizados_Dic25!$J$10:$J$130)</f>
        <v>0</v>
      </c>
      <c r="N9" s="77">
        <f>+SUMIF(Mov_Analizados_Ene26!$H$10:$H$243,Resumen_Base!D9,Mov_Analizados_Ene26!$I$10:$I$243)</f>
        <v>0</v>
      </c>
      <c r="O9" s="78">
        <f>+SUMIF(Mov_Analizados_Ene26!$H$10:$H$243,Resumen_Base!D9,Mov_Analizados_Ene26!$J$10:$J$243)</f>
        <v>0</v>
      </c>
      <c r="Q9" s="77">
        <f>+SUMIF(Mov_Analizados_Feb26!$H$10:$H$259,Resumen_Base!D9,Mov_Analizados_Feb26!$I$10:$I$259)</f>
        <v>0</v>
      </c>
      <c r="R9" s="78">
        <f>+SUMIF(Mov_Analizados_Feb26!$H$10:$H$259,Resumen_Base!D9,Mov_Analizados_Feb26!$J$10:$J$259)</f>
        <v>0</v>
      </c>
      <c r="T9" s="77">
        <f>+SUMIF(Mov_Analizados_Mar26!$H$10:$H$259,Resumen_Base!D9,Mov_Analizados_Mar26!$I$10:$I$259)</f>
        <v>0</v>
      </c>
      <c r="U9" s="78">
        <f>+SUMIF(Mov_Analizados_Mar26!$H$10:$H$259,Resumen_Base!D9,Mov_Analizados_Mar26!$J$10:$J$259)</f>
        <v>0</v>
      </c>
      <c r="W9" s="77">
        <f>+SUMIF(Mov_Analizados_Abr26!$H$10:$H$258,Resumen_Base!D9,Mov_Analizados_Abr26!$I$10:$I$258)</f>
        <v>0</v>
      </c>
      <c r="X9" s="78">
        <f>+SUMIF(Mov_Analizados_Abr26!$H$10:$H$258,Resumen_Base!D9,Mov_Analizados_Abr26!$J$10:$J$258)</f>
        <v>0</v>
      </c>
      <c r="Z9" s="77">
        <f>+SUMIF(Mov_Analizados_May26!$H$10:$H$258,Resumen_Base!D9,Mov_Analizados_May26!$I$10:$I$258)</f>
        <v>0</v>
      </c>
      <c r="AA9" s="78">
        <f>+SUMIF(Mov_Analizados_May26!$H$10:$H$258,Resumen_Base!D9,Mov_Analizados_May26!$J$10:$J$258)</f>
        <v>0</v>
      </c>
      <c r="AC9" s="77">
        <f t="shared" ref="AC9:AC66" si="0">+H9+K9+N9+Q9+T9+W9+Z9</f>
        <v>4304970.4000000004</v>
      </c>
      <c r="AD9" s="78">
        <f t="shared" ref="AD9:AD66" si="1">+I9+L9+O9+R9+U9+X9+AA9</f>
        <v>3040.12</v>
      </c>
    </row>
    <row r="10" spans="1:32" ht="15">
      <c r="A10" s="5" t="str">
        <f>+VLOOKUP(B10,'Plan Cuentas Link Armado'!$A$3:$D$104,4,0)</f>
        <v>Fixed Asset's Payments (Investments) Mejoras/equipamiento Lodge</v>
      </c>
      <c r="B10" s="209" t="s">
        <v>82</v>
      </c>
      <c r="C10" t="s">
        <v>83</v>
      </c>
      <c r="D10" t="s">
        <v>386</v>
      </c>
      <c r="F10" s="5" t="str">
        <f>+VLOOKUP(B10,'Plan Cuentas Link Armado'!$A$3:$D$104,4,0)</f>
        <v>Fixed Asset's Payments (Investments) Mejoras/equipamiento Lodge</v>
      </c>
      <c r="H10" s="77">
        <f>+SUMIF('Mov_Analizados_Sept25 - Nov 25'!$H$10:$H$371,Resumen_Base!D10,'Mov_Analizados_Sept25 - Nov 25'!$I$10:$I$371)</f>
        <v>48965.399999999994</v>
      </c>
      <c r="I10" s="78">
        <f>+SUMIF('Mov_Analizados_Sept25 - Nov 25'!$H$10:$H$371,Resumen_Base!D10,'Mov_Analizados_Sept25 - Nov 25'!$J$10:$J$371)</f>
        <v>32.362269503546003</v>
      </c>
      <c r="K10" s="77">
        <f>+SUMIF(Mov_Analizados_Dic25!$H$10:$H$130,Resumen_Base!D10,Mov_Analizados_Dic25!$I$10:$I$130)</f>
        <v>0</v>
      </c>
      <c r="L10" s="78">
        <f>+SUMIF(Mov_Analizados_Dic25!$H$10:$H$130,Resumen_Base!D10,Mov_Analizados_Dic25!$J$10:$J$130)</f>
        <v>0</v>
      </c>
      <c r="N10" s="77">
        <f>+SUMIF(Mov_Analizados_Ene26!$H$10:$H$243,Resumen_Base!D10,Mov_Analizados_Ene26!$I$10:$I$243)</f>
        <v>0</v>
      </c>
      <c r="O10" s="78">
        <f>+SUMIF(Mov_Analizados_Ene26!$H$10:$H$243,Resumen_Base!D10,Mov_Analizados_Ene26!$J$10:$J$243)</f>
        <v>0</v>
      </c>
      <c r="Q10" s="77">
        <f>+SUMIF(Mov_Analizados_Feb26!$H$10:$H$259,Resumen_Base!D10,Mov_Analizados_Feb26!$I$10:$I$259)</f>
        <v>0</v>
      </c>
      <c r="R10" s="78">
        <f>+SUMIF(Mov_Analizados_Feb26!$H$10:$H$259,Resumen_Base!D10,Mov_Analizados_Feb26!$J$10:$J$259)</f>
        <v>0</v>
      </c>
      <c r="T10" s="77">
        <f>+SUMIF(Mov_Analizados_Mar26!$H$10:$H$259,Resumen_Base!D10,Mov_Analizados_Mar26!$I$10:$I$259)</f>
        <v>491258.25</v>
      </c>
      <c r="U10" s="78">
        <f>+SUMIF(Mov_Analizados_Mar26!$H$10:$H$259,Resumen_Base!D10,Mov_Analizados_Mar26!$J$10:$J$259)</f>
        <v>349.65</v>
      </c>
      <c r="W10" s="77">
        <f>+SUMIF(Mov_Analizados_Abr26!$H$10:$H$258,Resumen_Base!D10,Mov_Analizados_Abr26!$I$10:$I$258)</f>
        <v>0</v>
      </c>
      <c r="X10" s="78">
        <f>+SUMIF(Mov_Analizados_Abr26!$H$10:$H$258,Resumen_Base!D10,Mov_Analizados_Abr26!$J$10:$J$258)</f>
        <v>0</v>
      </c>
      <c r="Z10" s="77">
        <f>+SUMIF(Mov_Analizados_May26!$H$10:$H$258,Resumen_Base!D10,Mov_Analizados_May26!$I$10:$I$258)</f>
        <v>0</v>
      </c>
      <c r="AA10" s="78">
        <f>+SUMIF(Mov_Analizados_May26!$H$10:$H$258,Resumen_Base!D10,Mov_Analizados_May26!$J$10:$J$258)</f>
        <v>0</v>
      </c>
      <c r="AC10" s="77">
        <f t="shared" si="0"/>
        <v>540223.65</v>
      </c>
      <c r="AD10" s="78">
        <f t="shared" si="1"/>
        <v>382.01226950354601</v>
      </c>
    </row>
    <row r="11" spans="1:32" ht="15">
      <c r="A11" s="5" t="str">
        <f>+VLOOKUP(B11,'Plan Cuentas Link Armado'!$A$3:$D$104,4,0)</f>
        <v>Fixed Asset's Payments (Investments) Mejoras/equipamiento Lodge</v>
      </c>
      <c r="B11" s="209" t="s">
        <v>4</v>
      </c>
      <c r="C11" t="s">
        <v>3</v>
      </c>
      <c r="D11" t="s">
        <v>387</v>
      </c>
      <c r="F11" s="5" t="str">
        <f>+VLOOKUP(B11,'Plan Cuentas Link Armado'!$A$3:$D$104,4,0)</f>
        <v>Fixed Asset's Payments (Investments) Mejoras/equipamiento Lodge</v>
      </c>
      <c r="H11" s="77">
        <f>+SUMIF('Mov_Analizados_Sept25 - Nov 25'!$H$10:$H$371,Resumen_Base!D11,'Mov_Analizados_Sept25 - Nov 25'!$I$10:$I$371)</f>
        <v>3928259</v>
      </c>
      <c r="I11" s="78">
        <f>+SUMIF('Mov_Analizados_Sept25 - Nov 25'!$H$10:$H$371,Resumen_Base!D11,'Mov_Analizados_Sept25 - Nov 25'!$J$10:$J$371)</f>
        <v>2743.7510724959011</v>
      </c>
      <c r="K11" s="77">
        <f>+SUMIF(Mov_Analizados_Dic25!$H$10:$H$130,Resumen_Base!D11,Mov_Analizados_Dic25!$I$10:$I$130)</f>
        <v>265450</v>
      </c>
      <c r="L11" s="78">
        <f>+SUMIF(Mov_Analizados_Dic25!$H$10:$H$130,Resumen_Base!D11,Mov_Analizados_Dic25!$J$10:$J$130)</f>
        <v>186.9366197183098</v>
      </c>
      <c r="N11" s="77">
        <f>+SUMIF(Mov_Analizados_Ene26!$H$10:$H$243,Resumen_Base!D11,Mov_Analizados_Ene26!$I$10:$I$243)</f>
        <v>337175</v>
      </c>
      <c r="O11" s="78">
        <f>+SUMIF(Mov_Analizados_Ene26!$H$10:$H$243,Resumen_Base!D11,Mov_Analizados_Ene26!$J$10:$J$243)</f>
        <v>228.54798676227301</v>
      </c>
      <c r="Q11" s="77">
        <f>+SUMIF(Mov_Analizados_Feb26!$H$10:$H$259,Resumen_Base!D11,Mov_Analizados_Feb26!$I$10:$I$259)</f>
        <v>3196010.27</v>
      </c>
      <c r="R11" s="78">
        <f>+SUMIF(Mov_Analizados_Feb26!$H$10:$H$259,Resumen_Base!D11,Mov_Analizados_Feb26!$J$10:$J$259)</f>
        <v>2248.8894152873349</v>
      </c>
      <c r="T11" s="77">
        <f>+SUMIF(Mov_Analizados_Mar26!$H$10:$H$259,Resumen_Base!D11,Mov_Analizados_Mar26!$I$10:$I$259)</f>
        <v>162499</v>
      </c>
      <c r="U11" s="78">
        <f>+SUMIF(Mov_Analizados_Mar26!$H$10:$H$259,Resumen_Base!D11,Mov_Analizados_Mar26!$J$10:$J$259)</f>
        <v>115.657651245552</v>
      </c>
      <c r="W11" s="77">
        <f>+SUMIF(Mov_Analizados_Abr26!$H$10:$H$258,Resumen_Base!D11,Mov_Analizados_Abr26!$I$10:$I$258)</f>
        <v>5600</v>
      </c>
      <c r="X11" s="78">
        <f>+SUMIF(Mov_Analizados_Abr26!$H$10:$H$258,Resumen_Base!D11,Mov_Analizados_Abr26!$J$10:$J$258)</f>
        <v>3.9857651245551602</v>
      </c>
      <c r="Z11" s="77">
        <f>+SUMIF(Mov_Analizados_May26!$H$10:$H$258,Resumen_Base!D11,Mov_Analizados_May26!$I$10:$I$258)</f>
        <v>0</v>
      </c>
      <c r="AA11" s="78">
        <f>+SUMIF(Mov_Analizados_May26!$H$10:$H$258,Resumen_Base!D11,Mov_Analizados_May26!$J$10:$J$258)</f>
        <v>0</v>
      </c>
      <c r="AC11" s="77">
        <f t="shared" si="0"/>
        <v>7894993.2699999996</v>
      </c>
      <c r="AD11" s="78">
        <f t="shared" si="1"/>
        <v>5527.7685106339259</v>
      </c>
    </row>
    <row r="12" spans="1:32">
      <c r="A12" s="5" t="str">
        <f>+VLOOKUP(B12,'Plan Cuentas Link Armado'!$A$3:$D$104,4,0)</f>
        <v>Fixed Asset's Payments (Investments) Mejoras/equipamiento Lodge</v>
      </c>
      <c r="B12" s="3" t="s">
        <v>84</v>
      </c>
      <c r="C12" t="s">
        <v>85</v>
      </c>
      <c r="D12" t="s">
        <v>388</v>
      </c>
      <c r="F12" s="5" t="str">
        <f>+VLOOKUP(B12,'Plan Cuentas Link Armado'!$A$3:$D$104,4,0)</f>
        <v>Fixed Asset's Payments (Investments) Mejoras/equipamiento Lodge</v>
      </c>
      <c r="H12" s="77">
        <f>+SUMIF('Mov_Analizados_Sept25 - Nov 25'!$H$10:$H$371,Resumen_Base!D12,'Mov_Analizados_Sept25 - Nov 25'!$I$10:$I$371)</f>
        <v>0</v>
      </c>
      <c r="I12" s="78">
        <f>+SUMIF('Mov_Analizados_Sept25 - Nov 25'!$H$10:$H$371,Resumen_Base!D12,'Mov_Analizados_Sept25 - Nov 25'!$J$10:$J$371)</f>
        <v>0</v>
      </c>
      <c r="K12" s="77">
        <f>+SUMIF(Mov_Analizados_Dic25!$H$10:$H$130,Resumen_Base!D12,Mov_Analizados_Dic25!$I$10:$I$130)</f>
        <v>0</v>
      </c>
      <c r="L12" s="78">
        <f>+SUMIF(Mov_Analizados_Dic25!$H$10:$H$130,Resumen_Base!D12,Mov_Analizados_Dic25!$J$10:$J$130)</f>
        <v>0</v>
      </c>
      <c r="N12" s="77">
        <f>+SUMIF(Mov_Analizados_Ene26!$H$10:$H$243,Resumen_Base!D12,Mov_Analizados_Ene26!$I$10:$I$243)</f>
        <v>2760000</v>
      </c>
      <c r="O12" s="78">
        <f>+SUMIF(Mov_Analizados_Ene26!$H$10:$H$243,Resumen_Base!D12,Mov_Analizados_Ene26!$J$10:$J$243)</f>
        <v>1877.55102040816</v>
      </c>
      <c r="Q12" s="77">
        <f>+SUMIF(Mov_Analizados_Feb26!$H$10:$H$259,Resumen_Base!D12,Mov_Analizados_Feb26!$I$10:$I$259)</f>
        <v>0</v>
      </c>
      <c r="R12" s="78">
        <f>+SUMIF(Mov_Analizados_Feb26!$H$10:$H$259,Resumen_Base!D12,Mov_Analizados_Feb26!$J$10:$J$259)</f>
        <v>0</v>
      </c>
      <c r="T12" s="77">
        <f>+SUMIF(Mov_Analizados_Mar26!$H$10:$H$259,Resumen_Base!D12,Mov_Analizados_Mar26!$I$10:$I$259)</f>
        <v>0</v>
      </c>
      <c r="U12" s="78">
        <f>+SUMIF(Mov_Analizados_Mar26!$H$10:$H$259,Resumen_Base!D12,Mov_Analizados_Mar26!$J$10:$J$259)</f>
        <v>0</v>
      </c>
      <c r="W12" s="77">
        <f>+SUMIF(Mov_Analizados_Abr26!$H$10:$H$258,Resumen_Base!D12,Mov_Analizados_Abr26!$I$10:$I$258)</f>
        <v>0</v>
      </c>
      <c r="X12" s="78">
        <f>+SUMIF(Mov_Analizados_Abr26!$H$10:$H$258,Resumen_Base!D12,Mov_Analizados_Abr26!$J$10:$J$258)</f>
        <v>0</v>
      </c>
      <c r="Z12" s="77">
        <f>+SUMIF(Mov_Analizados_May26!$H$10:$H$258,Resumen_Base!D12,Mov_Analizados_May26!$I$10:$I$258)</f>
        <v>0</v>
      </c>
      <c r="AA12" s="78">
        <f>+SUMIF(Mov_Analizados_May26!$H$10:$H$258,Resumen_Base!D12,Mov_Analizados_May26!$J$10:$J$258)</f>
        <v>0</v>
      </c>
      <c r="AC12" s="77">
        <f t="shared" si="0"/>
        <v>2760000</v>
      </c>
      <c r="AD12" s="78">
        <f t="shared" si="1"/>
        <v>1877.55102040816</v>
      </c>
    </row>
    <row r="13" spans="1:32">
      <c r="A13" s="5" t="str">
        <f>+VLOOKUP(B13,'Plan Cuentas Link Armado'!$A$3:$D$104,4,0)</f>
        <v>Fixed Asset's Payments (Investments) Rodados/Lanchas</v>
      </c>
      <c r="B13" s="3" t="s">
        <v>0</v>
      </c>
      <c r="C13" t="s">
        <v>1</v>
      </c>
      <c r="D13" s="192" t="s">
        <v>389</v>
      </c>
      <c r="F13" s="5" t="str">
        <f>+VLOOKUP(B13,'Plan Cuentas Link Armado'!$A$3:$D$104,4,0)</f>
        <v>Fixed Asset's Payments (Investments) Rodados/Lanchas</v>
      </c>
      <c r="H13" s="77">
        <f>+SUMIF('Mov_Analizados_Sept25 - Nov 25'!$H$10:$H$371,Resumen_Base!D13,'Mov_Analizados_Sept25 - Nov 25'!$I$10:$I$371)</f>
        <v>0</v>
      </c>
      <c r="I13" s="78">
        <f>+SUMIF('Mov_Analizados_Sept25 - Nov 25'!$H$10:$H$371,Resumen_Base!D13,'Mov_Analizados_Sept25 - Nov 25'!$J$10:$J$371)</f>
        <v>0</v>
      </c>
      <c r="K13" s="77">
        <f>+SUMIF(Mov_Analizados_Dic25!$H$10:$H$130,Resumen_Base!D13,Mov_Analizados_Dic25!$I$10:$I$130)</f>
        <v>0</v>
      </c>
      <c r="L13" s="78">
        <f>+SUMIF(Mov_Analizados_Dic25!$H$10:$H$130,Resumen_Base!D13,Mov_Analizados_Dic25!$J$10:$J$130)</f>
        <v>0</v>
      </c>
      <c r="N13" s="77">
        <f>+SUMIF(Mov_Analizados_Ene26!$H$10:$H$243,Resumen_Base!D13,Mov_Analizados_Ene26!$I$10:$I$243)</f>
        <v>0</v>
      </c>
      <c r="O13" s="78">
        <f>+SUMIF(Mov_Analizados_Ene26!$H$10:$H$243,Resumen_Base!D13,Mov_Analizados_Ene26!$J$10:$J$243)</f>
        <v>0</v>
      </c>
      <c r="Q13" s="77">
        <f>+SUMIF(Mov_Analizados_Feb26!$H$10:$H$259,Resumen_Base!D13,Mov_Analizados_Feb26!$I$10:$I$259)</f>
        <v>0</v>
      </c>
      <c r="R13" s="78">
        <f>+SUMIF(Mov_Analizados_Feb26!$H$10:$H$259,Resumen_Base!D13,Mov_Analizados_Feb26!$J$10:$J$259)</f>
        <v>0</v>
      </c>
      <c r="T13" s="77">
        <f>+SUMIF(Mov_Analizados_Mar26!$H$10:$H$259,Resumen_Base!D13,Mov_Analizados_Mar26!$I$10:$I$259)</f>
        <v>0</v>
      </c>
      <c r="U13" s="78">
        <f>+SUMIF(Mov_Analizados_Mar26!$H$10:$H$259,Resumen_Base!D13,Mov_Analizados_Mar26!$J$10:$J$259)</f>
        <v>0</v>
      </c>
      <c r="W13" s="77">
        <f>+SUMIF(Mov_Analizados_Abr26!$H$10:$H$258,Resumen_Base!D13,Mov_Analizados_Abr26!$I$10:$I$258)</f>
        <v>0</v>
      </c>
      <c r="X13" s="78">
        <f>+SUMIF(Mov_Analizados_Abr26!$H$10:$H$258,Resumen_Base!D13,Mov_Analizados_Abr26!$J$10:$J$258)</f>
        <v>0</v>
      </c>
      <c r="Z13" s="77">
        <f>+SUMIF(Mov_Analizados_May26!$H$10:$H$258,Resumen_Base!D13,Mov_Analizados_May26!$I$10:$I$258)</f>
        <v>0</v>
      </c>
      <c r="AA13" s="78">
        <f>+SUMIF(Mov_Analizados_May26!$H$10:$H$258,Resumen_Base!D13,Mov_Analizados_May26!$J$10:$J$258)</f>
        <v>0</v>
      </c>
      <c r="AC13" s="77">
        <f t="shared" si="0"/>
        <v>0</v>
      </c>
      <c r="AD13" s="78">
        <f t="shared" si="1"/>
        <v>0</v>
      </c>
    </row>
    <row r="14" spans="1:32">
      <c r="A14" s="5" t="str">
        <f>+VLOOKUP(B14,'Plan Cuentas Link Armado'!$A$3:$D$104,4,0)</f>
        <v>Fixed Asset's Payments (Investments) Mejoras/equipamiento Lodge</v>
      </c>
      <c r="B14" s="3" t="s">
        <v>50</v>
      </c>
      <c r="C14" t="s">
        <v>51</v>
      </c>
      <c r="D14" s="192" t="s">
        <v>390</v>
      </c>
      <c r="F14" s="5" t="str">
        <f>+VLOOKUP(B14,'Plan Cuentas Link Armado'!$A$3:$D$104,4,0)</f>
        <v>Fixed Asset's Payments (Investments) Mejoras/equipamiento Lodge</v>
      </c>
      <c r="H14" s="77">
        <f>+SUMIF('Mov_Analizados_Sept25 - Nov 25'!$H$10:$H$371,Resumen_Base!D14,'Mov_Analizados_Sept25 - Nov 25'!$I$10:$I$371)</f>
        <v>0</v>
      </c>
      <c r="I14" s="78">
        <f>+SUMIF('Mov_Analizados_Sept25 - Nov 25'!$H$10:$H$371,Resumen_Base!D14,'Mov_Analizados_Sept25 - Nov 25'!$J$10:$J$371)</f>
        <v>0</v>
      </c>
      <c r="K14" s="77">
        <f>+SUMIF(Mov_Analizados_Dic25!$H$10:$H$130,Resumen_Base!D14,Mov_Analizados_Dic25!$I$10:$I$130)</f>
        <v>0</v>
      </c>
      <c r="L14" s="78">
        <f>+SUMIF(Mov_Analizados_Dic25!$H$10:$H$130,Resumen_Base!D14,Mov_Analizados_Dic25!$J$10:$J$130)</f>
        <v>0</v>
      </c>
      <c r="N14" s="77">
        <f>+SUMIF(Mov_Analizados_Ene26!$H$10:$H$243,Resumen_Base!D14,Mov_Analizados_Ene26!$I$10:$I$243)</f>
        <v>0</v>
      </c>
      <c r="O14" s="78">
        <f>+SUMIF(Mov_Analizados_Ene26!$H$10:$H$243,Resumen_Base!D14,Mov_Analizados_Ene26!$J$10:$J$243)</f>
        <v>0</v>
      </c>
      <c r="Q14" s="77">
        <f>+SUMIF(Mov_Analizados_Feb26!$H$10:$H$259,Resumen_Base!D14,Mov_Analizados_Feb26!$I$10:$I$259)</f>
        <v>0</v>
      </c>
      <c r="R14" s="78">
        <f>+SUMIF(Mov_Analizados_Feb26!$H$10:$H$259,Resumen_Base!D14,Mov_Analizados_Feb26!$J$10:$J$259)</f>
        <v>0</v>
      </c>
      <c r="T14" s="77">
        <f>+SUMIF(Mov_Analizados_Mar26!$H$10:$H$259,Resumen_Base!D14,Mov_Analizados_Mar26!$I$10:$I$259)</f>
        <v>0</v>
      </c>
      <c r="U14" s="78">
        <f>+SUMIF(Mov_Analizados_Mar26!$H$10:$H$259,Resumen_Base!D14,Mov_Analizados_Mar26!$J$10:$J$259)</f>
        <v>0</v>
      </c>
      <c r="W14" s="77">
        <f>+SUMIF(Mov_Analizados_Abr26!$H$10:$H$258,Resumen_Base!D14,Mov_Analizados_Abr26!$I$10:$I$258)</f>
        <v>0</v>
      </c>
      <c r="X14" s="78">
        <f>+SUMIF(Mov_Analizados_Abr26!$H$10:$H$258,Resumen_Base!D14,Mov_Analizados_Abr26!$J$10:$J$258)</f>
        <v>0</v>
      </c>
      <c r="Z14" s="77">
        <f>+SUMIF(Mov_Analizados_May26!$H$10:$H$258,Resumen_Base!D14,Mov_Analizados_May26!$I$10:$I$258)</f>
        <v>0</v>
      </c>
      <c r="AA14" s="78">
        <f>+SUMIF(Mov_Analizados_May26!$H$10:$H$258,Resumen_Base!D14,Mov_Analizados_May26!$J$10:$J$258)</f>
        <v>0</v>
      </c>
      <c r="AC14" s="77">
        <f t="shared" si="0"/>
        <v>0</v>
      </c>
      <c r="AD14" s="78">
        <f t="shared" si="1"/>
        <v>0</v>
      </c>
    </row>
    <row r="15" spans="1:32">
      <c r="A15" s="5" t="str">
        <f>+VLOOKUP(B15,'Plan Cuentas Link Armado'!$A$3:$D$104,4,0)</f>
        <v>Communications - Phone, internet and satellite TV</v>
      </c>
      <c r="B15" s="3" t="s">
        <v>52</v>
      </c>
      <c r="C15" t="s">
        <v>53</v>
      </c>
      <c r="D15" t="s">
        <v>391</v>
      </c>
      <c r="F15" s="5" t="str">
        <f>+VLOOKUP(B15,'Plan Cuentas Link Armado'!$A$3:$D$104,4,0)</f>
        <v>Communications - Phone, internet and satellite TV</v>
      </c>
      <c r="H15" s="77">
        <f>+SUMIF('Mov_Analizados_Sept25 - Nov 25'!$H$10:$H$371,Resumen_Base!D15,'Mov_Analizados_Sept25 - Nov 25'!$I$10:$I$371)</f>
        <v>138551.9</v>
      </c>
      <c r="I15" s="78">
        <f>+SUMIF('Mov_Analizados_Sept25 - Nov 25'!$H$10:$H$371,Resumen_Base!D15,'Mov_Analizados_Sept25 - Nov 25'!$J$10:$J$371)</f>
        <v>96.74</v>
      </c>
      <c r="K15" s="77">
        <f>+SUMIF(Mov_Analizados_Dic25!$H$10:$H$130,Resumen_Base!D15,Mov_Analizados_Dic25!$I$10:$I$130)</f>
        <v>0</v>
      </c>
      <c r="L15" s="78">
        <f>+SUMIF(Mov_Analizados_Dic25!$H$10:$H$130,Resumen_Base!D15,Mov_Analizados_Dic25!$J$10:$J$130)</f>
        <v>0</v>
      </c>
      <c r="N15" s="77">
        <f>+SUMIF(Mov_Analizados_Ene26!$H$10:$H$243,Resumen_Base!D15,Mov_Analizados_Ene26!$I$10:$I$243)</f>
        <v>0</v>
      </c>
      <c r="O15" s="78">
        <f>+SUMIF(Mov_Analizados_Ene26!$H$10:$H$243,Resumen_Base!D15,Mov_Analizados_Ene26!$J$10:$J$243)</f>
        <v>3.44</v>
      </c>
      <c r="Q15" s="77">
        <f>+SUMIF(Mov_Analizados_Feb26!$H$10:$H$259,Resumen_Base!D15,Mov_Analizados_Feb26!$I$10:$I$259)</f>
        <v>0</v>
      </c>
      <c r="R15" s="78">
        <f>+SUMIF(Mov_Analizados_Feb26!$H$10:$H$259,Resumen_Base!D15,Mov_Analizados_Feb26!$J$10:$J$259)</f>
        <v>0</v>
      </c>
      <c r="T15" s="77">
        <f>+SUMIF(Mov_Analizados_Mar26!$H$10:$H$259,Resumen_Base!D15,Mov_Analizados_Mar26!$I$10:$I$259)</f>
        <v>43540.95</v>
      </c>
      <c r="U15" s="78">
        <f>+SUMIF(Mov_Analizados_Mar26!$H$10:$H$259,Resumen_Base!D15,Mov_Analizados_Mar26!$J$10:$J$259)</f>
        <v>30.99</v>
      </c>
      <c r="W15" s="77">
        <f>+SUMIF(Mov_Analizados_Abr26!$H$10:$H$258,Resumen_Base!D15,Mov_Analizados_Abr26!$I$10:$I$258)</f>
        <v>63323.350000000006</v>
      </c>
      <c r="X15" s="78">
        <f>+SUMIF(Mov_Analizados_Abr26!$H$10:$H$258,Resumen_Base!D15,Mov_Analizados_Abr26!$J$10:$J$258)</f>
        <v>45.07</v>
      </c>
      <c r="Z15" s="77">
        <f>+SUMIF(Mov_Analizados_May26!$H$10:$H$258,Resumen_Base!D15,Mov_Analizados_May26!$I$10:$I$258)</f>
        <v>60151.199999999997</v>
      </c>
      <c r="AA15" s="78">
        <f>+SUMIF(Mov_Analizados_May26!$H$10:$H$258,Resumen_Base!D15,Mov_Analizados_May26!$J$10:$J$258)</f>
        <v>42.36</v>
      </c>
      <c r="AC15" s="77">
        <f t="shared" si="0"/>
        <v>305567.39999999997</v>
      </c>
      <c r="AD15" s="78">
        <f t="shared" si="1"/>
        <v>218.59999999999997</v>
      </c>
    </row>
    <row r="16" spans="1:32">
      <c r="A16" s="5" t="str">
        <f>+VLOOKUP(B16,'Plan Cuentas Link Armado'!$A$3:$D$104,4,0)</f>
        <v>Food &amp; Wine</v>
      </c>
      <c r="B16" s="3" t="s">
        <v>43</v>
      </c>
      <c r="C16" s="192" t="s">
        <v>42</v>
      </c>
      <c r="D16" t="s">
        <v>392</v>
      </c>
      <c r="F16" s="5" t="str">
        <f>+VLOOKUP(B16,'Plan Cuentas Link Armado'!$A$3:$D$104,4,0)</f>
        <v>Food &amp; Wine</v>
      </c>
      <c r="H16" s="77">
        <f>+SUMIF('Mov_Analizados_Sept25 - Nov 25'!$H$10:$H$371,Resumen_Base!D16,'Mov_Analizados_Sept25 - Nov 25'!$I$10:$I$371)</f>
        <v>2530440</v>
      </c>
      <c r="I16" s="78">
        <f>+SUMIF('Mov_Analizados_Sept25 - Nov 25'!$H$10:$H$371,Resumen_Base!D16,'Mov_Analizados_Sept25 - Nov 25'!$J$10:$J$371)</f>
        <v>1804.9219315895341</v>
      </c>
      <c r="K16" s="77">
        <f>+SUMIF(Mov_Analizados_Dic25!$H$10:$H$130,Resumen_Base!D16,Mov_Analizados_Dic25!$I$10:$I$130)</f>
        <v>0</v>
      </c>
      <c r="L16" s="78">
        <f>+SUMIF(Mov_Analizados_Dic25!$H$10:$H$130,Resumen_Base!D16,Mov_Analizados_Dic25!$J$10:$J$130)</f>
        <v>0</v>
      </c>
      <c r="N16" s="77">
        <f>+SUMIF(Mov_Analizados_Ene26!$H$10:$H$243,Resumen_Base!D16,Mov_Analizados_Ene26!$I$10:$I$243)</f>
        <v>2252396.46</v>
      </c>
      <c r="O16" s="78">
        <f>+SUMIF(Mov_Analizados_Ene26!$H$10:$H$243,Resumen_Base!D16,Mov_Analizados_Ene26!$J$10:$J$243)</f>
        <v>1522.1951628056622</v>
      </c>
      <c r="Q16" s="77">
        <f>+SUMIF(Mov_Analizados_Feb26!$H$10:$H$259,Resumen_Base!D16,Mov_Analizados_Feb26!$I$10:$I$259)</f>
        <v>-1304896.46</v>
      </c>
      <c r="R16" s="78">
        <f>+SUMIF(Mov_Analizados_Feb26!$H$10:$H$259,Resumen_Base!D16,Mov_Analizados_Feb26!$J$10:$J$259)</f>
        <v>-915.71681403508796</v>
      </c>
      <c r="T16" s="77">
        <f>+SUMIF(Mov_Analizados_Mar26!$H$10:$H$259,Resumen_Base!D16,Mov_Analizados_Mar26!$I$10:$I$259)</f>
        <v>0</v>
      </c>
      <c r="U16" s="78">
        <f>+SUMIF(Mov_Analizados_Mar26!$H$10:$H$259,Resumen_Base!D16,Mov_Analizados_Mar26!$J$10:$J$259)</f>
        <v>0</v>
      </c>
      <c r="W16" s="77">
        <f>+SUMIF(Mov_Analizados_Abr26!$H$10:$H$258,Resumen_Base!D16,Mov_Analizados_Abr26!$I$10:$I$258)</f>
        <v>0</v>
      </c>
      <c r="X16" s="78">
        <f>+SUMIF(Mov_Analizados_Abr26!$H$10:$H$258,Resumen_Base!D16,Mov_Analizados_Abr26!$J$10:$J$258)</f>
        <v>0</v>
      </c>
      <c r="Z16" s="77">
        <f>+SUMIF(Mov_Analizados_May26!$H$10:$H$258,Resumen_Base!D16,Mov_Analizados_May26!$I$10:$I$258)</f>
        <v>0</v>
      </c>
      <c r="AA16" s="78">
        <f>+SUMIF(Mov_Analizados_May26!$H$10:$H$258,Resumen_Base!D16,Mov_Analizados_May26!$J$10:$J$258)</f>
        <v>0</v>
      </c>
      <c r="AC16" s="77">
        <f t="shared" si="0"/>
        <v>3477940</v>
      </c>
      <c r="AD16" s="78">
        <f t="shared" si="1"/>
        <v>2411.4002803601088</v>
      </c>
    </row>
    <row r="17" spans="1:30">
      <c r="A17" s="5" t="str">
        <f>+VLOOKUP(B17,'Plan Cuentas Link Armado'!$A$3:$D$104,4,0)</f>
        <v>Miscellaneous &amp; Shipping</v>
      </c>
      <c r="B17" s="3" t="s">
        <v>41</v>
      </c>
      <c r="C17" t="s">
        <v>40</v>
      </c>
      <c r="D17" t="s">
        <v>393</v>
      </c>
      <c r="F17" s="5" t="str">
        <f>+VLOOKUP(B17,'Plan Cuentas Link Armado'!$A$3:$D$104,4,0)</f>
        <v>Miscellaneous &amp; Shipping</v>
      </c>
      <c r="H17" s="77">
        <f>+SUMIF('Mov_Analizados_Sept25 - Nov 25'!$H$10:$H$371,Resumen_Base!D17,'Mov_Analizados_Sept25 - Nov 25'!$I$10:$I$371)</f>
        <v>0</v>
      </c>
      <c r="I17" s="78">
        <f>+SUMIF('Mov_Analizados_Sept25 - Nov 25'!$H$10:$H$371,Resumen_Base!D17,'Mov_Analizados_Sept25 - Nov 25'!$J$10:$J$371)</f>
        <v>0</v>
      </c>
      <c r="K17" s="77">
        <f>+SUMIF(Mov_Analizados_Dic25!$H$10:$H$130,Resumen_Base!D17,Mov_Analizados_Dic25!$I$10:$I$130)</f>
        <v>0</v>
      </c>
      <c r="L17" s="78">
        <f>+SUMIF(Mov_Analizados_Dic25!$H$10:$H$130,Resumen_Base!D17,Mov_Analizados_Dic25!$J$10:$J$130)</f>
        <v>0</v>
      </c>
      <c r="N17" s="77">
        <f>+SUMIF(Mov_Analizados_Ene26!$H$10:$H$243,Resumen_Base!D17,Mov_Analizados_Ene26!$I$10:$I$243)</f>
        <v>0</v>
      </c>
      <c r="O17" s="78">
        <f>+SUMIF(Mov_Analizados_Ene26!$H$10:$H$243,Resumen_Base!D17,Mov_Analizados_Ene26!$J$10:$J$243)</f>
        <v>0</v>
      </c>
      <c r="Q17" s="77">
        <f>+SUMIF(Mov_Analizados_Feb26!$H$10:$H$259,Resumen_Base!D17,Mov_Analizados_Feb26!$I$10:$I$259)</f>
        <v>0</v>
      </c>
      <c r="R17" s="78">
        <f>+SUMIF(Mov_Analizados_Feb26!$H$10:$H$259,Resumen_Base!D17,Mov_Analizados_Feb26!$J$10:$J$259)</f>
        <v>0</v>
      </c>
      <c r="T17" s="77">
        <f>+SUMIF(Mov_Analizados_Mar26!$H$10:$H$259,Resumen_Base!D17,Mov_Analizados_Mar26!$I$10:$I$259)</f>
        <v>0</v>
      </c>
      <c r="U17" s="78">
        <f>+SUMIF(Mov_Analizados_Mar26!$H$10:$H$259,Resumen_Base!D17,Mov_Analizados_Mar26!$J$10:$J$259)</f>
        <v>0</v>
      </c>
      <c r="W17" s="77">
        <f>+SUMIF(Mov_Analizados_Abr26!$H$10:$H$258,Resumen_Base!D17,Mov_Analizados_Abr26!$I$10:$I$258)</f>
        <v>0</v>
      </c>
      <c r="X17" s="78">
        <f>+SUMIF(Mov_Analizados_Abr26!$H$10:$H$258,Resumen_Base!D17,Mov_Analizados_Abr26!$J$10:$J$258)</f>
        <v>0</v>
      </c>
      <c r="Z17" s="77">
        <f>+SUMIF(Mov_Analizados_May26!$H$10:$H$258,Resumen_Base!D17,Mov_Analizados_May26!$I$10:$I$258)</f>
        <v>4777000</v>
      </c>
      <c r="AA17" s="78">
        <f>+SUMIF(Mov_Analizados_May26!$H$10:$H$258,Resumen_Base!D17,Mov_Analizados_May26!$J$10:$J$258)</f>
        <v>3400</v>
      </c>
      <c r="AC17" s="77">
        <f t="shared" si="0"/>
        <v>4777000</v>
      </c>
      <c r="AD17" s="78">
        <f t="shared" si="1"/>
        <v>3400</v>
      </c>
    </row>
    <row r="18" spans="1:30">
      <c r="A18" s="5" t="str">
        <f>+VLOOKUP(B18,'Plan Cuentas Link Armado'!$A$3:$D$104,4,0)</f>
        <v>Miscellaneous &amp; Shipping</v>
      </c>
      <c r="B18" s="3" t="s">
        <v>54</v>
      </c>
      <c r="C18" t="s">
        <v>55</v>
      </c>
      <c r="D18" t="s">
        <v>394</v>
      </c>
      <c r="F18" s="5" t="str">
        <f>+VLOOKUP(B18,'Plan Cuentas Link Armado'!$A$3:$D$104,4,0)</f>
        <v>Miscellaneous &amp; Shipping</v>
      </c>
      <c r="H18" s="77">
        <f>+SUMIF('Mov_Analizados_Sept25 - Nov 25'!$H$10:$H$371,Resumen_Base!D18,'Mov_Analizados_Sept25 - Nov 25'!$I$10:$I$371)</f>
        <v>1555823.5</v>
      </c>
      <c r="I18" s="78">
        <f>+SUMIF('Mov_Analizados_Sept25 - Nov 25'!$H$10:$H$371,Resumen_Base!D18,'Mov_Analizados_Sept25 - Nov 25'!$J$10:$J$371)</f>
        <v>1107.2264926739924</v>
      </c>
      <c r="K18" s="77">
        <f>+SUMIF(Mov_Analizados_Dic25!$H$10:$H$130,Resumen_Base!D18,Mov_Analizados_Dic25!$I$10:$I$130)</f>
        <v>0</v>
      </c>
      <c r="L18" s="78">
        <f>+SUMIF(Mov_Analizados_Dic25!$H$10:$H$130,Resumen_Base!D18,Mov_Analizados_Dic25!$J$10:$J$130)</f>
        <v>0</v>
      </c>
      <c r="N18" s="77">
        <f>+SUMIF(Mov_Analizados_Ene26!$H$10:$H$243,Resumen_Base!D18,Mov_Analizados_Ene26!$I$10:$I$243)</f>
        <v>199380</v>
      </c>
      <c r="O18" s="78">
        <f>+SUMIF(Mov_Analizados_Ene26!$H$10:$H$243,Resumen_Base!D18,Mov_Analizados_Ene26!$J$10:$J$243)</f>
        <v>134.79941165655441</v>
      </c>
      <c r="Q18" s="77">
        <f>+SUMIF(Mov_Analizados_Feb26!$H$10:$H$259,Resumen_Base!D18,Mov_Analizados_Feb26!$I$10:$I$259)</f>
        <v>259637</v>
      </c>
      <c r="R18" s="78">
        <f>+SUMIF(Mov_Analizados_Feb26!$H$10:$H$259,Resumen_Base!D18,Mov_Analizados_Feb26!$J$10:$J$259)</f>
        <v>180.30347222222201</v>
      </c>
      <c r="T18" s="77">
        <f>+SUMIF(Mov_Analizados_Mar26!$H$10:$H$259,Resumen_Base!D18,Mov_Analizados_Mar26!$I$10:$I$259)</f>
        <v>27609.55</v>
      </c>
      <c r="U18" s="78">
        <f>+SUMIF(Mov_Analizados_Mar26!$H$10:$H$259,Resumen_Base!D18,Mov_Analizados_Mar26!$J$10:$J$259)</f>
        <v>19.681428571428569</v>
      </c>
      <c r="W18" s="77">
        <f>+SUMIF(Mov_Analizados_Abr26!$H$10:$H$258,Resumen_Base!D18,Mov_Analizados_Abr26!$I$10:$I$258)</f>
        <v>51000</v>
      </c>
      <c r="X18" s="78">
        <f>+SUMIF(Mov_Analizados_Abr26!$H$10:$H$258,Resumen_Base!D18,Mov_Analizados_Abr26!$J$10:$J$258)</f>
        <v>36.298932384341597</v>
      </c>
      <c r="Z18" s="77">
        <f>+SUMIF(Mov_Analizados_May26!$H$10:$H$258,Resumen_Base!D18,Mov_Analizados_May26!$I$10:$I$258)</f>
        <v>0</v>
      </c>
      <c r="AA18" s="78">
        <f>+SUMIF(Mov_Analizados_May26!$H$10:$H$258,Resumen_Base!D18,Mov_Analizados_May26!$J$10:$J$258)</f>
        <v>0</v>
      </c>
      <c r="AC18" s="77">
        <f t="shared" si="0"/>
        <v>2093450.05</v>
      </c>
      <c r="AD18" s="78">
        <f t="shared" si="1"/>
        <v>1478.309737508539</v>
      </c>
    </row>
    <row r="19" spans="1:30">
      <c r="A19" s="5" t="str">
        <f>+VLOOKUP(B19,'Plan Cuentas Link Armado'!$A$3:$D$104,4,0)</f>
        <v>Miscellaneous &amp; Shipping</v>
      </c>
      <c r="B19" s="70" t="s">
        <v>270</v>
      </c>
      <c r="C19" s="5" t="s">
        <v>251</v>
      </c>
      <c r="D19" s="192" t="s">
        <v>395</v>
      </c>
      <c r="F19" s="5" t="str">
        <f>+VLOOKUP(B19,'Plan Cuentas Link Armado'!$A$3:$D$104,4,0)</f>
        <v>Miscellaneous &amp; Shipping</v>
      </c>
      <c r="H19" s="77">
        <f>+SUMIF('Mov_Analizados_Sept25 - Nov 25'!$H$10:$H$371,Resumen_Base!D19,'Mov_Analizados_Sept25 - Nov 25'!$I$10:$I$371)</f>
        <v>0</v>
      </c>
      <c r="I19" s="78">
        <f>+SUMIF('Mov_Analizados_Sept25 - Nov 25'!$H$10:$H$371,Resumen_Base!D19,'Mov_Analizados_Sept25 - Nov 25'!$J$10:$J$371)</f>
        <v>0</v>
      </c>
      <c r="K19" s="77">
        <f>+SUMIF(Mov_Analizados_Dic25!$H$10:$H$130,Resumen_Base!D19,Mov_Analizados_Dic25!$I$10:$I$130)</f>
        <v>0</v>
      </c>
      <c r="L19" s="78">
        <f>+SUMIF(Mov_Analizados_Dic25!$H$10:$H$130,Resumen_Base!D19,Mov_Analizados_Dic25!$J$10:$J$130)</f>
        <v>0</v>
      </c>
      <c r="N19" s="77">
        <f>+SUMIF(Mov_Analizados_Ene26!$H$10:$H$243,Resumen_Base!D19,Mov_Analizados_Ene26!$I$10:$I$243)</f>
        <v>0</v>
      </c>
      <c r="O19" s="78">
        <f>+SUMIF(Mov_Analizados_Ene26!$H$10:$H$243,Resumen_Base!D19,Mov_Analizados_Ene26!$J$10:$J$243)</f>
        <v>0</v>
      </c>
      <c r="Q19" s="77">
        <f>+SUMIF(Mov_Analizados_Feb26!$H$10:$H$259,Resumen_Base!D19,Mov_Analizados_Feb26!$I$10:$I$259)</f>
        <v>0</v>
      </c>
      <c r="R19" s="78">
        <f>+SUMIF(Mov_Analizados_Feb26!$H$10:$H$259,Resumen_Base!D19,Mov_Analizados_Feb26!$J$10:$J$259)</f>
        <v>0</v>
      </c>
      <c r="T19" s="77">
        <f>+SUMIF(Mov_Analizados_Mar26!$H$10:$H$259,Resumen_Base!D19,Mov_Analizados_Mar26!$I$10:$I$259)</f>
        <v>0</v>
      </c>
      <c r="U19" s="78">
        <f>+SUMIF(Mov_Analizados_Mar26!$H$10:$H$259,Resumen_Base!D19,Mov_Analizados_Mar26!$J$10:$J$259)</f>
        <v>0</v>
      </c>
      <c r="W19" s="77">
        <f>+SUMIF(Mov_Analizados_Abr26!$H$10:$H$258,Resumen_Base!D19,Mov_Analizados_Abr26!$I$10:$I$258)</f>
        <v>0</v>
      </c>
      <c r="X19" s="78">
        <f>+SUMIF(Mov_Analizados_Abr26!$H$10:$H$258,Resumen_Base!D19,Mov_Analizados_Abr26!$J$10:$J$258)</f>
        <v>0</v>
      </c>
      <c r="Z19" s="77">
        <f>+SUMIF(Mov_Analizados_May26!$H$10:$H$258,Resumen_Base!D19,Mov_Analizados_May26!$I$10:$I$258)</f>
        <v>0</v>
      </c>
      <c r="AA19" s="78">
        <f>+SUMIF(Mov_Analizados_May26!$H$10:$H$258,Resumen_Base!D19,Mov_Analizados_May26!$J$10:$J$258)</f>
        <v>0</v>
      </c>
      <c r="AC19" s="77">
        <f t="shared" si="0"/>
        <v>0</v>
      </c>
      <c r="AD19" s="78">
        <f t="shared" si="1"/>
        <v>0</v>
      </c>
    </row>
    <row r="20" spans="1:30">
      <c r="A20" s="5" t="str">
        <f>+VLOOKUP(B20,'Plan Cuentas Link Armado'!$A$3:$D$104,4,0)</f>
        <v>Miscellaneous &amp; Shipping</v>
      </c>
      <c r="B20" s="3" t="s">
        <v>117</v>
      </c>
      <c r="C20" t="s">
        <v>118</v>
      </c>
      <c r="D20" t="s">
        <v>396</v>
      </c>
      <c r="F20" s="5" t="str">
        <f>+VLOOKUP(B20,'Plan Cuentas Link Armado'!$A$3:$D$104,4,0)</f>
        <v>Miscellaneous &amp; Shipping</v>
      </c>
      <c r="H20" s="77">
        <f>+SUMIF('Mov_Analizados_Sept25 - Nov 25'!$H$10:$H$371,Resumen_Base!D20,'Mov_Analizados_Sept25 - Nov 25'!$I$10:$I$371)</f>
        <v>0</v>
      </c>
      <c r="I20" s="78">
        <f>+SUMIF('Mov_Analizados_Sept25 - Nov 25'!$H$10:$H$371,Resumen_Base!D20,'Mov_Analizados_Sept25 - Nov 25'!$J$10:$J$371)</f>
        <v>0</v>
      </c>
      <c r="K20" s="77">
        <f>+SUMIF(Mov_Analizados_Dic25!$H$10:$H$130,Resumen_Base!D20,Mov_Analizados_Dic25!$I$10:$I$130)</f>
        <v>0</v>
      </c>
      <c r="L20" s="78">
        <f>+SUMIF(Mov_Analizados_Dic25!$H$10:$H$130,Resumen_Base!D20,Mov_Analizados_Dic25!$J$10:$J$130)</f>
        <v>0</v>
      </c>
      <c r="N20" s="77">
        <f>+SUMIF(Mov_Analizados_Ene26!$H$10:$H$243,Resumen_Base!D20,Mov_Analizados_Ene26!$I$10:$I$243)</f>
        <v>0</v>
      </c>
      <c r="O20" s="78">
        <f>+SUMIF(Mov_Analizados_Ene26!$H$10:$H$243,Resumen_Base!D20,Mov_Analizados_Ene26!$J$10:$J$243)</f>
        <v>0</v>
      </c>
      <c r="Q20" s="77">
        <f>+SUMIF(Mov_Analizados_Feb26!$H$10:$H$259,Resumen_Base!D20,Mov_Analizados_Feb26!$I$10:$I$259)</f>
        <v>0</v>
      </c>
      <c r="R20" s="78">
        <f>+SUMIF(Mov_Analizados_Feb26!$H$10:$H$259,Resumen_Base!D20,Mov_Analizados_Feb26!$J$10:$J$259)</f>
        <v>0</v>
      </c>
      <c r="T20" s="77">
        <f>+SUMIF(Mov_Analizados_Mar26!$H$10:$H$259,Resumen_Base!D20,Mov_Analizados_Mar26!$I$10:$I$259)</f>
        <v>0</v>
      </c>
      <c r="U20" s="78">
        <f>+SUMIF(Mov_Analizados_Mar26!$H$10:$H$259,Resumen_Base!D20,Mov_Analizados_Mar26!$J$10:$J$259)</f>
        <v>0</v>
      </c>
      <c r="W20" s="77">
        <f>+SUMIF(Mov_Analizados_Abr26!$H$10:$H$258,Resumen_Base!D20,Mov_Analizados_Abr26!$I$10:$I$258)</f>
        <v>0</v>
      </c>
      <c r="X20" s="78">
        <f>+SUMIF(Mov_Analizados_Abr26!$H$10:$H$258,Resumen_Base!D20,Mov_Analizados_Abr26!$J$10:$J$258)</f>
        <v>0</v>
      </c>
      <c r="Z20" s="77">
        <f>+SUMIF(Mov_Analizados_May26!$H$10:$H$258,Resumen_Base!D20,Mov_Analizados_May26!$I$10:$I$258)</f>
        <v>0</v>
      </c>
      <c r="AA20" s="78">
        <f>+SUMIF(Mov_Analizados_May26!$H$10:$H$258,Resumen_Base!D20,Mov_Analizados_May26!$J$10:$J$258)</f>
        <v>0</v>
      </c>
      <c r="AC20" s="77">
        <f t="shared" si="0"/>
        <v>0</v>
      </c>
      <c r="AD20" s="78">
        <f t="shared" si="1"/>
        <v>0</v>
      </c>
    </row>
    <row r="21" spans="1:30">
      <c r="A21" s="5" t="str">
        <f>+VLOOKUP(B21,'Plan Cuentas Link Armado'!$A$3:$D$104,4,0)</f>
        <v>Electricity</v>
      </c>
      <c r="B21" s="3" t="s">
        <v>39</v>
      </c>
      <c r="C21" t="s">
        <v>38</v>
      </c>
      <c r="D21" t="s">
        <v>397</v>
      </c>
      <c r="F21" s="5" t="str">
        <f>+VLOOKUP(B21,'Plan Cuentas Link Armado'!$A$3:$D$104,4,0)</f>
        <v>Electricity</v>
      </c>
      <c r="H21" s="77">
        <f>+SUMIF('Mov_Analizados_Sept25 - Nov 25'!$H$10:$H$371,Resumen_Base!D21,'Mov_Analizados_Sept25 - Nov 25'!$I$10:$I$371)</f>
        <v>208050</v>
      </c>
      <c r="I21" s="78">
        <f>+SUMIF('Mov_Analizados_Sept25 - Nov 25'!$H$10:$H$371,Resumen_Base!D21,'Mov_Analizados_Sept25 - Nov 25'!$J$10:$J$371)</f>
        <v>147.83403543871529</v>
      </c>
      <c r="K21" s="77">
        <f>+SUMIF(Mov_Analizados_Dic25!$H$10:$H$130,Resumen_Base!D21,Mov_Analizados_Dic25!$I$10:$I$130)</f>
        <v>453700</v>
      </c>
      <c r="L21" s="78">
        <f>+SUMIF(Mov_Analizados_Dic25!$H$10:$H$130,Resumen_Base!D21,Mov_Analizados_Dic25!$J$10:$J$130)</f>
        <v>314.56788349142403</v>
      </c>
      <c r="N21" s="77">
        <f>+SUMIF(Mov_Analizados_Ene26!$H$10:$H$243,Resumen_Base!D21,Mov_Analizados_Ene26!$I$10:$I$243)</f>
        <v>394200</v>
      </c>
      <c r="O21" s="78">
        <f>+SUMIF(Mov_Analizados_Ene26!$H$10:$H$243,Resumen_Base!D21,Mov_Analizados_Ene26!$J$10:$J$243)</f>
        <v>266.3513513513513</v>
      </c>
      <c r="Q21" s="77">
        <f>+SUMIF(Mov_Analizados_Feb26!$H$10:$H$259,Resumen_Base!D21,Mov_Analizados_Feb26!$I$10:$I$259)</f>
        <v>590633</v>
      </c>
      <c r="R21" s="78">
        <f>+SUMIF(Mov_Analizados_Feb26!$H$10:$H$259,Resumen_Base!D21,Mov_Analizados_Feb26!$J$10:$J$259)</f>
        <v>412.76304824561447</v>
      </c>
      <c r="T21" s="77">
        <f>+SUMIF(Mov_Analizados_Mar26!$H$10:$H$259,Resumen_Base!D21,Mov_Analizados_Mar26!$I$10:$I$259)</f>
        <v>196200</v>
      </c>
      <c r="U21" s="78">
        <f>+SUMIF(Mov_Analizados_Mar26!$H$10:$H$259,Resumen_Base!D21,Mov_Analizados_Mar26!$J$10:$J$259)</f>
        <v>139.24575280107649</v>
      </c>
      <c r="W21" s="77">
        <f>+SUMIF(Mov_Analizados_Abr26!$H$10:$H$258,Resumen_Base!D21,Mov_Analizados_Abr26!$I$10:$I$258)</f>
        <v>220200</v>
      </c>
      <c r="X21" s="78">
        <f>+SUMIF(Mov_Analizados_Abr26!$H$10:$H$258,Resumen_Base!D21,Mov_Analizados_Abr26!$J$10:$J$258)</f>
        <v>156.72597864768699</v>
      </c>
      <c r="Z21" s="77">
        <f>+SUMIF(Mov_Analizados_May26!$H$10:$H$258,Resumen_Base!D21,Mov_Analizados_May26!$I$10:$I$258)</f>
        <v>0</v>
      </c>
      <c r="AA21" s="78">
        <f>+SUMIF(Mov_Analizados_May26!$H$10:$H$258,Resumen_Base!D21,Mov_Analizados_May26!$J$10:$J$258)</f>
        <v>0</v>
      </c>
      <c r="AC21" s="77">
        <f t="shared" si="0"/>
        <v>2062983</v>
      </c>
      <c r="AD21" s="78">
        <f t="shared" si="1"/>
        <v>1437.4880499758688</v>
      </c>
    </row>
    <row r="22" spans="1:30">
      <c r="A22" s="5" t="str">
        <f>+VLOOKUP(B22,'Plan Cuentas Link Armado'!$A$3:$D$104,4,0)</f>
        <v>Propane</v>
      </c>
      <c r="B22" s="3" t="s">
        <v>37</v>
      </c>
      <c r="C22" t="s">
        <v>36</v>
      </c>
      <c r="D22" t="s">
        <v>398</v>
      </c>
      <c r="F22" s="5" t="str">
        <f>+VLOOKUP(B22,'Plan Cuentas Link Armado'!$A$3:$D$104,4,0)</f>
        <v>Propane</v>
      </c>
      <c r="H22" s="77">
        <f>+SUMIF('Mov_Analizados_Sept25 - Nov 25'!$H$10:$H$371,Resumen_Base!D22,'Mov_Analizados_Sept25 - Nov 25'!$I$10:$I$371)</f>
        <v>944800</v>
      </c>
      <c r="I22" s="78">
        <f>+SUMIF('Mov_Analizados_Sept25 - Nov 25'!$H$10:$H$371,Resumen_Base!D22,'Mov_Analizados_Sept25 - Nov 25'!$J$10:$J$371)</f>
        <v>667.33433335334109</v>
      </c>
      <c r="K22" s="77">
        <f>+SUMIF(Mov_Analizados_Dic25!$H$10:$H$130,Resumen_Base!D22,Mov_Analizados_Dic25!$I$10:$I$130)</f>
        <v>317000</v>
      </c>
      <c r="L22" s="78">
        <f>+SUMIF(Mov_Analizados_Dic25!$H$10:$H$130,Resumen_Base!D22,Mov_Analizados_Dic25!$J$10:$J$130)</f>
        <v>218.13739580339131</v>
      </c>
      <c r="N22" s="77">
        <f>+SUMIF(Mov_Analizados_Ene26!$H$10:$H$243,Resumen_Base!D22,Mov_Analizados_Ene26!$I$10:$I$243)</f>
        <v>277300</v>
      </c>
      <c r="O22" s="78">
        <f>+SUMIF(Mov_Analizados_Ene26!$H$10:$H$243,Resumen_Base!D22,Mov_Analizados_Ene26!$J$10:$J$243)</f>
        <v>187.8428939143225</v>
      </c>
      <c r="Q22" s="77">
        <f>+SUMIF(Mov_Analizados_Feb26!$H$10:$H$259,Resumen_Base!D22,Mov_Analizados_Feb26!$I$10:$I$259)</f>
        <v>433100</v>
      </c>
      <c r="R22" s="78">
        <f>+SUMIF(Mov_Analizados_Feb26!$H$10:$H$259,Resumen_Base!D22,Mov_Analizados_Feb26!$J$10:$J$259)</f>
        <v>304.36650187010565</v>
      </c>
      <c r="T22" s="77">
        <f>+SUMIF(Mov_Analizados_Mar26!$H$10:$H$259,Resumen_Base!D22,Mov_Analizados_Mar26!$I$10:$I$259)</f>
        <v>463000</v>
      </c>
      <c r="U22" s="78">
        <f>+SUMIF(Mov_Analizados_Mar26!$H$10:$H$259,Resumen_Base!D22,Mov_Analizados_Mar26!$J$10:$J$259)</f>
        <v>329.21965570779599</v>
      </c>
      <c r="W22" s="77">
        <f>+SUMIF(Mov_Analizados_Abr26!$H$10:$H$258,Resumen_Base!D22,Mov_Analizados_Abr26!$I$10:$I$258)</f>
        <v>315000</v>
      </c>
      <c r="X22" s="78">
        <f>+SUMIF(Mov_Analizados_Abr26!$H$10:$H$258,Resumen_Base!D22,Mov_Analizados_Abr26!$J$10:$J$258)</f>
        <v>224.1992882562281</v>
      </c>
      <c r="Z22" s="77">
        <f>+SUMIF(Mov_Analizados_May26!$H$10:$H$258,Resumen_Base!D22,Mov_Analizados_May26!$I$10:$I$258)</f>
        <v>302100</v>
      </c>
      <c r="AA22" s="78">
        <f>+SUMIF(Mov_Analizados_May26!$H$10:$H$258,Resumen_Base!D22,Mov_Analizados_May26!$J$10:$J$258)</f>
        <v>215.0177935943062</v>
      </c>
      <c r="AC22" s="77">
        <f t="shared" si="0"/>
        <v>3052300</v>
      </c>
      <c r="AD22" s="78">
        <f t="shared" si="1"/>
        <v>2146.1178624994909</v>
      </c>
    </row>
    <row r="23" spans="1:30">
      <c r="A23" s="5" t="str">
        <f>+VLOOKUP(B23,'Plan Cuentas Link Armado'!$A$3:$D$104,4,0)</f>
        <v>Food &amp; Wine</v>
      </c>
      <c r="B23" s="3" t="s">
        <v>35</v>
      </c>
      <c r="C23" t="s">
        <v>34</v>
      </c>
      <c r="D23" t="s">
        <v>399</v>
      </c>
      <c r="F23" s="5" t="str">
        <f>+VLOOKUP(B23,'Plan Cuentas Link Armado'!$A$3:$D$104,4,0)</f>
        <v>Food &amp; Wine</v>
      </c>
      <c r="H23" s="77">
        <f>+SUMIF('Mov_Analizados_Sept25 - Nov 25'!$H$10:$H$371,Resumen_Base!D23,'Mov_Analizados_Sept25 - Nov 25'!$I$10:$I$371)</f>
        <v>9159822</v>
      </c>
      <c r="I23" s="78">
        <f>+SUMIF('Mov_Analizados_Sept25 - Nov 25'!$H$10:$H$371,Resumen_Base!D23,'Mov_Analizados_Sept25 - Nov 25'!$J$10:$J$371)</f>
        <v>6504.4852860777828</v>
      </c>
      <c r="K23" s="77">
        <f>+SUMIF(Mov_Analizados_Dic25!$H$10:$H$130,Resumen_Base!D23,Mov_Analizados_Dic25!$I$10:$I$130)</f>
        <v>2856017</v>
      </c>
      <c r="L23" s="78">
        <f>+SUMIF(Mov_Analizados_Dic25!$H$10:$H$130,Resumen_Base!D23,Mov_Analizados_Dic25!$J$10:$J$130)</f>
        <v>1996.8654977483948</v>
      </c>
      <c r="N23" s="77">
        <f>+SUMIF(Mov_Analizados_Ene26!$H$10:$H$243,Resumen_Base!D23,Mov_Analizados_Ene26!$I$10:$I$243)</f>
        <v>7766044.4000000004</v>
      </c>
      <c r="O23" s="78">
        <f>+SUMIF(Mov_Analizados_Ene26!$H$10:$H$243,Resumen_Base!D23,Mov_Analizados_Ene26!$J$10:$J$243)</f>
        <v>5259.3229260893522</v>
      </c>
      <c r="Q23" s="77">
        <f>+SUMIF(Mov_Analizados_Feb26!$H$10:$H$259,Resumen_Base!D23,Mov_Analizados_Feb26!$I$10:$I$259)</f>
        <v>5574871</v>
      </c>
      <c r="R23" s="78">
        <f>+SUMIF(Mov_Analizados_Feb26!$H$10:$H$259,Resumen_Base!D23,Mov_Analizados_Feb26!$J$10:$J$259)</f>
        <v>3918.1837598671264</v>
      </c>
      <c r="T23" s="77">
        <f>+SUMIF(Mov_Analizados_Mar26!$H$10:$H$259,Resumen_Base!D23,Mov_Analizados_Mar26!$I$10:$I$259)</f>
        <v>5976060</v>
      </c>
      <c r="U23" s="78">
        <f>+SUMIF(Mov_Analizados_Mar26!$H$10:$H$259,Resumen_Base!D23,Mov_Analizados_Mar26!$J$10:$J$259)</f>
        <v>4256.4537659853368</v>
      </c>
      <c r="W23" s="77">
        <f>+SUMIF(Mov_Analizados_Abr26!$H$10:$H$258,Resumen_Base!D23,Mov_Analizados_Abr26!$I$10:$I$258)</f>
        <v>3039432</v>
      </c>
      <c r="X23" s="78">
        <f>+SUMIF(Mov_Analizados_Abr26!$H$10:$H$258,Resumen_Base!D23,Mov_Analizados_Abr26!$J$10:$J$258)</f>
        <v>2163.2967971530256</v>
      </c>
      <c r="Z23" s="77">
        <f>+SUMIF(Mov_Analizados_May26!$H$10:$H$258,Resumen_Base!D23,Mov_Analizados_May26!$I$10:$I$258)</f>
        <v>1261452</v>
      </c>
      <c r="AA23" s="78">
        <f>+SUMIF(Mov_Analizados_May26!$H$10:$H$258,Resumen_Base!D23,Mov_Analizados_May26!$J$10:$J$258)</f>
        <v>897.42141496666841</v>
      </c>
      <c r="AC23" s="77">
        <f t="shared" si="0"/>
        <v>35633698.399999999</v>
      </c>
      <c r="AD23" s="78">
        <f t="shared" si="1"/>
        <v>24996.029447887689</v>
      </c>
    </row>
    <row r="24" spans="1:30">
      <c r="A24" s="5" t="str">
        <f>+VLOOKUP(B24,'Plan Cuentas Link Armado'!$A$3:$D$104,4,0)</f>
        <v>Food &amp; Wine</v>
      </c>
      <c r="B24" s="3" t="s">
        <v>712</v>
      </c>
      <c r="C24" t="s">
        <v>713</v>
      </c>
      <c r="D24" s="192" t="s">
        <v>1164</v>
      </c>
      <c r="F24" s="5" t="str">
        <f>+VLOOKUP(B24,'Plan Cuentas Link Armado'!$A$3:$D$104,4,0)</f>
        <v>Food &amp; Wine</v>
      </c>
      <c r="H24" s="77">
        <f>+SUMIF('Mov_Analizados_Sept25 - Nov 25'!$H$10:$H$371,Resumen_Base!D24,'Mov_Analizados_Sept25 - Nov 25'!$I$10:$I$371)</f>
        <v>61385</v>
      </c>
      <c r="I24" s="78">
        <f>+SUMIF('Mov_Analizados_Sept25 - Nov 25'!$H$10:$H$371,Resumen_Base!D24,'Mov_Analizados_Sept25 - Nov 25'!$J$10:$J$371)</f>
        <v>43.391633189505498</v>
      </c>
      <c r="K24" s="77">
        <f>+SUMIF(Mov_Analizados_Dic25!$H$10:$H$130,Resumen_Base!D24,Mov_Analizados_Dic25!$I$10:$I$130)</f>
        <v>0</v>
      </c>
      <c r="L24" s="78">
        <f>+SUMIF(Mov_Analizados_Dic25!$H$10:$H$130,Resumen_Base!D24,Mov_Analizados_Dic25!$J$10:$J$130)</f>
        <v>0</v>
      </c>
      <c r="N24" s="77">
        <f>+SUMIF(Mov_Analizados_Ene26!$H$10:$H$243,Resumen_Base!D24,Mov_Analizados_Ene26!$I$10:$I$243)</f>
        <v>1338721</v>
      </c>
      <c r="O24" s="78">
        <f>+SUMIF(Mov_Analizados_Ene26!$H$10:$H$243,Resumen_Base!D24,Mov_Analizados_Ene26!$J$10:$J$243)</f>
        <v>910.40054697554717</v>
      </c>
      <c r="Q24" s="77">
        <f>+SUMIF(Mov_Analizados_Feb26!$H$10:$H$259,Resumen_Base!D24,Mov_Analizados_Feb26!$I$10:$I$259)</f>
        <v>843354</v>
      </c>
      <c r="R24" s="78">
        <f>+SUMIF(Mov_Analizados_Feb26!$H$10:$H$259,Resumen_Base!D24,Mov_Analizados_Feb26!$J$10:$J$259)</f>
        <v>591.9530017254566</v>
      </c>
      <c r="T24" s="77">
        <f>+SUMIF(Mov_Analizados_Mar26!$H$10:$H$259,Resumen_Base!D24,Mov_Analizados_Mar26!$I$10:$I$259)</f>
        <v>171000</v>
      </c>
      <c r="U24" s="78">
        <f>+SUMIF(Mov_Analizados_Mar26!$H$10:$H$259,Resumen_Base!D24,Mov_Analizados_Mar26!$J$10:$J$259)</f>
        <v>121.691337926857</v>
      </c>
      <c r="W24" s="77">
        <f>+SUMIF(Mov_Analizados_Abr26!$H$10:$H$258,Resumen_Base!D24,Mov_Analizados_Abr26!$I$10:$I$258)</f>
        <v>206352</v>
      </c>
      <c r="X24" s="78">
        <f>+SUMIF(Mov_Analizados_Abr26!$H$10:$H$258,Resumen_Base!D24,Mov_Analizados_Abr26!$J$10:$J$258)</f>
        <v>146.86975088967969</v>
      </c>
      <c r="Z24" s="77">
        <f>+SUMIF(Mov_Analizados_May26!$H$10:$H$258,Resumen_Base!D24,Mov_Analizados_May26!$I$10:$I$258)</f>
        <v>0</v>
      </c>
      <c r="AA24" s="78">
        <f>+SUMIF(Mov_Analizados_May26!$H$10:$H$258,Resumen_Base!D24,Mov_Analizados_May26!$J$10:$J$258)</f>
        <v>0</v>
      </c>
      <c r="AC24" s="77">
        <f t="shared" si="0"/>
        <v>2620812</v>
      </c>
      <c r="AD24" s="78">
        <f t="shared" si="1"/>
        <v>1814.3062707070458</v>
      </c>
    </row>
    <row r="25" spans="1:30">
      <c r="A25" s="5" t="str">
        <f>+VLOOKUP(B25,'Plan Cuentas Link Armado'!$A$3:$D$104,4,0)</f>
        <v>Food &amp; Wine</v>
      </c>
      <c r="B25" s="3" t="s">
        <v>119</v>
      </c>
      <c r="C25" t="s">
        <v>120</v>
      </c>
      <c r="D25" s="192" t="s">
        <v>400</v>
      </c>
      <c r="F25" s="5" t="str">
        <f>+VLOOKUP(B25,'Plan Cuentas Link Armado'!$A$3:$D$104,4,0)</f>
        <v>Food &amp; Wine</v>
      </c>
      <c r="H25" s="77">
        <f>+SUMIF('Mov_Analizados_Sept25 - Nov 25'!$H$10:$H$371,Resumen_Base!D25,'Mov_Analizados_Sept25 - Nov 25'!$I$10:$I$371)</f>
        <v>666000</v>
      </c>
      <c r="I25" s="78">
        <f>+SUMIF('Mov_Analizados_Sept25 - Nov 25'!$H$10:$H$371,Resumen_Base!D25,'Mov_Analizados_Sept25 - Nov 25'!$J$10:$J$371)</f>
        <v>487.23169648346357</v>
      </c>
      <c r="K25" s="77">
        <f>+SUMIF(Mov_Analizados_Dic25!$H$10:$H$130,Resumen_Base!D25,Mov_Analizados_Dic25!$I$10:$I$130)</f>
        <v>109500</v>
      </c>
      <c r="L25" s="78">
        <f>+SUMIF(Mov_Analizados_Dic25!$H$10:$H$130,Resumen_Base!D25,Mov_Analizados_Dic25!$J$10:$J$130)</f>
        <v>74.489795918367292</v>
      </c>
      <c r="N25" s="77">
        <f>+SUMIF(Mov_Analizados_Ene26!$H$10:$H$243,Resumen_Base!D25,Mov_Analizados_Ene26!$I$10:$I$243)</f>
        <v>100650</v>
      </c>
      <c r="O25" s="78">
        <f>+SUMIF(Mov_Analizados_Ene26!$H$10:$H$243,Resumen_Base!D25,Mov_Analizados_Ene26!$J$10:$J$243)</f>
        <v>68.192912300055212</v>
      </c>
      <c r="Q25" s="77">
        <f>+SUMIF(Mov_Analizados_Feb26!$H$10:$H$259,Resumen_Base!D25,Mov_Analizados_Feb26!$I$10:$I$259)</f>
        <v>95500</v>
      </c>
      <c r="R25" s="78">
        <f>+SUMIF(Mov_Analizados_Feb26!$H$10:$H$259,Resumen_Base!D25,Mov_Analizados_Feb26!$J$10:$J$259)</f>
        <v>66.98040264087777</v>
      </c>
      <c r="T25" s="77">
        <f>+SUMIF(Mov_Analizados_Mar26!$H$10:$H$259,Resumen_Base!D25,Mov_Analizados_Mar26!$I$10:$I$259)</f>
        <v>76460</v>
      </c>
      <c r="U25" s="78">
        <f>+SUMIF(Mov_Analizados_Mar26!$H$10:$H$259,Resumen_Base!D25,Mov_Analizados_Mar26!$J$10:$J$259)</f>
        <v>54.083853344360101</v>
      </c>
      <c r="W25" s="77">
        <f>+SUMIF(Mov_Analizados_Abr26!$H$10:$H$258,Resumen_Base!D25,Mov_Analizados_Abr26!$I$10:$I$258)</f>
        <v>54400</v>
      </c>
      <c r="X25" s="78">
        <f>+SUMIF(Mov_Analizados_Abr26!$H$10:$H$258,Resumen_Base!D25,Mov_Analizados_Abr26!$J$10:$J$258)</f>
        <v>38.718861209964402</v>
      </c>
      <c r="Z25" s="77">
        <f>+SUMIF(Mov_Analizados_May26!$H$10:$H$258,Resumen_Base!D25,Mov_Analizados_May26!$I$10:$I$258)</f>
        <v>0</v>
      </c>
      <c r="AA25" s="78">
        <f>+SUMIF(Mov_Analizados_May26!$H$10:$H$258,Resumen_Base!D25,Mov_Analizados_May26!$J$10:$J$258)</f>
        <v>0</v>
      </c>
      <c r="AC25" s="77">
        <f t="shared" si="0"/>
        <v>1102510</v>
      </c>
      <c r="AD25" s="78">
        <f t="shared" si="1"/>
        <v>789.69752189708834</v>
      </c>
    </row>
    <row r="26" spans="1:30">
      <c r="A26" s="5" t="str">
        <f>+VLOOKUP(B26,'Plan Cuentas Link Armado'!$A$3:$D$104,4,0)</f>
        <v>Food &amp; Wine</v>
      </c>
      <c r="B26" s="3" t="s">
        <v>33</v>
      </c>
      <c r="C26" t="s">
        <v>32</v>
      </c>
      <c r="D26" t="s">
        <v>401</v>
      </c>
      <c r="F26" s="5" t="str">
        <f>+VLOOKUP(B26,'Plan Cuentas Link Armado'!$A$3:$D$104,4,0)</f>
        <v>Food &amp; Wine</v>
      </c>
      <c r="H26" s="77">
        <f>+SUMIF('Mov_Analizados_Sept25 - Nov 25'!$H$10:$H$371,Resumen_Base!D26,'Mov_Analizados_Sept25 - Nov 25'!$I$10:$I$371)</f>
        <v>627901</v>
      </c>
      <c r="I26" s="78">
        <f>+SUMIF('Mov_Analizados_Sept25 - Nov 25'!$H$10:$H$371,Resumen_Base!D26,'Mov_Analizados_Sept25 - Nov 25'!$J$10:$J$371)</f>
        <v>447.0072558315353</v>
      </c>
      <c r="K26" s="77">
        <f>+SUMIF(Mov_Analizados_Dic25!$H$10:$H$130,Resumen_Base!D26,Mov_Analizados_Dic25!$I$10:$I$130)</f>
        <v>0</v>
      </c>
      <c r="L26" s="78">
        <f>+SUMIF(Mov_Analizados_Dic25!$H$10:$H$130,Resumen_Base!D26,Mov_Analizados_Dic25!$J$10:$J$130)</f>
        <v>0</v>
      </c>
      <c r="N26" s="77">
        <f>+SUMIF(Mov_Analizados_Ene26!$H$10:$H$243,Resumen_Base!D26,Mov_Analizados_Ene26!$I$10:$I$243)</f>
        <v>74451</v>
      </c>
      <c r="O26" s="78">
        <f>+SUMIF(Mov_Analizados_Ene26!$H$10:$H$243,Resumen_Base!D26,Mov_Analizados_Ene26!$J$10:$J$243)</f>
        <v>50.304729729729701</v>
      </c>
      <c r="Q26" s="77">
        <f>+SUMIF(Mov_Analizados_Feb26!$H$10:$H$259,Resumen_Base!D26,Mov_Analizados_Feb26!$I$10:$I$259)</f>
        <v>122114</v>
      </c>
      <c r="R26" s="78">
        <f>+SUMIF(Mov_Analizados_Feb26!$H$10:$H$259,Resumen_Base!D26,Mov_Analizados_Feb26!$J$10:$J$259)</f>
        <v>86.006409501374094</v>
      </c>
      <c r="T26" s="77">
        <f>+SUMIF(Mov_Analizados_Mar26!$H$10:$H$259,Resumen_Base!D26,Mov_Analizados_Mar26!$I$10:$I$259)</f>
        <v>0</v>
      </c>
      <c r="U26" s="78">
        <f>+SUMIF(Mov_Analizados_Mar26!$H$10:$H$259,Resumen_Base!D26,Mov_Analizados_Mar26!$J$10:$J$259)</f>
        <v>0</v>
      </c>
      <c r="W26" s="77">
        <f>+SUMIF(Mov_Analizados_Abr26!$H$10:$H$258,Resumen_Base!D26,Mov_Analizados_Abr26!$I$10:$I$258)</f>
        <v>31520</v>
      </c>
      <c r="X26" s="78">
        <f>+SUMIF(Mov_Analizados_Abr26!$H$10:$H$258,Resumen_Base!D26,Mov_Analizados_Abr26!$J$10:$J$258)</f>
        <v>22.43416370106759</v>
      </c>
      <c r="Z26" s="77">
        <f>+SUMIF(Mov_Analizados_May26!$H$10:$H$258,Resumen_Base!D26,Mov_Analizados_May26!$I$10:$I$258)</f>
        <v>0</v>
      </c>
      <c r="AA26" s="78">
        <f>+SUMIF(Mov_Analizados_May26!$H$10:$H$258,Resumen_Base!D26,Mov_Analizados_May26!$J$10:$J$258)</f>
        <v>0</v>
      </c>
      <c r="AC26" s="77">
        <f t="shared" si="0"/>
        <v>855986</v>
      </c>
      <c r="AD26" s="78">
        <f t="shared" si="1"/>
        <v>605.75255876370682</v>
      </c>
    </row>
    <row r="27" spans="1:30">
      <c r="A27" s="5" t="str">
        <f>+VLOOKUP(B27,'Plan Cuentas Link Armado'!$A$3:$D$104,4,0)</f>
        <v>Food &amp; Wine</v>
      </c>
      <c r="B27" s="3" t="s">
        <v>110</v>
      </c>
      <c r="C27" t="s">
        <v>111</v>
      </c>
      <c r="D27" s="192" t="s">
        <v>402</v>
      </c>
      <c r="F27" s="5" t="str">
        <f>+VLOOKUP(B27,'Plan Cuentas Link Armado'!$A$3:$D$104,4,0)</f>
        <v>Food &amp; Wine</v>
      </c>
      <c r="H27" s="77">
        <f>+SUMIF('Mov_Analizados_Sept25 - Nov 25'!$H$10:$H$371,Resumen_Base!D27,'Mov_Analizados_Sept25 - Nov 25'!$I$10:$I$371)</f>
        <v>141900</v>
      </c>
      <c r="I27" s="78">
        <f>+SUMIF('Mov_Analizados_Sept25 - Nov 25'!$H$10:$H$371,Resumen_Base!D27,'Mov_Analizados_Sept25 - Nov 25'!$J$10:$J$371)</f>
        <v>102.82079861571194</v>
      </c>
      <c r="K27" s="77">
        <f>+SUMIF(Mov_Analizados_Dic25!$H$10:$H$130,Resumen_Base!D27,Mov_Analizados_Dic25!$I$10:$I$130)</f>
        <v>48180</v>
      </c>
      <c r="L27" s="78">
        <f>+SUMIF(Mov_Analizados_Dic25!$H$10:$H$130,Resumen_Base!D27,Mov_Analizados_Dic25!$J$10:$J$130)</f>
        <v>33.9295774647887</v>
      </c>
      <c r="N27" s="77">
        <f>+SUMIF(Mov_Analizados_Ene26!$H$10:$H$243,Resumen_Base!D27,Mov_Analizados_Ene26!$I$10:$I$243)</f>
        <v>183700</v>
      </c>
      <c r="O27" s="78">
        <f>+SUMIF(Mov_Analizados_Ene26!$H$10:$H$243,Resumen_Base!D27,Mov_Analizados_Ene26!$J$10:$J$243)</f>
        <v>124.61206104063227</v>
      </c>
      <c r="Q27" s="77">
        <f>+SUMIF(Mov_Analizados_Feb26!$H$10:$H$259,Resumen_Base!D27,Mov_Analizados_Feb26!$I$10:$I$259)</f>
        <v>150400</v>
      </c>
      <c r="R27" s="78">
        <f>+SUMIF(Mov_Analizados_Feb26!$H$10:$H$259,Resumen_Base!D27,Mov_Analizados_Feb26!$J$10:$J$259)</f>
        <v>105.92167255594809</v>
      </c>
      <c r="T27" s="77">
        <f>+SUMIF(Mov_Analizados_Mar26!$H$10:$H$259,Resumen_Base!D27,Mov_Analizados_Mar26!$I$10:$I$259)</f>
        <v>266650</v>
      </c>
      <c r="U27" s="78">
        <f>+SUMIF(Mov_Analizados_Mar26!$H$10:$H$259,Resumen_Base!D27,Mov_Analizados_Mar26!$J$10:$J$259)</f>
        <v>190.14175894401032</v>
      </c>
      <c r="W27" s="77">
        <f>+SUMIF(Mov_Analizados_Abr26!$H$10:$H$258,Resumen_Base!D27,Mov_Analizados_Abr26!$I$10:$I$258)</f>
        <v>85590</v>
      </c>
      <c r="X27" s="78">
        <f>+SUMIF(Mov_Analizados_Abr26!$H$10:$H$258,Resumen_Base!D27,Mov_Analizados_Abr26!$J$10:$J$258)</f>
        <v>60.918149466192176</v>
      </c>
      <c r="Z27" s="77">
        <f>+SUMIF(Mov_Analizados_May26!$H$10:$H$258,Resumen_Base!D27,Mov_Analizados_May26!$I$10:$I$258)</f>
        <v>57008</v>
      </c>
      <c r="AA27" s="78">
        <f>+SUMIF(Mov_Analizados_May26!$H$10:$H$258,Resumen_Base!D27,Mov_Analizados_May26!$J$10:$J$258)</f>
        <v>40.575088967971496</v>
      </c>
      <c r="AC27" s="77">
        <f t="shared" si="0"/>
        <v>933428</v>
      </c>
      <c r="AD27" s="78">
        <f t="shared" si="1"/>
        <v>658.91910705525504</v>
      </c>
    </row>
    <row r="28" spans="1:30">
      <c r="A28" s="5" t="str">
        <f>+VLOOKUP(B28,'Plan Cuentas Link Armado'!$A$3:$D$104,4,0)</f>
        <v>Maintenance Lodge</v>
      </c>
      <c r="B28" s="3" t="s">
        <v>31</v>
      </c>
      <c r="C28" t="s">
        <v>30</v>
      </c>
      <c r="D28" t="s">
        <v>403</v>
      </c>
      <c r="F28" s="5" t="str">
        <f>+VLOOKUP(B28,'Plan Cuentas Link Armado'!$A$3:$D$104,4,0)</f>
        <v>Maintenance Lodge</v>
      </c>
      <c r="H28" s="77">
        <f>+SUMIF('Mov_Analizados_Sept25 - Nov 25'!$H$10:$H$371,Resumen_Base!D28,'Mov_Analizados_Sept25 - Nov 25'!$I$10:$I$371)</f>
        <v>4146526.52</v>
      </c>
      <c r="I28" s="78">
        <f>+SUMIF('Mov_Analizados_Sept25 - Nov 25'!$H$10:$H$371,Resumen_Base!D28,'Mov_Analizados_Sept25 - Nov 25'!$J$10:$J$371)</f>
        <v>2875.7075038527782</v>
      </c>
      <c r="K28" s="77">
        <f>+SUMIF(Mov_Analizados_Dic25!$H$10:$H$130,Resumen_Base!D28,Mov_Analizados_Dic25!$I$10:$I$130)</f>
        <v>2280834</v>
      </c>
      <c r="L28" s="78">
        <f>+SUMIF(Mov_Analizados_Dic25!$H$10:$H$130,Resumen_Base!D28,Mov_Analizados_Dic25!$J$10:$J$130)</f>
        <v>1580.1798792756535</v>
      </c>
      <c r="N28" s="77">
        <f>+SUMIF(Mov_Analizados_Ene26!$H$10:$H$243,Resumen_Base!D28,Mov_Analizados_Ene26!$I$10:$I$243)</f>
        <v>2691332.3000000003</v>
      </c>
      <c r="O28" s="78">
        <f>+SUMIF(Mov_Analizados_Ene26!$H$10:$H$243,Resumen_Base!D28,Mov_Analizados_Ene26!$J$10:$J$243)</f>
        <v>1821.5657616289755</v>
      </c>
      <c r="Q28" s="77">
        <f>+SUMIF(Mov_Analizados_Feb26!$H$10:$H$259,Resumen_Base!D28,Mov_Analizados_Feb26!$I$10:$I$259)</f>
        <v>1995277</v>
      </c>
      <c r="R28" s="78">
        <f>+SUMIF(Mov_Analizados_Feb26!$H$10:$H$259,Resumen_Base!D28,Mov_Analizados_Feb26!$J$10:$J$259)</f>
        <v>1398.6273061961435</v>
      </c>
      <c r="T28" s="77">
        <f>+SUMIF(Mov_Analizados_Mar26!$H$10:$H$259,Resumen_Base!D28,Mov_Analizados_Mar26!$I$10:$I$259)</f>
        <v>1031600</v>
      </c>
      <c r="U28" s="78">
        <f>+SUMIF(Mov_Analizados_Mar26!$H$10:$H$259,Resumen_Base!D28,Mov_Analizados_Mar26!$J$10:$J$259)</f>
        <v>732.5192921762582</v>
      </c>
      <c r="W28" s="77">
        <f>+SUMIF(Mov_Analizados_Abr26!$H$10:$H$258,Resumen_Base!D28,Mov_Analizados_Abr26!$I$10:$I$258)</f>
        <v>1443200</v>
      </c>
      <c r="X28" s="78">
        <f>+SUMIF(Mov_Analizados_Abr26!$H$10:$H$258,Resumen_Base!D28,Mov_Analizados_Abr26!$J$10:$J$258)</f>
        <v>1027.1886120996446</v>
      </c>
      <c r="Z28" s="77">
        <f>+SUMIF(Mov_Analizados_May26!$H$10:$H$258,Resumen_Base!D28,Mov_Analizados_May26!$I$10:$I$258)</f>
        <v>1921400</v>
      </c>
      <c r="AA28" s="78">
        <f>+SUMIF(Mov_Analizados_May26!$H$10:$H$258,Resumen_Base!D28,Mov_Analizados_May26!$J$10:$J$258)</f>
        <v>1363.7822665530548</v>
      </c>
      <c r="AC28" s="77">
        <f t="shared" si="0"/>
        <v>15510169.82</v>
      </c>
      <c r="AD28" s="78">
        <f t="shared" si="1"/>
        <v>10799.570621782508</v>
      </c>
    </row>
    <row r="29" spans="1:30">
      <c r="A29" s="5" t="str">
        <f>+VLOOKUP(B29,'Plan Cuentas Link Armado'!$A$3:$D$104,4,0)</f>
        <v>Maintenance Lodge</v>
      </c>
      <c r="B29" s="3" t="s">
        <v>113</v>
      </c>
      <c r="C29" t="s">
        <v>114</v>
      </c>
      <c r="D29" s="192" t="s">
        <v>404</v>
      </c>
      <c r="F29" s="5" t="str">
        <f>+VLOOKUP(B29,'Plan Cuentas Link Armado'!$A$3:$D$104,4,0)</f>
        <v>Maintenance Lodge</v>
      </c>
      <c r="H29" s="77">
        <f>+SUMIF('Mov_Analizados_Sept25 - Nov 25'!$H$10:$H$371,Resumen_Base!D29,'Mov_Analizados_Sept25 - Nov 25'!$I$10:$I$371)</f>
        <v>116121</v>
      </c>
      <c r="I29" s="78">
        <f>+SUMIF('Mov_Analizados_Sept25 - Nov 25'!$H$10:$H$371,Resumen_Base!D29,'Mov_Analizados_Sept25 - Nov 25'!$J$10:$J$371)</f>
        <v>82.032569173908712</v>
      </c>
      <c r="K29" s="77">
        <f>+SUMIF(Mov_Analizados_Dic25!$H$10:$H$130,Resumen_Base!D29,Mov_Analizados_Dic25!$I$10:$I$130)</f>
        <v>0</v>
      </c>
      <c r="L29" s="78">
        <f>+SUMIF(Mov_Analizados_Dic25!$H$10:$H$130,Resumen_Base!D29,Mov_Analizados_Dic25!$J$10:$J$130)</f>
        <v>0</v>
      </c>
      <c r="N29" s="77">
        <f>+SUMIF(Mov_Analizados_Ene26!$H$10:$H$243,Resumen_Base!D29,Mov_Analizados_Ene26!$I$10:$I$243)</f>
        <v>79000</v>
      </c>
      <c r="O29" s="78">
        <f>+SUMIF(Mov_Analizados_Ene26!$H$10:$H$243,Resumen_Base!D29,Mov_Analizados_Ene26!$J$10:$J$243)</f>
        <v>53.3783783783784</v>
      </c>
      <c r="Q29" s="77">
        <f>+SUMIF(Mov_Analizados_Feb26!$H$10:$H$259,Resumen_Base!D29,Mov_Analizados_Feb26!$I$10:$I$259)</f>
        <v>54396</v>
      </c>
      <c r="R29" s="78">
        <f>+SUMIF(Mov_Analizados_Feb26!$H$10:$H$259,Resumen_Base!D29,Mov_Analizados_Feb26!$J$10:$J$259)</f>
        <v>37.774999999999999</v>
      </c>
      <c r="T29" s="77">
        <f>+SUMIF(Mov_Analizados_Mar26!$H$10:$H$259,Resumen_Base!D29,Mov_Analizados_Mar26!$I$10:$I$259)</f>
        <v>0</v>
      </c>
      <c r="U29" s="78">
        <f>+SUMIF(Mov_Analizados_Mar26!$H$10:$H$259,Resumen_Base!D29,Mov_Analizados_Mar26!$J$10:$J$259)</f>
        <v>0</v>
      </c>
      <c r="W29" s="77">
        <f>+SUMIF(Mov_Analizados_Abr26!$H$10:$H$258,Resumen_Base!D29,Mov_Analizados_Abr26!$I$10:$I$258)</f>
        <v>0</v>
      </c>
      <c r="X29" s="78">
        <f>+SUMIF(Mov_Analizados_Abr26!$H$10:$H$258,Resumen_Base!D29,Mov_Analizados_Abr26!$J$10:$J$258)</f>
        <v>0</v>
      </c>
      <c r="Z29" s="77">
        <f>+SUMIF(Mov_Analizados_May26!$H$10:$H$258,Resumen_Base!D29,Mov_Analizados_May26!$I$10:$I$258)</f>
        <v>75500</v>
      </c>
      <c r="AA29" s="78">
        <f>+SUMIF(Mov_Analizados_May26!$H$10:$H$258,Resumen_Base!D29,Mov_Analizados_May26!$J$10:$J$258)</f>
        <v>53.736654804270501</v>
      </c>
      <c r="AC29" s="77">
        <f t="shared" si="0"/>
        <v>325017</v>
      </c>
      <c r="AD29" s="78">
        <f t="shared" si="1"/>
        <v>226.9226023565576</v>
      </c>
    </row>
    <row r="30" spans="1:30">
      <c r="A30" s="5" t="str">
        <f>+VLOOKUP(B30,'Plan Cuentas Link Armado'!$A$3:$D$104,4,0)</f>
        <v>Electricity</v>
      </c>
      <c r="B30" s="3" t="s">
        <v>66</v>
      </c>
      <c r="C30" t="s">
        <v>67</v>
      </c>
      <c r="D30" t="s">
        <v>405</v>
      </c>
      <c r="F30" s="5" t="str">
        <f>+VLOOKUP(B30,'Plan Cuentas Link Armado'!$A$3:$D$104,4,0)</f>
        <v>Electricity</v>
      </c>
      <c r="H30" s="77">
        <f>+SUMIF('Mov_Analizados_Sept25 - Nov 25'!$H$10:$H$371,Resumen_Base!D30,'Mov_Analizados_Sept25 - Nov 25'!$I$10:$I$371)</f>
        <v>0</v>
      </c>
      <c r="I30" s="78">
        <f>+SUMIF('Mov_Analizados_Sept25 - Nov 25'!$H$10:$H$371,Resumen_Base!D30,'Mov_Analizados_Sept25 - Nov 25'!$J$10:$J$371)</f>
        <v>0</v>
      </c>
      <c r="K30" s="77">
        <f>+SUMIF(Mov_Analizados_Dic25!$H$10:$H$130,Resumen_Base!D30,Mov_Analizados_Dic25!$I$10:$I$130)</f>
        <v>0</v>
      </c>
      <c r="L30" s="78">
        <f>+SUMIF(Mov_Analizados_Dic25!$H$10:$H$130,Resumen_Base!D30,Mov_Analizados_Dic25!$J$10:$J$130)</f>
        <v>0</v>
      </c>
      <c r="N30" s="77">
        <f>+SUMIF(Mov_Analizados_Ene26!$H$10:$H$243,Resumen_Base!D30,Mov_Analizados_Ene26!$I$10:$I$243)</f>
        <v>38000</v>
      </c>
      <c r="O30" s="78">
        <f>+SUMIF(Mov_Analizados_Ene26!$H$10:$H$243,Resumen_Base!D30,Mov_Analizados_Ene26!$J$10:$J$243)</f>
        <v>25.850340136054399</v>
      </c>
      <c r="Q30" s="77">
        <f>+SUMIF(Mov_Analizados_Feb26!$H$10:$H$259,Resumen_Base!D30,Mov_Analizados_Feb26!$I$10:$I$259)</f>
        <v>0</v>
      </c>
      <c r="R30" s="78">
        <f>+SUMIF(Mov_Analizados_Feb26!$H$10:$H$259,Resumen_Base!D30,Mov_Analizados_Feb26!$J$10:$J$259)</f>
        <v>0</v>
      </c>
      <c r="T30" s="77">
        <f>+SUMIF(Mov_Analizados_Mar26!$H$10:$H$259,Resumen_Base!D30,Mov_Analizados_Mar26!$I$10:$I$259)</f>
        <v>8600</v>
      </c>
      <c r="U30" s="78">
        <f>+SUMIF(Mov_Analizados_Mar26!$H$10:$H$259,Resumen_Base!D30,Mov_Analizados_Mar26!$J$10:$J$259)</f>
        <v>6.1428571428571397</v>
      </c>
      <c r="W30" s="77">
        <f>+SUMIF(Mov_Analizados_Abr26!$H$10:$H$258,Resumen_Base!D30,Mov_Analizados_Abr26!$I$10:$I$258)</f>
        <v>36000</v>
      </c>
      <c r="X30" s="78">
        <f>+SUMIF(Mov_Analizados_Abr26!$H$10:$H$258,Resumen_Base!D30,Mov_Analizados_Abr26!$J$10:$J$258)</f>
        <v>25.6227758007118</v>
      </c>
      <c r="Z30" s="77">
        <f>+SUMIF(Mov_Analizados_May26!$H$10:$H$258,Resumen_Base!D30,Mov_Analizados_May26!$I$10:$I$258)</f>
        <v>160000</v>
      </c>
      <c r="AA30" s="78">
        <f>+SUMIF(Mov_Analizados_May26!$H$10:$H$258,Resumen_Base!D30,Mov_Analizados_May26!$J$10:$J$258)</f>
        <v>113.87900355871901</v>
      </c>
      <c r="AC30" s="77">
        <f t="shared" si="0"/>
        <v>242600</v>
      </c>
      <c r="AD30" s="78">
        <f t="shared" si="1"/>
        <v>171.49497663834234</v>
      </c>
    </row>
    <row r="31" spans="1:30">
      <c r="A31" s="5" t="str">
        <f>+VLOOKUP(B31,'Plan Cuentas Link Armado'!$A$3:$D$104,4,0)</f>
        <v>Miscellaneous &amp; Shipping</v>
      </c>
      <c r="B31" s="3" t="s">
        <v>26</v>
      </c>
      <c r="C31" t="s">
        <v>25</v>
      </c>
      <c r="D31" t="s">
        <v>406</v>
      </c>
      <c r="F31" s="5" t="str">
        <f>+VLOOKUP(B31,'Plan Cuentas Link Armado'!$A$3:$D$104,4,0)</f>
        <v>Miscellaneous &amp; Shipping</v>
      </c>
      <c r="H31" s="77">
        <f>+SUMIF('Mov_Analizados_Sept25 - Nov 25'!$H$10:$H$371,Resumen_Base!D31,'Mov_Analizados_Sept25 - Nov 25'!$I$10:$I$371)</f>
        <v>132780</v>
      </c>
      <c r="I31" s="78">
        <f>+SUMIF('Mov_Analizados_Sept25 - Nov 25'!$H$10:$H$371,Resumen_Base!D31,'Mov_Analizados_Sept25 - Nov 25'!$J$10:$J$371)</f>
        <v>93.507042253521092</v>
      </c>
      <c r="K31" s="77">
        <f>+SUMIF(Mov_Analizados_Dic25!$H$10:$H$130,Resumen_Base!D31,Mov_Analizados_Dic25!$I$10:$I$130)</f>
        <v>250200</v>
      </c>
      <c r="L31" s="78">
        <f>+SUMIF(Mov_Analizados_Dic25!$H$10:$H$130,Resumen_Base!D31,Mov_Analizados_Dic25!$J$10:$J$130)</f>
        <v>173.17907444668015</v>
      </c>
      <c r="N31" s="77">
        <f>+SUMIF(Mov_Analizados_Ene26!$H$10:$H$243,Resumen_Base!D31,Mov_Analizados_Ene26!$I$10:$I$243)</f>
        <v>0</v>
      </c>
      <c r="O31" s="78">
        <f>+SUMIF(Mov_Analizados_Ene26!$H$10:$H$243,Resumen_Base!D31,Mov_Analizados_Ene26!$J$10:$J$243)</f>
        <v>0</v>
      </c>
      <c r="Q31" s="77">
        <f>+SUMIF(Mov_Analizados_Feb26!$H$10:$H$259,Resumen_Base!D31,Mov_Analizados_Feb26!$I$10:$I$259)</f>
        <v>610000</v>
      </c>
      <c r="R31" s="78">
        <f>+SUMIF(Mov_Analizados_Feb26!$H$10:$H$259,Resumen_Base!D31,Mov_Analizados_Feb26!$J$10:$J$259)</f>
        <v>428.07017543859621</v>
      </c>
      <c r="T31" s="77">
        <f>+SUMIF(Mov_Analizados_Mar26!$H$10:$H$259,Resumen_Base!D31,Mov_Analizados_Mar26!$I$10:$I$259)</f>
        <v>216880</v>
      </c>
      <c r="U31" s="78">
        <f>+SUMIF(Mov_Analizados_Mar26!$H$10:$H$259,Resumen_Base!D31,Mov_Analizados_Mar26!$J$10:$J$259)</f>
        <v>153.272084805654</v>
      </c>
      <c r="W31" s="77">
        <f>+SUMIF(Mov_Analizados_Abr26!$H$10:$H$258,Resumen_Base!D31,Mov_Analizados_Abr26!$I$10:$I$258)</f>
        <v>99000</v>
      </c>
      <c r="X31" s="78">
        <f>+SUMIF(Mov_Analizados_Abr26!$H$10:$H$258,Resumen_Base!D31,Mov_Analizados_Abr26!$J$10:$J$258)</f>
        <v>70.462633451957302</v>
      </c>
      <c r="Z31" s="77">
        <f>+SUMIF(Mov_Analizados_May26!$H$10:$H$258,Resumen_Base!D31,Mov_Analizados_May26!$I$10:$I$258)</f>
        <v>54500</v>
      </c>
      <c r="AA31" s="78">
        <f>+SUMIF(Mov_Analizados_May26!$H$10:$H$258,Resumen_Base!D31,Mov_Analizados_May26!$J$10:$J$258)</f>
        <v>38.790035587188598</v>
      </c>
      <c r="AC31" s="77">
        <f t="shared" si="0"/>
        <v>1363360</v>
      </c>
      <c r="AD31" s="78">
        <f t="shared" si="1"/>
        <v>957.28104598359744</v>
      </c>
    </row>
    <row r="32" spans="1:30">
      <c r="A32" s="5" t="str">
        <f>+VLOOKUP(B32,'Plan Cuentas Link Armado'!$A$3:$D$104,4,0)</f>
        <v>Communications - Phone, internet and satellite TV</v>
      </c>
      <c r="B32" s="3" t="s">
        <v>68</v>
      </c>
      <c r="C32" t="s">
        <v>69</v>
      </c>
      <c r="D32" t="s">
        <v>407</v>
      </c>
      <c r="F32" s="5" t="str">
        <f>+VLOOKUP(B32,'Plan Cuentas Link Armado'!$A$3:$D$104,4,0)</f>
        <v>Communications - Phone, internet and satellite TV</v>
      </c>
      <c r="H32" s="77">
        <f>+SUMIF('Mov_Analizados_Sept25 - Nov 25'!$H$10:$H$371,Resumen_Base!D32,'Mov_Analizados_Sept25 - Nov 25'!$I$10:$I$371)</f>
        <v>0</v>
      </c>
      <c r="I32" s="78">
        <f>+SUMIF('Mov_Analizados_Sept25 - Nov 25'!$H$10:$H$371,Resumen_Base!D32,'Mov_Analizados_Sept25 - Nov 25'!$J$10:$J$371)</f>
        <v>0</v>
      </c>
      <c r="K32" s="77">
        <f>+SUMIF(Mov_Analizados_Dic25!$H$10:$H$130,Resumen_Base!D32,Mov_Analizados_Dic25!$I$10:$I$130)</f>
        <v>0</v>
      </c>
      <c r="L32" s="78">
        <f>+SUMIF(Mov_Analizados_Dic25!$H$10:$H$130,Resumen_Base!D32,Mov_Analizados_Dic25!$J$10:$J$130)</f>
        <v>0</v>
      </c>
      <c r="N32" s="77">
        <f>+SUMIF(Mov_Analizados_Ene26!$H$10:$H$243,Resumen_Base!D32,Mov_Analizados_Ene26!$I$10:$I$243)</f>
        <v>0</v>
      </c>
      <c r="O32" s="78">
        <f>+SUMIF(Mov_Analizados_Ene26!$H$10:$H$243,Resumen_Base!D32,Mov_Analizados_Ene26!$J$10:$J$243)</f>
        <v>0</v>
      </c>
      <c r="Q32" s="77">
        <f>+SUMIF(Mov_Analizados_Feb26!$H$10:$H$259,Resumen_Base!D32,Mov_Analizados_Feb26!$I$10:$I$259)</f>
        <v>0</v>
      </c>
      <c r="R32" s="78">
        <f>+SUMIF(Mov_Analizados_Feb26!$H$10:$H$259,Resumen_Base!D32,Mov_Analizados_Feb26!$J$10:$J$259)</f>
        <v>0</v>
      </c>
      <c r="T32" s="77">
        <f>+SUMIF(Mov_Analizados_Mar26!$H$10:$H$259,Resumen_Base!D32,Mov_Analizados_Mar26!$I$10:$I$259)</f>
        <v>0</v>
      </c>
      <c r="U32" s="78">
        <f>+SUMIF(Mov_Analizados_Mar26!$H$10:$H$259,Resumen_Base!D32,Mov_Analizados_Mar26!$J$10:$J$259)</f>
        <v>0</v>
      </c>
      <c r="W32" s="77">
        <f>+SUMIF(Mov_Analizados_Abr26!$H$10:$H$258,Resumen_Base!D32,Mov_Analizados_Abr26!$I$10:$I$258)</f>
        <v>0</v>
      </c>
      <c r="X32" s="78">
        <f>+SUMIF(Mov_Analizados_Abr26!$H$10:$H$258,Resumen_Base!D32,Mov_Analizados_Abr26!$J$10:$J$258)</f>
        <v>0</v>
      </c>
      <c r="Z32" s="77">
        <f>+SUMIF(Mov_Analizados_May26!$H$10:$H$258,Resumen_Base!D32,Mov_Analizados_May26!$I$10:$I$258)</f>
        <v>0</v>
      </c>
      <c r="AA32" s="78">
        <f>+SUMIF(Mov_Analizados_May26!$H$10:$H$258,Resumen_Base!D32,Mov_Analizados_May26!$J$10:$J$258)</f>
        <v>0</v>
      </c>
      <c r="AC32" s="77">
        <f t="shared" si="0"/>
        <v>0</v>
      </c>
      <c r="AD32" s="78">
        <f t="shared" si="1"/>
        <v>0</v>
      </c>
    </row>
    <row r="33" spans="1:30">
      <c r="A33" s="5" t="str">
        <f>+VLOOKUP(B33,'Plan Cuentas Link Armado'!$A$3:$D$104,4,0)</f>
        <v>Travel for personnel (employees)</v>
      </c>
      <c r="B33" s="3" t="s">
        <v>64</v>
      </c>
      <c r="C33" t="s">
        <v>65</v>
      </c>
      <c r="D33" s="192" t="s">
        <v>408</v>
      </c>
      <c r="F33" s="5" t="str">
        <f>+VLOOKUP(B33,'Plan Cuentas Link Armado'!$A$3:$D$104,4,0)</f>
        <v>Travel for personnel (employees)</v>
      </c>
      <c r="H33" s="77">
        <f>+SUMIF('Mov_Analizados_Sept25 - Nov 25'!$H$10:$H$371,Resumen_Base!D33,'Mov_Analizados_Sept25 - Nov 25'!$I$10:$I$371)</f>
        <v>1359300</v>
      </c>
      <c r="I33" s="78">
        <f>+SUMIF('Mov_Analizados_Sept25 - Nov 25'!$H$10:$H$371,Resumen_Base!D33,'Mov_Analizados_Sept25 - Nov 25'!$J$10:$J$371)</f>
        <v>966.40504547477951</v>
      </c>
      <c r="K33" s="77">
        <f>+SUMIF(Mov_Analizados_Dic25!$H$10:$H$130,Resumen_Base!D33,Mov_Analizados_Dic25!$I$10:$I$130)</f>
        <v>84700</v>
      </c>
      <c r="L33" s="78">
        <f>+SUMIF(Mov_Analizados_Dic25!$H$10:$H$130,Resumen_Base!D33,Mov_Analizados_Dic25!$J$10:$J$130)</f>
        <v>57.619047619047578</v>
      </c>
      <c r="N33" s="77">
        <f>+SUMIF(Mov_Analizados_Ene26!$H$10:$H$243,Resumen_Base!D33,Mov_Analizados_Ene26!$I$10:$I$243)</f>
        <v>1098980</v>
      </c>
      <c r="O33" s="78">
        <f>+SUMIF(Mov_Analizados_Ene26!$H$10:$H$243,Resumen_Base!D33,Mov_Analizados_Ene26!$J$10:$J$243)</f>
        <v>745.62195716124279</v>
      </c>
      <c r="Q33" s="77">
        <f>+SUMIF(Mov_Analizados_Feb26!$H$10:$H$259,Resumen_Base!D33,Mov_Analizados_Feb26!$I$10:$I$259)</f>
        <v>377700</v>
      </c>
      <c r="R33" s="78">
        <f>+SUMIF(Mov_Analizados_Feb26!$H$10:$H$259,Resumen_Base!D33,Mov_Analizados_Feb26!$J$10:$J$259)</f>
        <v>265.12378856446179</v>
      </c>
      <c r="T33" s="77">
        <f>+SUMIF(Mov_Analizados_Mar26!$H$10:$H$259,Resumen_Base!D33,Mov_Analizados_Mar26!$I$10:$I$259)</f>
        <v>146300</v>
      </c>
      <c r="U33" s="78">
        <f>+SUMIF(Mov_Analizados_Mar26!$H$10:$H$259,Resumen_Base!D33,Mov_Analizados_Mar26!$J$10:$J$259)</f>
        <v>103.99586497255845</v>
      </c>
      <c r="W33" s="77">
        <f>+SUMIF(Mov_Analizados_Abr26!$H$10:$H$258,Resumen_Base!D33,Mov_Analizados_Abr26!$I$10:$I$258)</f>
        <v>883976</v>
      </c>
      <c r="X33" s="78">
        <f>+SUMIF(Mov_Analizados_Abr26!$H$10:$H$258,Resumen_Base!D33,Mov_Analizados_Abr26!$J$10:$J$258)</f>
        <v>629.16441281138816</v>
      </c>
      <c r="Z33" s="77">
        <f>+SUMIF(Mov_Analizados_May26!$H$10:$H$258,Resumen_Base!D33,Mov_Analizados_May26!$I$10:$I$258)</f>
        <v>804787</v>
      </c>
      <c r="AA33" s="78">
        <f>+SUMIF(Mov_Analizados_May26!$H$10:$H$258,Resumen_Base!D33,Mov_Analizados_May26!$J$10:$J$258)</f>
        <v>572.80213523131681</v>
      </c>
      <c r="AC33" s="77">
        <f t="shared" si="0"/>
        <v>4755743</v>
      </c>
      <c r="AD33" s="78">
        <f t="shared" si="1"/>
        <v>3340.7322518347951</v>
      </c>
    </row>
    <row r="34" spans="1:30">
      <c r="A34" s="5" t="str">
        <f>+VLOOKUP(B34,'Plan Cuentas Link Armado'!$A$3:$D$104,4,0)</f>
        <v>Work uniforms for personnel (employees)</v>
      </c>
      <c r="B34" s="3" t="s">
        <v>56</v>
      </c>
      <c r="C34" t="s">
        <v>57</v>
      </c>
      <c r="D34" s="192" t="s">
        <v>409</v>
      </c>
      <c r="F34" s="5" t="str">
        <f>+VLOOKUP(B34,'Plan Cuentas Link Armado'!$A$3:$D$104,4,0)</f>
        <v>Work uniforms for personnel (employees)</v>
      </c>
      <c r="H34" s="77">
        <f>+SUMIF('Mov_Analizados_Sept25 - Nov 25'!$H$10:$H$371,Resumen_Base!D34,'Mov_Analizados_Sept25 - Nov 25'!$I$10:$I$371)</f>
        <v>133500</v>
      </c>
      <c r="I34" s="78">
        <f>+SUMIF('Mov_Analizados_Sept25 - Nov 25'!$H$10:$H$371,Resumen_Base!D34,'Mov_Analizados_Sept25 - Nov 25'!$J$10:$J$371)</f>
        <v>93.260673932606707</v>
      </c>
      <c r="K34" s="77">
        <f>+SUMIF(Mov_Analizados_Dic25!$H$10:$H$130,Resumen_Base!D34,Mov_Analizados_Dic25!$I$10:$I$130)</f>
        <v>50402.05</v>
      </c>
      <c r="L34" s="78">
        <f>+SUMIF(Mov_Analizados_Dic25!$H$10:$H$130,Resumen_Base!D34,Mov_Analizados_Dic25!$J$10:$J$130)</f>
        <v>34.287108843537403</v>
      </c>
      <c r="N34" s="77">
        <f>+SUMIF(Mov_Analizados_Ene26!$H$10:$H$243,Resumen_Base!D34,Mov_Analizados_Ene26!$I$10:$I$243)</f>
        <v>0</v>
      </c>
      <c r="O34" s="78">
        <f>+SUMIF(Mov_Analizados_Ene26!$H$10:$H$243,Resumen_Base!D34,Mov_Analizados_Ene26!$J$10:$J$243)</f>
        <v>0</v>
      </c>
      <c r="Q34" s="77">
        <f>+SUMIF(Mov_Analizados_Feb26!$H$10:$H$259,Resumen_Base!D34,Mov_Analizados_Feb26!$I$10:$I$259)</f>
        <v>176000</v>
      </c>
      <c r="R34" s="78">
        <f>+SUMIF(Mov_Analizados_Feb26!$H$10:$H$259,Resumen_Base!D34,Mov_Analizados_Feb26!$J$10:$J$259)</f>
        <v>124.381625441696</v>
      </c>
      <c r="T34" s="77">
        <f>+SUMIF(Mov_Analizados_Mar26!$H$10:$H$259,Resumen_Base!D34,Mov_Analizados_Mar26!$I$10:$I$259)</f>
        <v>727512.86</v>
      </c>
      <c r="U34" s="78">
        <f>+SUMIF(Mov_Analizados_Mar26!$H$10:$H$259,Resumen_Base!D34,Mov_Analizados_Mar26!$J$10:$J$259)</f>
        <v>517.80274733096132</v>
      </c>
      <c r="W34" s="77">
        <f>+SUMIF(Mov_Analizados_Abr26!$H$10:$H$258,Resumen_Base!D34,Mov_Analizados_Abr26!$I$10:$I$258)</f>
        <v>39000</v>
      </c>
      <c r="X34" s="78">
        <f>+SUMIF(Mov_Analizados_Abr26!$H$10:$H$258,Resumen_Base!D34,Mov_Analizados_Abr26!$J$10:$J$258)</f>
        <v>27.7580071174377</v>
      </c>
      <c r="Z34" s="77">
        <f>+SUMIF(Mov_Analizados_May26!$H$10:$H$258,Resumen_Base!D34,Mov_Analizados_May26!$I$10:$I$258)</f>
        <v>18262</v>
      </c>
      <c r="AA34" s="78">
        <f>+SUMIF(Mov_Analizados_May26!$H$10:$H$258,Resumen_Base!D34,Mov_Analizados_May26!$J$10:$J$258)</f>
        <v>12.9978647686833</v>
      </c>
      <c r="AC34" s="77">
        <f t="shared" si="0"/>
        <v>1144676.9099999999</v>
      </c>
      <c r="AD34" s="78">
        <f t="shared" si="1"/>
        <v>810.4880274349224</v>
      </c>
    </row>
    <row r="35" spans="1:30">
      <c r="A35" s="5" t="str">
        <f>+VLOOKUP(B35,'Plan Cuentas Link Armado'!$A$3:$D$104,4,0)</f>
        <v>Electricity - Gas for Boats &amp; Vehicles</v>
      </c>
      <c r="B35" s="3" t="s">
        <v>60</v>
      </c>
      <c r="C35" t="s">
        <v>61</v>
      </c>
      <c r="D35" s="192" t="s">
        <v>410</v>
      </c>
      <c r="F35" s="5" t="str">
        <f>+VLOOKUP(B35,'Plan Cuentas Link Armado'!$A$3:$D$104,4,0)</f>
        <v>Electricity - Gas for Boats &amp; Vehicles</v>
      </c>
      <c r="H35" s="77">
        <f>+SUMIF('Mov_Analizados_Sept25 - Nov 25'!$H$10:$H$371,Resumen_Base!D35,'Mov_Analizados_Sept25 - Nov 25'!$I$10:$I$371)</f>
        <v>3186123</v>
      </c>
      <c r="I35" s="78">
        <f>+SUMIF('Mov_Analizados_Sept25 - Nov 25'!$H$10:$H$371,Resumen_Base!D35,'Mov_Analizados_Sept25 - Nov 25'!$J$10:$J$371)</f>
        <v>2199.6297291824021</v>
      </c>
      <c r="K35" s="77">
        <f>+SUMIF(Mov_Analizados_Dic25!$H$10:$H$130,Resumen_Base!D35,Mov_Analizados_Dic25!$I$10:$I$130)</f>
        <v>1598286</v>
      </c>
      <c r="L35" s="78">
        <f>+SUMIF(Mov_Analizados_Dic25!$H$10:$H$130,Resumen_Base!D35,Mov_Analizados_Dic25!$J$10:$J$130)</f>
        <v>1115.4016575644341</v>
      </c>
      <c r="N35" s="77">
        <f>+SUMIF(Mov_Analizados_Ene26!$H$10:$H$243,Resumen_Base!D35,Mov_Analizados_Ene26!$I$10:$I$243)</f>
        <v>2271735</v>
      </c>
      <c r="O35" s="78">
        <f>+SUMIF(Mov_Analizados_Ene26!$H$10:$H$243,Resumen_Base!D35,Mov_Analizados_Ene26!$J$10:$J$243)</f>
        <v>1536.0654072439793</v>
      </c>
      <c r="Q35" s="77">
        <f>+SUMIF(Mov_Analizados_Feb26!$H$10:$H$259,Resumen_Base!D35,Mov_Analizados_Feb26!$I$10:$I$259)</f>
        <v>2485026</v>
      </c>
      <c r="R35" s="78">
        <f>+SUMIF(Mov_Analizados_Feb26!$H$10:$H$259,Resumen_Base!D35,Mov_Analizados_Feb26!$J$10:$J$259)</f>
        <v>2016.7936330409361</v>
      </c>
      <c r="T35" s="77">
        <f>+SUMIF(Mov_Analizados_Mar26!$H$10:$H$259,Resumen_Base!D35,Mov_Analizados_Mar26!$I$10:$I$259)</f>
        <v>2683348</v>
      </c>
      <c r="U35" s="78">
        <f>+SUMIF(Mov_Analizados_Mar26!$H$10:$H$259,Resumen_Base!D35,Mov_Analizados_Mar26!$J$10:$J$259)</f>
        <v>1903.1819889120807</v>
      </c>
      <c r="W35" s="77">
        <f>+SUMIF(Mov_Analizados_Abr26!$H$10:$H$258,Resumen_Base!D35,Mov_Analizados_Abr26!$I$10:$I$258)</f>
        <v>1261772</v>
      </c>
      <c r="X35" s="78">
        <f>+SUMIF(Mov_Analizados_Abr26!$H$10:$H$258,Resumen_Base!D35,Mov_Analizados_Abr26!$J$10:$J$258)</f>
        <v>898.05836298932297</v>
      </c>
      <c r="Z35" s="77">
        <f>+SUMIF(Mov_Analizados_May26!$H$10:$H$258,Resumen_Base!D35,Mov_Analizados_May26!$I$10:$I$258)</f>
        <v>423125</v>
      </c>
      <c r="AA35" s="78">
        <f>+SUMIF(Mov_Analizados_May26!$H$10:$H$258,Resumen_Base!D35,Mov_Analizados_May26!$J$10:$J$258)</f>
        <v>301.15658362989336</v>
      </c>
      <c r="AC35" s="77">
        <f t="shared" si="0"/>
        <v>13909415</v>
      </c>
      <c r="AD35" s="78">
        <f t="shared" si="1"/>
        <v>9970.2873625630491</v>
      </c>
    </row>
    <row r="36" spans="1:30">
      <c r="A36" s="5" t="str">
        <f>+VLOOKUP(B36,'Plan Cuentas Link Armado'!$A$3:$D$104,4,0)</f>
        <v>Electricity - Gas for Boats &amp; Vehicles</v>
      </c>
      <c r="B36" s="3" t="s">
        <v>104</v>
      </c>
      <c r="C36" t="s">
        <v>105</v>
      </c>
      <c r="D36" s="192" t="s">
        <v>411</v>
      </c>
      <c r="F36" s="5" t="str">
        <f>+VLOOKUP(B36,'Plan Cuentas Link Armado'!$A$3:$D$104,4,0)</f>
        <v>Electricity - Gas for Boats &amp; Vehicles</v>
      </c>
      <c r="H36" s="77">
        <f>+SUMIF('Mov_Analizados_Sept25 - Nov 25'!$H$10:$H$371,Resumen_Base!D36,'Mov_Analizados_Sept25 - Nov 25'!$I$10:$I$371)</f>
        <v>0</v>
      </c>
      <c r="I36" s="78">
        <f>+SUMIF('Mov_Analizados_Sept25 - Nov 25'!$H$10:$H$371,Resumen_Base!D36,'Mov_Analizados_Sept25 - Nov 25'!$J$10:$J$371)</f>
        <v>0</v>
      </c>
      <c r="K36" s="77">
        <f>+SUMIF(Mov_Analizados_Dic25!$H$10:$H$130,Resumen_Base!D36,Mov_Analizados_Dic25!$I$10:$I$130)</f>
        <v>0</v>
      </c>
      <c r="L36" s="78">
        <f>+SUMIF(Mov_Analizados_Dic25!$H$10:$H$130,Resumen_Base!D36,Mov_Analizados_Dic25!$J$10:$J$130)</f>
        <v>0</v>
      </c>
      <c r="N36" s="77">
        <f>+SUMIF(Mov_Analizados_Ene26!$H$10:$H$243,Resumen_Base!D36,Mov_Analizados_Ene26!$I$10:$I$243)</f>
        <v>0</v>
      </c>
      <c r="O36" s="78">
        <f>+SUMIF(Mov_Analizados_Ene26!$H$10:$H$243,Resumen_Base!D36,Mov_Analizados_Ene26!$J$10:$J$243)</f>
        <v>0</v>
      </c>
      <c r="Q36" s="77">
        <f>+SUMIF(Mov_Analizados_Feb26!$H$10:$H$259,Resumen_Base!D36,Mov_Analizados_Feb26!$I$10:$I$259)</f>
        <v>0</v>
      </c>
      <c r="R36" s="78">
        <f>+SUMIF(Mov_Analizados_Feb26!$H$10:$H$259,Resumen_Base!D36,Mov_Analizados_Feb26!$J$10:$J$259)</f>
        <v>0</v>
      </c>
      <c r="T36" s="77">
        <f>+SUMIF(Mov_Analizados_Mar26!$H$10:$H$259,Resumen_Base!D36,Mov_Analizados_Mar26!$I$10:$I$259)</f>
        <v>0</v>
      </c>
      <c r="U36" s="78">
        <f>+SUMIF(Mov_Analizados_Mar26!$H$10:$H$259,Resumen_Base!D36,Mov_Analizados_Mar26!$J$10:$J$259)</f>
        <v>0</v>
      </c>
      <c r="W36" s="77">
        <f>+SUMIF(Mov_Analizados_Abr26!$H$10:$H$258,Resumen_Base!D36,Mov_Analizados_Abr26!$I$10:$I$258)</f>
        <v>0</v>
      </c>
      <c r="X36" s="78">
        <f>+SUMIF(Mov_Analizados_Abr26!$H$10:$H$258,Resumen_Base!D36,Mov_Analizados_Abr26!$J$10:$J$258)</f>
        <v>0</v>
      </c>
      <c r="Z36" s="77">
        <f>+SUMIF(Mov_Analizados_May26!$H$10:$H$258,Resumen_Base!D36,Mov_Analizados_May26!$I$10:$I$258)</f>
        <v>0</v>
      </c>
      <c r="AA36" s="78">
        <f>+SUMIF(Mov_Analizados_May26!$H$10:$H$258,Resumen_Base!D36,Mov_Analizados_May26!$J$10:$J$258)</f>
        <v>0</v>
      </c>
      <c r="AC36" s="77">
        <f t="shared" si="0"/>
        <v>0</v>
      </c>
      <c r="AD36" s="78">
        <f t="shared" si="1"/>
        <v>0</v>
      </c>
    </row>
    <row r="37" spans="1:30">
      <c r="A37" s="5" t="str">
        <f>+VLOOKUP(B37,'Plan Cuentas Link Armado'!$A$3:$D$104,4,0)</f>
        <v>Maintenance  Boats / Vehicles</v>
      </c>
      <c r="B37" s="3" t="s">
        <v>62</v>
      </c>
      <c r="C37" t="s">
        <v>63</v>
      </c>
      <c r="D37" s="192" t="s">
        <v>412</v>
      </c>
      <c r="F37" s="5" t="str">
        <f>+VLOOKUP(B37,'Plan Cuentas Link Armado'!$A$3:$D$104,4,0)</f>
        <v>Maintenance  Boats / Vehicles</v>
      </c>
      <c r="H37" s="77">
        <f>+SUMIF('Mov_Analizados_Sept25 - Nov 25'!$H$10:$H$371,Resumen_Base!D37,'Mov_Analizados_Sept25 - Nov 25'!$I$10:$I$371)</f>
        <v>6535484</v>
      </c>
      <c r="I37" s="78">
        <f>+SUMIF('Mov_Analizados_Sept25 - Nov 25'!$H$10:$H$371,Resumen_Base!D37,'Mov_Analizados_Sept25 - Nov 25'!$J$10:$J$371)</f>
        <v>4906.9453340065511</v>
      </c>
      <c r="K37" s="77">
        <f>+SUMIF(Mov_Analizados_Dic25!$H$10:$H$130,Resumen_Base!D37,Mov_Analizados_Dic25!$I$10:$I$130)</f>
        <v>884000</v>
      </c>
      <c r="L37" s="78">
        <f>+SUMIF(Mov_Analizados_Dic25!$H$10:$H$130,Resumen_Base!D37,Mov_Analizados_Dic25!$J$10:$J$130)</f>
        <v>618.94222477723565</v>
      </c>
      <c r="N37" s="77">
        <f>+SUMIF(Mov_Analizados_Ene26!$H$10:$H$243,Resumen_Base!D37,Mov_Analizados_Ene26!$I$10:$I$243)</f>
        <v>300000</v>
      </c>
      <c r="O37" s="78">
        <f>+SUMIF(Mov_Analizados_Ene26!$H$10:$H$243,Resumen_Base!D37,Mov_Analizados_Ene26!$J$10:$J$243)</f>
        <v>202.70270270270299</v>
      </c>
      <c r="Q37" s="77">
        <f>+SUMIF(Mov_Analizados_Feb26!$H$10:$H$259,Resumen_Base!D37,Mov_Analizados_Feb26!$I$10:$I$259)</f>
        <v>208650</v>
      </c>
      <c r="R37" s="78">
        <f>+SUMIF(Mov_Analizados_Feb26!$H$10:$H$259,Resumen_Base!D37,Mov_Analizados_Feb26!$J$10:$J$259)</f>
        <v>147.4558303886927</v>
      </c>
      <c r="T37" s="77">
        <f>+SUMIF(Mov_Analizados_Mar26!$H$10:$H$259,Resumen_Base!D37,Mov_Analizados_Mar26!$I$10:$I$259)</f>
        <v>1100000</v>
      </c>
      <c r="U37" s="78">
        <f>+SUMIF(Mov_Analizados_Mar26!$H$10:$H$259,Resumen_Base!D37,Mov_Analizados_Mar26!$J$10:$J$259)</f>
        <v>782.91814946619195</v>
      </c>
      <c r="W37" s="77">
        <f>+SUMIF(Mov_Analizados_Abr26!$H$10:$H$258,Resumen_Base!D37,Mov_Analizados_Abr26!$I$10:$I$258)</f>
        <v>2950000</v>
      </c>
      <c r="X37" s="78">
        <f>+SUMIF(Mov_Analizados_Abr26!$H$10:$H$258,Resumen_Base!D37,Mov_Analizados_Abr26!$J$10:$J$258)</f>
        <v>2099.64412811388</v>
      </c>
      <c r="Z37" s="77">
        <f>+SUMIF(Mov_Analizados_May26!$H$10:$H$258,Resumen_Base!D37,Mov_Analizados_May26!$I$10:$I$258)</f>
        <v>2610000</v>
      </c>
      <c r="AA37" s="78">
        <f>+SUMIF(Mov_Analizados_May26!$H$10:$H$258,Resumen_Base!D37,Mov_Analizados_May26!$J$10:$J$258)</f>
        <v>1857.6512455515999</v>
      </c>
      <c r="AC37" s="77">
        <f t="shared" si="0"/>
        <v>14588134</v>
      </c>
      <c r="AD37" s="78">
        <f t="shared" si="1"/>
        <v>10616.259615006855</v>
      </c>
    </row>
    <row r="38" spans="1:30">
      <c r="A38" s="5" t="str">
        <f>+VLOOKUP(B38,'Plan Cuentas Link Armado'!$A$3:$D$104,4,0)</f>
        <v>Maintenance  Equipment</v>
      </c>
      <c r="B38" s="3" t="s">
        <v>29</v>
      </c>
      <c r="C38" t="s">
        <v>28</v>
      </c>
      <c r="D38" s="192" t="s">
        <v>413</v>
      </c>
      <c r="F38" s="5" t="str">
        <f>+VLOOKUP(B38,'Plan Cuentas Link Armado'!$A$3:$D$104,4,0)</f>
        <v>Maintenance  Equipment</v>
      </c>
      <c r="H38" s="77">
        <f>+SUMIF('Mov_Analizados_Sept25 - Nov 25'!$H$10:$H$371,Resumen_Base!D38,'Mov_Analizados_Sept25 - Nov 25'!$I$10:$I$371)</f>
        <v>1267156.8999999999</v>
      </c>
      <c r="I38" s="78">
        <f>+SUMIF('Mov_Analizados_Sept25 - Nov 25'!$H$10:$H$371,Resumen_Base!D38,'Mov_Analizados_Sept25 - Nov 25'!$J$10:$J$371)</f>
        <v>905.36065735127113</v>
      </c>
      <c r="K38" s="77">
        <f>+SUMIF(Mov_Analizados_Dic25!$H$10:$H$130,Resumen_Base!D38,Mov_Analizados_Dic25!$I$10:$I$130)</f>
        <v>80000</v>
      </c>
      <c r="L38" s="78">
        <f>+SUMIF(Mov_Analizados_Dic25!$H$10:$H$130,Resumen_Base!D38,Mov_Analizados_Dic25!$J$10:$J$130)</f>
        <v>56.338028169014102</v>
      </c>
      <c r="N38" s="77">
        <f>+SUMIF(Mov_Analizados_Ene26!$H$10:$H$243,Resumen_Base!D38,Mov_Analizados_Ene26!$I$10:$I$243)</f>
        <v>297500</v>
      </c>
      <c r="O38" s="78">
        <f>+SUMIF(Mov_Analizados_Ene26!$H$10:$H$243,Resumen_Base!D38,Mov_Analizados_Ene26!$J$10:$J$243)</f>
        <v>201.39271924986181</v>
      </c>
      <c r="Q38" s="77">
        <f>+SUMIF(Mov_Analizados_Feb26!$H$10:$H$259,Resumen_Base!D38,Mov_Analizados_Feb26!$I$10:$I$259)</f>
        <v>0</v>
      </c>
      <c r="R38" s="78">
        <f>+SUMIF(Mov_Analizados_Feb26!$H$10:$H$259,Resumen_Base!D38,Mov_Analizados_Feb26!$J$10:$J$259)</f>
        <v>0</v>
      </c>
      <c r="T38" s="77">
        <f>+SUMIF(Mov_Analizados_Mar26!$H$10:$H$259,Resumen_Base!D38,Mov_Analizados_Mar26!$I$10:$I$259)</f>
        <v>144600</v>
      </c>
      <c r="U38" s="78">
        <f>+SUMIF(Mov_Analizados_Mar26!$H$10:$H$259,Resumen_Base!D38,Mov_Analizados_Mar26!$J$10:$J$259)</f>
        <v>102.190812720848</v>
      </c>
      <c r="W38" s="77">
        <f>+SUMIF(Mov_Analizados_Abr26!$H$10:$H$258,Resumen_Base!D38,Mov_Analizados_Abr26!$I$10:$I$258)</f>
        <v>27500</v>
      </c>
      <c r="X38" s="78">
        <f>+SUMIF(Mov_Analizados_Abr26!$H$10:$H$258,Resumen_Base!D38,Mov_Analizados_Abr26!$J$10:$J$258)</f>
        <v>19.572953736654799</v>
      </c>
      <c r="Z38" s="77">
        <f>+SUMIF(Mov_Analizados_May26!$H$10:$H$258,Resumen_Base!D38,Mov_Analizados_May26!$I$10:$I$258)</f>
        <v>0</v>
      </c>
      <c r="AA38" s="78">
        <f>+SUMIF(Mov_Analizados_May26!$H$10:$H$258,Resumen_Base!D38,Mov_Analizados_May26!$J$10:$J$258)</f>
        <v>0</v>
      </c>
      <c r="AC38" s="77">
        <f t="shared" si="0"/>
        <v>1816756.9</v>
      </c>
      <c r="AD38" s="78">
        <f t="shared" si="1"/>
        <v>1284.8551712276501</v>
      </c>
    </row>
    <row r="39" spans="1:30">
      <c r="A39" s="5" t="str">
        <f>+VLOOKUP(B39,'Plan Cuentas Link Armado'!$A$3:$D$104,4,0)</f>
        <v>Travel for personnel (employees)</v>
      </c>
      <c r="B39" s="3" t="s">
        <v>266</v>
      </c>
      <c r="C39" t="s">
        <v>276</v>
      </c>
      <c r="D39" s="192" t="s">
        <v>414</v>
      </c>
      <c r="F39" s="5" t="str">
        <f>+VLOOKUP(B39,'Plan Cuentas Link Armado'!$A$3:$D$104,4,0)</f>
        <v>Travel for personnel (employees)</v>
      </c>
      <c r="H39" s="77">
        <f>+SUMIF('Mov_Analizados_Sept25 - Nov 25'!$H$10:$H$371,Resumen_Base!D39,'Mov_Analizados_Sept25 - Nov 25'!$I$10:$I$371)</f>
        <v>0</v>
      </c>
      <c r="I39" s="78">
        <f>+SUMIF('Mov_Analizados_Sept25 - Nov 25'!$H$10:$H$371,Resumen_Base!D39,'Mov_Analizados_Sept25 - Nov 25'!$J$10:$J$371)</f>
        <v>0</v>
      </c>
      <c r="K39" s="77">
        <f>+SUMIF(Mov_Analizados_Dic25!$H$10:$H$130,Resumen_Base!D39,Mov_Analizados_Dic25!$I$10:$I$130)</f>
        <v>0</v>
      </c>
      <c r="L39" s="78">
        <f>+SUMIF(Mov_Analizados_Dic25!$H$10:$H$130,Resumen_Base!D39,Mov_Analizados_Dic25!$J$10:$J$130)</f>
        <v>0</v>
      </c>
      <c r="N39" s="77">
        <f>+SUMIF(Mov_Analizados_Ene26!$H$10:$H$243,Resumen_Base!D39,Mov_Analizados_Ene26!$I$10:$I$243)</f>
        <v>0</v>
      </c>
      <c r="O39" s="78">
        <f>+SUMIF(Mov_Analizados_Ene26!$H$10:$H$243,Resumen_Base!D39,Mov_Analizados_Ene26!$J$10:$J$243)</f>
        <v>0</v>
      </c>
      <c r="Q39" s="77">
        <f>+SUMIF(Mov_Analizados_Feb26!$H$10:$H$259,Resumen_Base!D39,Mov_Analizados_Feb26!$I$10:$I$259)</f>
        <v>0</v>
      </c>
      <c r="R39" s="78">
        <f>+SUMIF(Mov_Analizados_Feb26!$H$10:$H$259,Resumen_Base!D39,Mov_Analizados_Feb26!$J$10:$J$259)</f>
        <v>0</v>
      </c>
      <c r="T39" s="77">
        <f>+SUMIF(Mov_Analizados_Mar26!$H$10:$H$259,Resumen_Base!D39,Mov_Analizados_Mar26!$I$10:$I$259)</f>
        <v>0</v>
      </c>
      <c r="U39" s="78">
        <f>+SUMIF(Mov_Analizados_Mar26!$H$10:$H$259,Resumen_Base!D39,Mov_Analizados_Mar26!$J$10:$J$259)</f>
        <v>0</v>
      </c>
      <c r="W39" s="77">
        <f>+SUMIF(Mov_Analizados_Abr26!$H$10:$H$258,Resumen_Base!D39,Mov_Analizados_Abr26!$I$10:$I$258)</f>
        <v>0</v>
      </c>
      <c r="X39" s="78">
        <f>+SUMIF(Mov_Analizados_Abr26!$H$10:$H$258,Resumen_Base!D39,Mov_Analizados_Abr26!$J$10:$J$258)</f>
        <v>0</v>
      </c>
      <c r="Z39" s="77">
        <f>+SUMIF(Mov_Analizados_May26!$H$10:$H$258,Resumen_Base!D39,Mov_Analizados_May26!$I$10:$I$258)</f>
        <v>0</v>
      </c>
      <c r="AA39" s="78">
        <f>+SUMIF(Mov_Analizados_May26!$H$10:$H$258,Resumen_Base!D39,Mov_Analizados_May26!$J$10:$J$258)</f>
        <v>0</v>
      </c>
      <c r="AC39" s="77">
        <f t="shared" si="0"/>
        <v>0</v>
      </c>
      <c r="AD39" s="78">
        <f t="shared" si="1"/>
        <v>0</v>
      </c>
    </row>
    <row r="40" spans="1:30">
      <c r="A40" s="5" t="str">
        <f>+VLOOKUP(B40,'Plan Cuentas Link Armado'!$A$3:$D$104,4,0)</f>
        <v>Licenses / Permits (Fishing and Shooting)</v>
      </c>
      <c r="B40" s="3" t="s">
        <v>277</v>
      </c>
      <c r="C40" t="s">
        <v>278</v>
      </c>
      <c r="D40" s="192" t="s">
        <v>415</v>
      </c>
      <c r="F40" s="5" t="str">
        <f>+VLOOKUP(B40,'Plan Cuentas Link Armado'!$A$3:$D$104,4,0)</f>
        <v>Licenses / Permits (Fishing and Shooting)</v>
      </c>
      <c r="H40" s="77">
        <f>+SUMIF('Mov_Analizados_Sept25 - Nov 25'!$H$10:$H$371,Resumen_Base!D40,'Mov_Analizados_Sept25 - Nov 25'!$I$10:$I$371)</f>
        <v>0</v>
      </c>
      <c r="I40" s="78">
        <f>+SUMIF('Mov_Analizados_Sept25 - Nov 25'!$H$10:$H$371,Resumen_Base!D40,'Mov_Analizados_Sept25 - Nov 25'!$J$10:$J$371)</f>
        <v>0</v>
      </c>
      <c r="K40" s="77">
        <f>+SUMIF(Mov_Analizados_Dic25!$H$10:$H$130,Resumen_Base!D40,Mov_Analizados_Dic25!$I$10:$I$130)</f>
        <v>0</v>
      </c>
      <c r="L40" s="78">
        <f>+SUMIF(Mov_Analizados_Dic25!$H$10:$H$130,Resumen_Base!D40,Mov_Analizados_Dic25!$J$10:$J$130)</f>
        <v>0</v>
      </c>
      <c r="N40" s="77">
        <f>+SUMIF(Mov_Analizados_Ene26!$H$10:$H$243,Resumen_Base!D40,Mov_Analizados_Ene26!$I$10:$I$243)</f>
        <v>0</v>
      </c>
      <c r="O40" s="78">
        <f>+SUMIF(Mov_Analizados_Ene26!$H$10:$H$243,Resumen_Base!D40,Mov_Analizados_Ene26!$J$10:$J$243)</f>
        <v>0</v>
      </c>
      <c r="Q40" s="77">
        <f>+SUMIF(Mov_Analizados_Feb26!$H$10:$H$259,Resumen_Base!D40,Mov_Analizados_Feb26!$I$10:$I$259)</f>
        <v>0</v>
      </c>
      <c r="R40" s="78">
        <f>+SUMIF(Mov_Analizados_Feb26!$H$10:$H$259,Resumen_Base!D40,Mov_Analizados_Feb26!$J$10:$J$259)</f>
        <v>0</v>
      </c>
      <c r="T40" s="77">
        <f>+SUMIF(Mov_Analizados_Mar26!$H$10:$H$259,Resumen_Base!D40,Mov_Analizados_Mar26!$I$10:$I$259)</f>
        <v>0</v>
      </c>
      <c r="U40" s="78">
        <f>+SUMIF(Mov_Analizados_Mar26!$H$10:$H$259,Resumen_Base!D40,Mov_Analizados_Mar26!$J$10:$J$259)</f>
        <v>0</v>
      </c>
      <c r="W40" s="77">
        <f>+SUMIF(Mov_Analizados_Abr26!$H$10:$H$258,Resumen_Base!D40,Mov_Analizados_Abr26!$I$10:$I$258)</f>
        <v>0</v>
      </c>
      <c r="X40" s="78">
        <f>+SUMIF(Mov_Analizados_Abr26!$H$10:$H$258,Resumen_Base!D40,Mov_Analizados_Abr26!$J$10:$J$258)</f>
        <v>0</v>
      </c>
      <c r="Z40" s="77">
        <f>+SUMIF(Mov_Analizados_May26!$H$10:$H$258,Resumen_Base!D40,Mov_Analizados_May26!$I$10:$I$258)</f>
        <v>0</v>
      </c>
      <c r="AA40" s="78">
        <f>+SUMIF(Mov_Analizados_May26!$H$10:$H$258,Resumen_Base!D40,Mov_Analizados_May26!$J$10:$J$258)</f>
        <v>0</v>
      </c>
      <c r="AC40" s="77">
        <f t="shared" si="0"/>
        <v>0</v>
      </c>
      <c r="AD40" s="78">
        <f t="shared" si="1"/>
        <v>0</v>
      </c>
    </row>
    <row r="41" spans="1:30">
      <c r="A41" s="5" t="str">
        <f>+VLOOKUP(B41,'Plan Cuentas Link Armado'!$A$3:$D$104,4,0)</f>
        <v>Licenses / Permits (Fishing and Shooting)</v>
      </c>
      <c r="B41" s="3" t="s">
        <v>58</v>
      </c>
      <c r="C41" t="s">
        <v>59</v>
      </c>
      <c r="D41" s="192" t="s">
        <v>416</v>
      </c>
      <c r="F41" s="5" t="str">
        <f>+VLOOKUP(B41,'Plan Cuentas Link Armado'!$A$3:$D$104,4,0)</f>
        <v>Licenses / Permits (Fishing and Shooting)</v>
      </c>
      <c r="H41" s="77">
        <f>+SUMIF('Mov_Analizados_Sept25 - Nov 25'!$H$10:$H$371,Resumen_Base!D41,'Mov_Analizados_Sept25 - Nov 25'!$I$10:$I$371)</f>
        <v>0</v>
      </c>
      <c r="I41" s="78">
        <f>+SUMIF('Mov_Analizados_Sept25 - Nov 25'!$H$10:$H$371,Resumen_Base!D41,'Mov_Analizados_Sept25 - Nov 25'!$J$10:$J$371)</f>
        <v>0</v>
      </c>
      <c r="K41" s="77">
        <f>+SUMIF(Mov_Analizados_Dic25!$H$10:$H$130,Resumen_Base!D41,Mov_Analizados_Dic25!$I$10:$I$130)</f>
        <v>0</v>
      </c>
      <c r="L41" s="78">
        <f>+SUMIF(Mov_Analizados_Dic25!$H$10:$H$130,Resumen_Base!D41,Mov_Analizados_Dic25!$J$10:$J$130)</f>
        <v>0</v>
      </c>
      <c r="N41" s="77">
        <f>+SUMIF(Mov_Analizados_Ene26!$H$10:$H$243,Resumen_Base!D41,Mov_Analizados_Ene26!$I$10:$I$243)</f>
        <v>0</v>
      </c>
      <c r="O41" s="78">
        <f>+SUMIF(Mov_Analizados_Ene26!$H$10:$H$243,Resumen_Base!D41,Mov_Analizados_Ene26!$J$10:$J$243)</f>
        <v>0</v>
      </c>
      <c r="Q41" s="77">
        <f>+SUMIF(Mov_Analizados_Feb26!$H$10:$H$259,Resumen_Base!D41,Mov_Analizados_Feb26!$I$10:$I$259)</f>
        <v>0</v>
      </c>
      <c r="R41" s="78">
        <f>+SUMIF(Mov_Analizados_Feb26!$H$10:$H$259,Resumen_Base!D41,Mov_Analizados_Feb26!$J$10:$J$259)</f>
        <v>0</v>
      </c>
      <c r="T41" s="77">
        <f>+SUMIF(Mov_Analizados_Mar26!$H$10:$H$259,Resumen_Base!D41,Mov_Analizados_Mar26!$I$10:$I$259)</f>
        <v>0</v>
      </c>
      <c r="U41" s="78">
        <f>+SUMIF(Mov_Analizados_Mar26!$H$10:$H$259,Resumen_Base!D41,Mov_Analizados_Mar26!$J$10:$J$259)</f>
        <v>0</v>
      </c>
      <c r="W41" s="77">
        <f>+SUMIF(Mov_Analizados_Abr26!$H$10:$H$258,Resumen_Base!D41,Mov_Analizados_Abr26!$I$10:$I$258)</f>
        <v>0</v>
      </c>
      <c r="X41" s="78">
        <f>+SUMIF(Mov_Analizados_Abr26!$H$10:$H$258,Resumen_Base!D41,Mov_Analizados_Abr26!$J$10:$J$258)</f>
        <v>0</v>
      </c>
      <c r="Z41" s="77">
        <f>+SUMIF(Mov_Analizados_May26!$H$10:$H$258,Resumen_Base!D41,Mov_Analizados_May26!$I$10:$I$258)</f>
        <v>0</v>
      </c>
      <c r="AA41" s="78">
        <f>+SUMIF(Mov_Analizados_May26!$H$10:$H$258,Resumen_Base!D41,Mov_Analizados_May26!$J$10:$J$258)</f>
        <v>0</v>
      </c>
      <c r="AC41" s="77">
        <f t="shared" si="0"/>
        <v>0</v>
      </c>
      <c r="AD41" s="78">
        <f t="shared" si="1"/>
        <v>0</v>
      </c>
    </row>
    <row r="42" spans="1:30">
      <c r="A42" s="5" t="str">
        <f>+VLOOKUP(B42,'Plan Cuentas Link Armado'!$A$3:$D$104,4,0)</f>
        <v>Fixed Asset's Sales</v>
      </c>
      <c r="B42" s="3" t="s">
        <v>24</v>
      </c>
      <c r="C42" t="s">
        <v>23</v>
      </c>
      <c r="D42" s="192" t="s">
        <v>417</v>
      </c>
      <c r="F42" s="5" t="str">
        <f>+VLOOKUP(B42,'Plan Cuentas Link Armado'!$A$3:$D$104,4,0)</f>
        <v>Fixed Asset's Sales</v>
      </c>
      <c r="H42" s="77">
        <f>+SUMIF('Mov_Analizados_Sept25 - Nov 25'!$H$10:$H$371,Resumen_Base!D42,'Mov_Analizados_Sept25 - Nov 25'!$I$10:$I$371)</f>
        <v>-5680000</v>
      </c>
      <c r="I42" s="78">
        <f>+SUMIF('Mov_Analizados_Sept25 - Nov 25'!$H$10:$H$371,Resumen_Base!D42,'Mov_Analizados_Sept25 - Nov 25'!$J$10:$J$371)</f>
        <v>-4000</v>
      </c>
      <c r="K42" s="77">
        <f>+SUMIF(Mov_Analizados_Dic25!$H$10:$H$130,Resumen_Base!D42,Mov_Analizados_Dic25!$I$10:$I$130)</f>
        <v>0</v>
      </c>
      <c r="L42" s="78">
        <f>+SUMIF(Mov_Analizados_Dic25!$H$10:$H$130,Resumen_Base!D42,Mov_Analizados_Dic25!$J$10:$J$130)</f>
        <v>0</v>
      </c>
      <c r="N42" s="77">
        <f>+SUMIF(Mov_Analizados_Ene26!$H$10:$H$243,Resumen_Base!D42,Mov_Analizados_Ene26!$I$10:$I$243)</f>
        <v>0</v>
      </c>
      <c r="O42" s="78">
        <f>+SUMIF(Mov_Analizados_Ene26!$H$10:$H$243,Resumen_Base!D42,Mov_Analizados_Ene26!$J$10:$J$243)</f>
        <v>0</v>
      </c>
      <c r="Q42" s="77">
        <f>+SUMIF(Mov_Analizados_Feb26!$H$10:$H$259,Resumen_Base!D42,Mov_Analizados_Feb26!$I$10:$I$259)</f>
        <v>0</v>
      </c>
      <c r="R42" s="78">
        <f>+SUMIF(Mov_Analizados_Feb26!$H$10:$H$259,Resumen_Base!D42,Mov_Analizados_Feb26!$J$10:$J$259)</f>
        <v>0</v>
      </c>
      <c r="T42" s="77">
        <f>+SUMIF(Mov_Analizados_Mar26!$H$10:$H$259,Resumen_Base!D42,Mov_Analizados_Mar26!$I$10:$I$259)</f>
        <v>0</v>
      </c>
      <c r="U42" s="78">
        <f>+SUMIF(Mov_Analizados_Mar26!$H$10:$H$259,Resumen_Base!D42,Mov_Analizados_Mar26!$J$10:$J$259)</f>
        <v>0</v>
      </c>
      <c r="W42" s="77">
        <f>+SUMIF(Mov_Analizados_Abr26!$H$10:$H$258,Resumen_Base!D42,Mov_Analizados_Abr26!$I$10:$I$258)</f>
        <v>0</v>
      </c>
      <c r="X42" s="78">
        <f>+SUMIF(Mov_Analizados_Abr26!$H$10:$H$258,Resumen_Base!D42,Mov_Analizados_Abr26!$J$10:$J$258)</f>
        <v>0</v>
      </c>
      <c r="Z42" s="77">
        <f>+SUMIF(Mov_Analizados_May26!$H$10:$H$258,Resumen_Base!D42,Mov_Analizados_May26!$I$10:$I$258)</f>
        <v>0</v>
      </c>
      <c r="AA42" s="78">
        <f>+SUMIF(Mov_Analizados_May26!$H$10:$H$258,Resumen_Base!D42,Mov_Analizados_May26!$J$10:$J$258)</f>
        <v>0</v>
      </c>
      <c r="AC42" s="77">
        <f t="shared" si="0"/>
        <v>-5680000</v>
      </c>
      <c r="AD42" s="78">
        <f t="shared" si="1"/>
        <v>-4000</v>
      </c>
    </row>
    <row r="43" spans="1:30">
      <c r="A43" s="5" t="str">
        <f>+VLOOKUP(B43,'Plan Cuentas Link Armado'!$A$3:$D$104,4,0)</f>
        <v>Extras</v>
      </c>
      <c r="B43" s="3" t="s">
        <v>128</v>
      </c>
      <c r="C43" t="s">
        <v>129</v>
      </c>
      <c r="D43" s="192" t="s">
        <v>418</v>
      </c>
      <c r="F43" s="5" t="str">
        <f>+VLOOKUP(B43,'Plan Cuentas Link Armado'!$A$3:$D$104,4,0)</f>
        <v>Extras</v>
      </c>
      <c r="H43" s="77">
        <f>+SUMIF('Mov_Analizados_Sept25 - Nov 25'!$H$10:$H$371,Resumen_Base!D43,'Mov_Analizados_Sept25 - Nov 25'!$I$10:$I$371)</f>
        <v>0</v>
      </c>
      <c r="I43" s="78">
        <f>+SUMIF('Mov_Analizados_Sept25 - Nov 25'!$H$10:$H$371,Resumen_Base!D43,'Mov_Analizados_Sept25 - Nov 25'!$J$10:$J$371)</f>
        <v>0</v>
      </c>
      <c r="K43" s="77">
        <f>+SUMIF(Mov_Analizados_Dic25!$H$10:$H$130,Resumen_Base!D43,Mov_Analizados_Dic25!$I$10:$I$130)</f>
        <v>0</v>
      </c>
      <c r="L43" s="78">
        <f>+SUMIF(Mov_Analizados_Dic25!$H$10:$H$130,Resumen_Base!D43,Mov_Analizados_Dic25!$J$10:$J$130)</f>
        <v>0</v>
      </c>
      <c r="N43" s="77">
        <f>+SUMIF(Mov_Analizados_Ene26!$H$10:$H$243,Resumen_Base!D43,Mov_Analizados_Ene26!$I$10:$I$243)</f>
        <v>0</v>
      </c>
      <c r="O43" s="78">
        <f>+SUMIF(Mov_Analizados_Ene26!$H$10:$H$243,Resumen_Base!D43,Mov_Analizados_Ene26!$J$10:$J$243)</f>
        <v>0</v>
      </c>
      <c r="Q43" s="77">
        <f>+SUMIF(Mov_Analizados_Feb26!$H$10:$H$259,Resumen_Base!D43,Mov_Analizados_Feb26!$I$10:$I$259)</f>
        <v>0</v>
      </c>
      <c r="R43" s="78">
        <f>+SUMIF(Mov_Analizados_Feb26!$H$10:$H$259,Resumen_Base!D43,Mov_Analizados_Feb26!$J$10:$J$259)</f>
        <v>0</v>
      </c>
      <c r="T43" s="77">
        <f>+SUMIF(Mov_Analizados_Mar26!$H$10:$H$259,Resumen_Base!D43,Mov_Analizados_Mar26!$I$10:$I$259)</f>
        <v>0</v>
      </c>
      <c r="U43" s="78">
        <f>+SUMIF(Mov_Analizados_Mar26!$H$10:$H$259,Resumen_Base!D43,Mov_Analizados_Mar26!$J$10:$J$259)</f>
        <v>0</v>
      </c>
      <c r="W43" s="77">
        <f>+SUMIF(Mov_Analizados_Abr26!$H$10:$H$258,Resumen_Base!D43,Mov_Analizados_Abr26!$I$10:$I$258)</f>
        <v>0</v>
      </c>
      <c r="X43" s="78">
        <f>+SUMIF(Mov_Analizados_Abr26!$H$10:$H$258,Resumen_Base!D43,Mov_Analizados_Abr26!$J$10:$J$258)</f>
        <v>0</v>
      </c>
      <c r="Z43" s="77">
        <f>+SUMIF(Mov_Analizados_May26!$H$10:$H$258,Resumen_Base!D43,Mov_Analizados_May26!$I$10:$I$258)</f>
        <v>0</v>
      </c>
      <c r="AA43" s="78">
        <f>+SUMIF(Mov_Analizados_May26!$H$10:$H$258,Resumen_Base!D43,Mov_Analizados_May26!$J$10:$J$258)</f>
        <v>0</v>
      </c>
      <c r="AC43" s="77">
        <f t="shared" si="0"/>
        <v>0</v>
      </c>
      <c r="AD43" s="78">
        <f t="shared" si="1"/>
        <v>0</v>
      </c>
    </row>
    <row r="44" spans="1:30">
      <c r="A44" s="5" t="str">
        <f>+VLOOKUP(B44,'Plan Cuentas Link Armado'!$A$3:$D$104,4,0)</f>
        <v>Shop</v>
      </c>
      <c r="B44" s="3" t="s">
        <v>130</v>
      </c>
      <c r="C44" t="s">
        <v>131</v>
      </c>
      <c r="D44" s="192" t="s">
        <v>419</v>
      </c>
      <c r="F44" s="5" t="str">
        <f>+VLOOKUP(B44,'Plan Cuentas Link Armado'!$A$3:$D$104,4,0)</f>
        <v>Shop</v>
      </c>
      <c r="H44" s="77">
        <f>+SUMIF('Mov_Analizados_Sept25 - Nov 25'!$H$10:$H$371,Resumen_Base!D44,'Mov_Analizados_Sept25 - Nov 25'!$I$10:$I$371)</f>
        <v>0</v>
      </c>
      <c r="I44" s="78">
        <f>+SUMIF('Mov_Analizados_Sept25 - Nov 25'!$H$10:$H$371,Resumen_Base!D44,'Mov_Analizados_Sept25 - Nov 25'!$J$10:$J$371)</f>
        <v>0</v>
      </c>
      <c r="K44" s="77">
        <f>+SUMIF(Mov_Analizados_Dic25!$H$10:$H$130,Resumen_Base!D44,Mov_Analizados_Dic25!$I$10:$I$130)</f>
        <v>-488800</v>
      </c>
      <c r="L44" s="78">
        <f>+SUMIF(Mov_Analizados_Dic25!$H$10:$H$130,Resumen_Base!D44,Mov_Analizados_Dic25!$J$10:$J$130)</f>
        <v>-340</v>
      </c>
      <c r="N44" s="77">
        <f>+SUMIF(Mov_Analizados_Ene26!$H$10:$H$243,Resumen_Base!D44,Mov_Analizados_Ene26!$I$10:$I$243)</f>
        <v>-177600</v>
      </c>
      <c r="O44" s="78">
        <f>+SUMIF(Mov_Analizados_Ene26!$H$10:$H$243,Resumen_Base!D44,Mov_Analizados_Ene26!$J$10:$J$243)</f>
        <v>-120</v>
      </c>
      <c r="Q44" s="77">
        <f>+SUMIF(Mov_Analizados_Feb26!$H$10:$H$259,Resumen_Base!D44,Mov_Analizados_Feb26!$I$10:$I$259)</f>
        <v>-804600</v>
      </c>
      <c r="R44" s="78">
        <f>+SUMIF(Mov_Analizados_Feb26!$H$10:$H$259,Resumen_Base!D44,Mov_Analizados_Feb26!$J$10:$J$259)</f>
        <v>-564</v>
      </c>
      <c r="T44" s="77">
        <f>+SUMIF(Mov_Analizados_Mar26!$H$10:$H$259,Resumen_Base!D44,Mov_Analizados_Mar26!$I$10:$I$259)</f>
        <v>-503575</v>
      </c>
      <c r="U44" s="78">
        <f>+SUMIF(Mov_Analizados_Mar26!$H$10:$H$259,Resumen_Base!D44,Mov_Analizados_Mar26!$J$10:$J$259)</f>
        <v>-359</v>
      </c>
      <c r="W44" s="77">
        <f>+SUMIF(Mov_Analizados_Abr26!$H$10:$H$258,Resumen_Base!D44,Mov_Analizados_Abr26!$I$10:$I$258)</f>
        <v>-351250</v>
      </c>
      <c r="X44" s="78">
        <f>+SUMIF(Mov_Analizados_Abr26!$H$10:$H$258,Resumen_Base!D44,Mov_Analizados_Abr26!$J$10:$J$258)</f>
        <v>-250</v>
      </c>
      <c r="Z44" s="77">
        <f>+SUMIF(Mov_Analizados_May26!$H$10:$H$258,Resumen_Base!D44,Mov_Analizados_May26!$I$10:$I$258)</f>
        <v>0</v>
      </c>
      <c r="AA44" s="78">
        <f>+SUMIF(Mov_Analizados_May26!$H$10:$H$258,Resumen_Base!D44,Mov_Analizados_May26!$J$10:$J$258)</f>
        <v>0</v>
      </c>
      <c r="AC44" s="77">
        <f t="shared" si="0"/>
        <v>-2325825</v>
      </c>
      <c r="AD44" s="78">
        <f t="shared" si="1"/>
        <v>-1633</v>
      </c>
    </row>
    <row r="45" spans="1:30">
      <c r="A45" s="5" t="str">
        <f>+VLOOKUP(B45,'Plan Cuentas Link Armado'!$A$3:$D$104,4,0)</f>
        <v>Extras</v>
      </c>
      <c r="B45" s="3" t="s">
        <v>289</v>
      </c>
      <c r="C45" t="s">
        <v>290</v>
      </c>
      <c r="D45" s="192" t="s">
        <v>420</v>
      </c>
      <c r="F45" s="5" t="str">
        <f>+VLOOKUP(B45,'Plan Cuentas Link Armado'!$A$3:$D$104,4,0)</f>
        <v>Extras</v>
      </c>
      <c r="H45" s="77">
        <f>+SUMIF('Mov_Analizados_Sept25 - Nov 25'!$H$10:$H$371,Resumen_Base!D45,'Mov_Analizados_Sept25 - Nov 25'!$I$10:$I$371)</f>
        <v>0</v>
      </c>
      <c r="I45" s="78">
        <f>+SUMIF('Mov_Analizados_Sept25 - Nov 25'!$H$10:$H$371,Resumen_Base!D45,'Mov_Analizados_Sept25 - Nov 25'!$J$10:$J$371)</f>
        <v>0</v>
      </c>
      <c r="K45" s="77">
        <f>+SUMIF(Mov_Analizados_Dic25!$H$10:$H$130,Resumen_Base!D45,Mov_Analizados_Dic25!$I$10:$I$130)</f>
        <v>0</v>
      </c>
      <c r="L45" s="78">
        <f>+SUMIF(Mov_Analizados_Dic25!$H$10:$H$130,Resumen_Base!D45,Mov_Analizados_Dic25!$J$10:$J$130)</f>
        <v>0</v>
      </c>
      <c r="N45" s="77">
        <f>+SUMIF(Mov_Analizados_Ene26!$H$10:$H$243,Resumen_Base!D45,Mov_Analizados_Ene26!$I$10:$I$243)</f>
        <v>0</v>
      </c>
      <c r="O45" s="78">
        <f>+SUMIF(Mov_Analizados_Ene26!$H$10:$H$243,Resumen_Base!D45,Mov_Analizados_Ene26!$J$10:$J$243)</f>
        <v>0</v>
      </c>
      <c r="Q45" s="77">
        <f>+SUMIF(Mov_Analizados_Feb26!$H$10:$H$259,Resumen_Base!D45,Mov_Analizados_Feb26!$I$10:$I$259)</f>
        <v>0</v>
      </c>
      <c r="R45" s="78">
        <f>+SUMIF(Mov_Analizados_Feb26!$H$10:$H$259,Resumen_Base!D45,Mov_Analizados_Feb26!$J$10:$J$259)</f>
        <v>0</v>
      </c>
      <c r="T45" s="77">
        <f>+SUMIF(Mov_Analizados_Mar26!$H$10:$H$259,Resumen_Base!D45,Mov_Analizados_Mar26!$I$10:$I$259)</f>
        <v>0</v>
      </c>
      <c r="U45" s="78">
        <f>+SUMIF(Mov_Analizados_Mar26!$H$10:$H$259,Resumen_Base!D45,Mov_Analizados_Mar26!$J$10:$J$259)</f>
        <v>0</v>
      </c>
      <c r="W45" s="77">
        <f>+SUMIF(Mov_Analizados_Abr26!$H$10:$H$258,Resumen_Base!D45,Mov_Analizados_Abr26!$I$10:$I$258)</f>
        <v>0</v>
      </c>
      <c r="X45" s="78">
        <f>+SUMIF(Mov_Analizados_Abr26!$H$10:$H$258,Resumen_Base!D45,Mov_Analizados_Abr26!$J$10:$J$258)</f>
        <v>0</v>
      </c>
      <c r="Z45" s="77">
        <f>+SUMIF(Mov_Analizados_May26!$H$10:$H$258,Resumen_Base!D45,Mov_Analizados_May26!$I$10:$I$258)</f>
        <v>0</v>
      </c>
      <c r="AA45" s="78">
        <f>+SUMIF(Mov_Analizados_May26!$H$10:$H$258,Resumen_Base!D45,Mov_Analizados_May26!$J$10:$J$258)</f>
        <v>0</v>
      </c>
      <c r="AC45" s="77">
        <f t="shared" si="0"/>
        <v>0</v>
      </c>
      <c r="AD45" s="78">
        <f t="shared" si="1"/>
        <v>0</v>
      </c>
    </row>
    <row r="46" spans="1:30">
      <c r="A46" s="5" t="str">
        <f>+VLOOKUP(B46,'Plan Cuentas Link Armado'!$A$3:$D$104,4,0)</f>
        <v>Extras</v>
      </c>
      <c r="B46" s="3" t="s">
        <v>132</v>
      </c>
      <c r="C46" t="s">
        <v>279</v>
      </c>
      <c r="D46" s="192" t="s">
        <v>421</v>
      </c>
      <c r="F46" s="5" t="str">
        <f>+VLOOKUP(B46,'Plan Cuentas Link Armado'!$A$3:$D$104,4,0)</f>
        <v>Extras</v>
      </c>
      <c r="H46" s="77">
        <f>+SUMIF('Mov_Analizados_Sept25 - Nov 25'!$H$10:$H$371,Resumen_Base!D46,'Mov_Analizados_Sept25 - Nov 25'!$I$10:$I$371)</f>
        <v>0</v>
      </c>
      <c r="I46" s="78">
        <f>+SUMIF('Mov_Analizados_Sept25 - Nov 25'!$H$10:$H$371,Resumen_Base!D46,'Mov_Analizados_Sept25 - Nov 25'!$J$10:$J$371)</f>
        <v>0</v>
      </c>
      <c r="K46" s="77">
        <f>+SUMIF(Mov_Analizados_Dic25!$H$10:$H$130,Resumen_Base!D46,Mov_Analizados_Dic25!$I$10:$I$130)</f>
        <v>0</v>
      </c>
      <c r="L46" s="78">
        <f>+SUMIF(Mov_Analizados_Dic25!$H$10:$H$130,Resumen_Base!D46,Mov_Analizados_Dic25!$J$10:$J$130)</f>
        <v>0</v>
      </c>
      <c r="N46" s="77">
        <f>+SUMIF(Mov_Analizados_Ene26!$H$10:$H$243,Resumen_Base!D46,Mov_Analizados_Ene26!$I$10:$I$243)</f>
        <v>0</v>
      </c>
      <c r="O46" s="78">
        <f>+SUMIF(Mov_Analizados_Ene26!$H$10:$H$243,Resumen_Base!D46,Mov_Analizados_Ene26!$J$10:$J$243)</f>
        <v>0</v>
      </c>
      <c r="Q46" s="77">
        <f>+SUMIF(Mov_Analizados_Feb26!$H$10:$H$259,Resumen_Base!D46,Mov_Analizados_Feb26!$I$10:$I$259)</f>
        <v>0</v>
      </c>
      <c r="R46" s="78">
        <f>+SUMIF(Mov_Analizados_Feb26!$H$10:$H$259,Resumen_Base!D46,Mov_Analizados_Feb26!$J$10:$J$259)</f>
        <v>0</v>
      </c>
      <c r="T46" s="77">
        <f>+SUMIF(Mov_Analizados_Mar26!$H$10:$H$259,Resumen_Base!D46,Mov_Analizados_Mar26!$I$10:$I$259)</f>
        <v>0</v>
      </c>
      <c r="U46" s="78">
        <f>+SUMIF(Mov_Analizados_Mar26!$H$10:$H$259,Resumen_Base!D46,Mov_Analizados_Mar26!$J$10:$J$259)</f>
        <v>0</v>
      </c>
      <c r="W46" s="77">
        <f>+SUMIF(Mov_Analizados_Abr26!$H$10:$H$258,Resumen_Base!D46,Mov_Analizados_Abr26!$I$10:$I$258)</f>
        <v>0</v>
      </c>
      <c r="X46" s="78">
        <f>+SUMIF(Mov_Analizados_Abr26!$H$10:$H$258,Resumen_Base!D46,Mov_Analizados_Abr26!$J$10:$J$258)</f>
        <v>0</v>
      </c>
      <c r="Z46" s="77">
        <f>+SUMIF(Mov_Analizados_May26!$H$10:$H$258,Resumen_Base!D46,Mov_Analizados_May26!$I$10:$I$258)</f>
        <v>0</v>
      </c>
      <c r="AA46" s="78">
        <f>+SUMIF(Mov_Analizados_May26!$H$10:$H$258,Resumen_Base!D46,Mov_Analizados_May26!$J$10:$J$258)</f>
        <v>0</v>
      </c>
      <c r="AC46" s="77">
        <f t="shared" si="0"/>
        <v>0</v>
      </c>
      <c r="AD46" s="78">
        <f t="shared" si="1"/>
        <v>0</v>
      </c>
    </row>
    <row r="47" spans="1:30">
      <c r="A47" s="5" t="str">
        <f>+VLOOKUP(B47,'Plan Cuentas Link Armado'!$A$3:$D$104,4,0)</f>
        <v>Extras</v>
      </c>
      <c r="B47" s="3" t="s">
        <v>133</v>
      </c>
      <c r="C47" t="s">
        <v>280</v>
      </c>
      <c r="D47" s="192" t="s">
        <v>422</v>
      </c>
      <c r="F47" s="5" t="str">
        <f>+VLOOKUP(B47,'Plan Cuentas Link Armado'!$A$3:$D$104,4,0)</f>
        <v>Extras</v>
      </c>
      <c r="H47" s="77">
        <f>+SUMIF('Mov_Analizados_Sept25 - Nov 25'!$H$10:$H$371,Resumen_Base!D47,'Mov_Analizados_Sept25 - Nov 25'!$I$10:$I$371)</f>
        <v>0</v>
      </c>
      <c r="I47" s="78">
        <f>+SUMIF('Mov_Analizados_Sept25 - Nov 25'!$H$10:$H$371,Resumen_Base!D47,'Mov_Analizados_Sept25 - Nov 25'!$J$10:$J$371)</f>
        <v>0</v>
      </c>
      <c r="K47" s="77">
        <f>+SUMIF(Mov_Analizados_Dic25!$H$10:$H$130,Resumen_Base!D47,Mov_Analizados_Dic25!$I$10:$I$130)</f>
        <v>0</v>
      </c>
      <c r="L47" s="78">
        <f>+SUMIF(Mov_Analizados_Dic25!$H$10:$H$130,Resumen_Base!D47,Mov_Analizados_Dic25!$J$10:$J$130)</f>
        <v>0</v>
      </c>
      <c r="N47" s="77">
        <f>+SUMIF(Mov_Analizados_Ene26!$H$10:$H$243,Resumen_Base!D47,Mov_Analizados_Ene26!$I$10:$I$243)</f>
        <v>0</v>
      </c>
      <c r="O47" s="78">
        <f>+SUMIF(Mov_Analizados_Ene26!$H$10:$H$243,Resumen_Base!D47,Mov_Analizados_Ene26!$J$10:$J$243)</f>
        <v>0</v>
      </c>
      <c r="Q47" s="77">
        <f>+SUMIF(Mov_Analizados_Feb26!$H$10:$H$259,Resumen_Base!D47,Mov_Analizados_Feb26!$I$10:$I$259)</f>
        <v>0</v>
      </c>
      <c r="R47" s="78">
        <f>+SUMIF(Mov_Analizados_Feb26!$H$10:$H$259,Resumen_Base!D47,Mov_Analizados_Feb26!$J$10:$J$259)</f>
        <v>0</v>
      </c>
      <c r="T47" s="77">
        <f>+SUMIF(Mov_Analizados_Mar26!$H$10:$H$259,Resumen_Base!D47,Mov_Analizados_Mar26!$I$10:$I$259)</f>
        <v>0</v>
      </c>
      <c r="U47" s="78">
        <f>+SUMIF(Mov_Analizados_Mar26!$H$10:$H$259,Resumen_Base!D47,Mov_Analizados_Mar26!$J$10:$J$259)</f>
        <v>0</v>
      </c>
      <c r="W47" s="77">
        <f>+SUMIF(Mov_Analizados_Abr26!$H$10:$H$258,Resumen_Base!D47,Mov_Analizados_Abr26!$I$10:$I$258)</f>
        <v>0</v>
      </c>
      <c r="X47" s="78">
        <f>+SUMIF(Mov_Analizados_Abr26!$H$10:$H$258,Resumen_Base!D47,Mov_Analizados_Abr26!$J$10:$J$258)</f>
        <v>0</v>
      </c>
      <c r="Z47" s="77">
        <f>+SUMIF(Mov_Analizados_May26!$H$10:$H$258,Resumen_Base!D47,Mov_Analizados_May26!$I$10:$I$258)</f>
        <v>0</v>
      </c>
      <c r="AA47" s="78">
        <f>+SUMIF(Mov_Analizados_May26!$H$10:$H$258,Resumen_Base!D47,Mov_Analizados_May26!$J$10:$J$258)</f>
        <v>0</v>
      </c>
      <c r="AC47" s="77">
        <f t="shared" si="0"/>
        <v>0</v>
      </c>
      <c r="AD47" s="78">
        <f t="shared" si="1"/>
        <v>0</v>
      </c>
    </row>
    <row r="48" spans="1:30">
      <c r="A48" s="5" t="str">
        <f>+VLOOKUP(B48,'Plan Cuentas Link Armado'!$A$3:$D$104,4,0)</f>
        <v>Extras</v>
      </c>
      <c r="B48" s="3" t="s">
        <v>134</v>
      </c>
      <c r="C48" t="s">
        <v>135</v>
      </c>
      <c r="D48" s="192" t="s">
        <v>423</v>
      </c>
      <c r="F48" s="5" t="str">
        <f>+VLOOKUP(B48,'Plan Cuentas Link Armado'!$A$3:$D$104,4,0)</f>
        <v>Extras</v>
      </c>
      <c r="H48" s="77">
        <f>+SUMIF('Mov_Analizados_Sept25 - Nov 25'!$H$10:$H$371,Resumen_Base!D48,'Mov_Analizados_Sept25 - Nov 25'!$I$10:$I$371)</f>
        <v>0</v>
      </c>
      <c r="I48" s="78">
        <f>+SUMIF('Mov_Analizados_Sept25 - Nov 25'!$H$10:$H$371,Resumen_Base!D48,'Mov_Analizados_Sept25 - Nov 25'!$J$10:$J$371)</f>
        <v>0</v>
      </c>
      <c r="K48" s="77">
        <f>+SUMIF(Mov_Analizados_Dic25!$H$10:$H$130,Resumen_Base!D48,Mov_Analizados_Dic25!$I$10:$I$130)</f>
        <v>0</v>
      </c>
      <c r="L48" s="78">
        <f>+SUMIF(Mov_Analizados_Dic25!$H$10:$H$130,Resumen_Base!D48,Mov_Analizados_Dic25!$J$10:$J$130)</f>
        <v>0</v>
      </c>
      <c r="N48" s="77">
        <f>+SUMIF(Mov_Analizados_Ene26!$H$10:$H$243,Resumen_Base!D48,Mov_Analizados_Ene26!$I$10:$I$243)</f>
        <v>0</v>
      </c>
      <c r="O48" s="78">
        <f>+SUMIF(Mov_Analizados_Ene26!$H$10:$H$243,Resumen_Base!D48,Mov_Analizados_Ene26!$J$10:$J$243)</f>
        <v>0</v>
      </c>
      <c r="Q48" s="77">
        <f>+SUMIF(Mov_Analizados_Feb26!$H$10:$H$259,Resumen_Base!D48,Mov_Analizados_Feb26!$I$10:$I$259)</f>
        <v>0</v>
      </c>
      <c r="R48" s="78">
        <f>+SUMIF(Mov_Analizados_Feb26!$H$10:$H$259,Resumen_Base!D48,Mov_Analizados_Feb26!$J$10:$J$259)</f>
        <v>0</v>
      </c>
      <c r="T48" s="77">
        <f>+SUMIF(Mov_Analizados_Mar26!$H$10:$H$259,Resumen_Base!D48,Mov_Analizados_Mar26!$I$10:$I$259)</f>
        <v>0</v>
      </c>
      <c r="U48" s="78">
        <f>+SUMIF(Mov_Analizados_Mar26!$H$10:$H$259,Resumen_Base!D48,Mov_Analizados_Mar26!$J$10:$J$259)</f>
        <v>0</v>
      </c>
      <c r="W48" s="77">
        <f>+SUMIF(Mov_Analizados_Abr26!$H$10:$H$258,Resumen_Base!D48,Mov_Analizados_Abr26!$I$10:$I$258)</f>
        <v>0</v>
      </c>
      <c r="X48" s="78">
        <f>+SUMIF(Mov_Analizados_Abr26!$H$10:$H$258,Resumen_Base!D48,Mov_Analizados_Abr26!$J$10:$J$258)</f>
        <v>0</v>
      </c>
      <c r="Z48" s="77">
        <f>+SUMIF(Mov_Analizados_May26!$H$10:$H$258,Resumen_Base!D48,Mov_Analizados_May26!$I$10:$I$258)</f>
        <v>0</v>
      </c>
      <c r="AA48" s="78">
        <f>+SUMIF(Mov_Analizados_May26!$H$10:$H$258,Resumen_Base!D48,Mov_Analizados_May26!$J$10:$J$258)</f>
        <v>0</v>
      </c>
      <c r="AC48" s="77">
        <f t="shared" si="0"/>
        <v>0</v>
      </c>
      <c r="AD48" s="78">
        <f t="shared" si="1"/>
        <v>0</v>
      </c>
    </row>
    <row r="49" spans="1:30">
      <c r="A49" s="5" t="str">
        <f>+VLOOKUP(B49,'Plan Cuentas Link Armado'!$A$3:$D$104,4,0)</f>
        <v>Extras</v>
      </c>
      <c r="B49" s="3" t="s">
        <v>138</v>
      </c>
      <c r="C49" t="s">
        <v>311</v>
      </c>
      <c r="D49" s="192" t="s">
        <v>424</v>
      </c>
      <c r="F49" s="5" t="str">
        <f>+VLOOKUP(B49,'Plan Cuentas Link Armado'!$A$3:$D$104,4,0)</f>
        <v>Extras</v>
      </c>
      <c r="H49" s="77">
        <f>+SUMIF('Mov_Analizados_Sept25 - Nov 25'!$H$10:$H$371,Resumen_Base!D49,'Mov_Analizados_Sept25 - Nov 25'!$I$10:$I$371)</f>
        <v>0</v>
      </c>
      <c r="I49" s="78">
        <f>+SUMIF('Mov_Analizados_Sept25 - Nov 25'!$H$10:$H$371,Resumen_Base!D49,'Mov_Analizados_Sept25 - Nov 25'!$J$10:$J$371)</f>
        <v>0</v>
      </c>
      <c r="K49" s="77">
        <f>+SUMIF(Mov_Analizados_Dic25!$H$10:$H$130,Resumen_Base!D49,Mov_Analizados_Dic25!$I$10:$I$130)</f>
        <v>0</v>
      </c>
      <c r="L49" s="78">
        <f>+SUMIF(Mov_Analizados_Dic25!$H$10:$H$130,Resumen_Base!D49,Mov_Analizados_Dic25!$J$10:$J$130)</f>
        <v>0</v>
      </c>
      <c r="N49" s="77">
        <f>+SUMIF(Mov_Analizados_Ene26!$H$10:$H$243,Resumen_Base!D49,Mov_Analizados_Ene26!$I$10:$I$243)</f>
        <v>0</v>
      </c>
      <c r="O49" s="78">
        <f>+SUMIF(Mov_Analizados_Ene26!$H$10:$H$243,Resumen_Base!D49,Mov_Analizados_Ene26!$J$10:$J$243)</f>
        <v>0</v>
      </c>
      <c r="Q49" s="77">
        <f>+SUMIF(Mov_Analizados_Feb26!$H$10:$H$259,Resumen_Base!D49,Mov_Analizados_Feb26!$I$10:$I$259)</f>
        <v>0</v>
      </c>
      <c r="R49" s="78">
        <f>+SUMIF(Mov_Analizados_Feb26!$H$10:$H$259,Resumen_Base!D49,Mov_Analizados_Feb26!$J$10:$J$259)</f>
        <v>0</v>
      </c>
      <c r="T49" s="77">
        <f>+SUMIF(Mov_Analizados_Mar26!$H$10:$H$259,Resumen_Base!D49,Mov_Analizados_Mar26!$I$10:$I$259)</f>
        <v>0</v>
      </c>
      <c r="U49" s="78">
        <f>+SUMIF(Mov_Analizados_Mar26!$H$10:$H$259,Resumen_Base!D49,Mov_Analizados_Mar26!$J$10:$J$259)</f>
        <v>0</v>
      </c>
      <c r="W49" s="77">
        <f>+SUMIF(Mov_Analizados_Abr26!$H$10:$H$258,Resumen_Base!D49,Mov_Analizados_Abr26!$I$10:$I$258)</f>
        <v>0</v>
      </c>
      <c r="X49" s="78">
        <f>+SUMIF(Mov_Analizados_Abr26!$H$10:$H$258,Resumen_Base!D49,Mov_Analizados_Abr26!$J$10:$J$258)</f>
        <v>0</v>
      </c>
      <c r="Z49" s="77">
        <f>+SUMIF(Mov_Analizados_May26!$H$10:$H$258,Resumen_Base!D49,Mov_Analizados_May26!$I$10:$I$258)</f>
        <v>0</v>
      </c>
      <c r="AA49" s="78">
        <f>+SUMIF(Mov_Analizados_May26!$H$10:$H$258,Resumen_Base!D49,Mov_Analizados_May26!$J$10:$J$258)</f>
        <v>0</v>
      </c>
      <c r="AC49" s="77">
        <f t="shared" si="0"/>
        <v>0</v>
      </c>
      <c r="AD49" s="78">
        <f t="shared" si="1"/>
        <v>0</v>
      </c>
    </row>
    <row r="50" spans="1:30">
      <c r="A50" s="5" t="str">
        <f>+VLOOKUP(B50,'Plan Cuentas Link Armado'!$A$3:$D$104,4,0)</f>
        <v>Gun Rental</v>
      </c>
      <c r="B50" s="3" t="s">
        <v>136</v>
      </c>
      <c r="C50" t="s">
        <v>137</v>
      </c>
      <c r="D50" s="192" t="s">
        <v>425</v>
      </c>
      <c r="F50" s="5" t="str">
        <f>+VLOOKUP(B50,'Plan Cuentas Link Armado'!$A$3:$D$104,4,0)</f>
        <v>Gun Rental</v>
      </c>
      <c r="H50" s="77">
        <f>+SUMIF('Mov_Analizados_Sept25 - Nov 25'!$H$10:$H$371,Resumen_Base!D50,'Mov_Analizados_Sept25 - Nov 25'!$I$10:$I$371)</f>
        <v>0</v>
      </c>
      <c r="I50" s="78">
        <f>+SUMIF('Mov_Analizados_Sept25 - Nov 25'!$H$10:$H$371,Resumen_Base!D50,'Mov_Analizados_Sept25 - Nov 25'!$J$10:$J$371)</f>
        <v>0</v>
      </c>
      <c r="K50" s="77">
        <f>+SUMIF(Mov_Analizados_Dic25!$H$10:$H$130,Resumen_Base!D50,Mov_Analizados_Dic25!$I$10:$I$130)</f>
        <v>0</v>
      </c>
      <c r="L50" s="78">
        <f>+SUMIF(Mov_Analizados_Dic25!$H$10:$H$130,Resumen_Base!D50,Mov_Analizados_Dic25!$J$10:$J$130)</f>
        <v>0</v>
      </c>
      <c r="N50" s="77">
        <f>+SUMIF(Mov_Analizados_Ene26!$H$10:$H$243,Resumen_Base!D50,Mov_Analizados_Ene26!$I$10:$I$243)</f>
        <v>0</v>
      </c>
      <c r="O50" s="78">
        <f>+SUMIF(Mov_Analizados_Ene26!$H$10:$H$243,Resumen_Base!D50,Mov_Analizados_Ene26!$J$10:$J$243)</f>
        <v>0</v>
      </c>
      <c r="Q50" s="77">
        <f>+SUMIF(Mov_Analizados_Feb26!$H$10:$H$259,Resumen_Base!D50,Mov_Analizados_Feb26!$I$10:$I$259)</f>
        <v>0</v>
      </c>
      <c r="R50" s="78">
        <f>+SUMIF(Mov_Analizados_Feb26!$H$10:$H$259,Resumen_Base!D50,Mov_Analizados_Feb26!$J$10:$J$259)</f>
        <v>0</v>
      </c>
      <c r="T50" s="77">
        <f>+SUMIF(Mov_Analizados_Mar26!$H$10:$H$259,Resumen_Base!D50,Mov_Analizados_Mar26!$I$10:$I$259)</f>
        <v>0</v>
      </c>
      <c r="U50" s="78">
        <f>+SUMIF(Mov_Analizados_Mar26!$H$10:$H$259,Resumen_Base!D50,Mov_Analizados_Mar26!$J$10:$J$259)</f>
        <v>0</v>
      </c>
      <c r="W50" s="77">
        <f>+SUMIF(Mov_Analizados_Abr26!$H$10:$H$258,Resumen_Base!D50,Mov_Analizados_Abr26!$I$10:$I$258)</f>
        <v>0</v>
      </c>
      <c r="X50" s="78">
        <f>+SUMIF(Mov_Analizados_Abr26!$H$10:$H$258,Resumen_Base!D50,Mov_Analizados_Abr26!$J$10:$J$258)</f>
        <v>0</v>
      </c>
      <c r="Z50" s="77">
        <f>+SUMIF(Mov_Analizados_May26!$H$10:$H$258,Resumen_Base!D50,Mov_Analizados_May26!$I$10:$I$258)</f>
        <v>0</v>
      </c>
      <c r="AA50" s="78">
        <f>+SUMIF(Mov_Analizados_May26!$H$10:$H$258,Resumen_Base!D50,Mov_Analizados_May26!$J$10:$J$258)</f>
        <v>0</v>
      </c>
      <c r="AC50" s="77">
        <f t="shared" si="0"/>
        <v>0</v>
      </c>
      <c r="AD50" s="78">
        <f t="shared" si="1"/>
        <v>0</v>
      </c>
    </row>
    <row r="51" spans="1:30">
      <c r="A51" s="5" t="str">
        <f>+VLOOKUP(B51,'Plan Cuentas Link Armado'!$A$3:$D$104,4,0)</f>
        <v>Extras</v>
      </c>
      <c r="B51" s="3" t="s">
        <v>139</v>
      </c>
      <c r="C51" t="s">
        <v>140</v>
      </c>
      <c r="D51" s="192" t="s">
        <v>426</v>
      </c>
      <c r="F51" s="5" t="str">
        <f>+VLOOKUP(B51,'Plan Cuentas Link Armado'!$A$3:$D$104,4,0)</f>
        <v>Extras</v>
      </c>
      <c r="H51" s="77">
        <f>+SUMIF('Mov_Analizados_Sept25 - Nov 25'!$H$10:$H$371,Resumen_Base!D51,'Mov_Analizados_Sept25 - Nov 25'!$I$10:$I$371)</f>
        <v>0</v>
      </c>
      <c r="I51" s="78">
        <f>+SUMIF('Mov_Analizados_Sept25 - Nov 25'!$H$10:$H$371,Resumen_Base!D51,'Mov_Analizados_Sept25 - Nov 25'!$J$10:$J$371)</f>
        <v>0</v>
      </c>
      <c r="K51" s="77">
        <f>+SUMIF(Mov_Analizados_Dic25!$H$10:$H$130,Resumen_Base!D51,Mov_Analizados_Dic25!$I$10:$I$130)</f>
        <v>0</v>
      </c>
      <c r="L51" s="78">
        <f>+SUMIF(Mov_Analizados_Dic25!$H$10:$H$130,Resumen_Base!D51,Mov_Analizados_Dic25!$J$10:$J$130)</f>
        <v>0</v>
      </c>
      <c r="N51" s="77">
        <f>+SUMIF(Mov_Analizados_Ene26!$H$10:$H$243,Resumen_Base!D51,Mov_Analizados_Ene26!$I$10:$I$243)</f>
        <v>0</v>
      </c>
      <c r="O51" s="78">
        <f>+SUMIF(Mov_Analizados_Ene26!$H$10:$H$243,Resumen_Base!D51,Mov_Analizados_Ene26!$J$10:$J$243)</f>
        <v>0</v>
      </c>
      <c r="Q51" s="77">
        <f>+SUMIF(Mov_Analizados_Feb26!$H$10:$H$259,Resumen_Base!D51,Mov_Analizados_Feb26!$I$10:$I$259)</f>
        <v>0</v>
      </c>
      <c r="R51" s="78">
        <f>+SUMIF(Mov_Analizados_Feb26!$H$10:$H$259,Resumen_Base!D51,Mov_Analizados_Feb26!$J$10:$J$259)</f>
        <v>0</v>
      </c>
      <c r="T51" s="77">
        <f>+SUMIF(Mov_Analizados_Mar26!$H$10:$H$259,Resumen_Base!D51,Mov_Analizados_Mar26!$I$10:$I$259)</f>
        <v>0</v>
      </c>
      <c r="U51" s="78">
        <f>+SUMIF(Mov_Analizados_Mar26!$H$10:$H$259,Resumen_Base!D51,Mov_Analizados_Mar26!$J$10:$J$259)</f>
        <v>0</v>
      </c>
      <c r="W51" s="77">
        <f>+SUMIF(Mov_Analizados_Abr26!$H$10:$H$258,Resumen_Base!D51,Mov_Analizados_Abr26!$I$10:$I$258)</f>
        <v>0</v>
      </c>
      <c r="X51" s="78">
        <f>+SUMIF(Mov_Analizados_Abr26!$H$10:$H$258,Resumen_Base!D51,Mov_Analizados_Abr26!$J$10:$J$258)</f>
        <v>0</v>
      </c>
      <c r="Z51" s="77">
        <f>+SUMIF(Mov_Analizados_May26!$H$10:$H$258,Resumen_Base!D51,Mov_Analizados_May26!$I$10:$I$258)</f>
        <v>0</v>
      </c>
      <c r="AA51" s="78">
        <f>+SUMIF(Mov_Analizados_May26!$H$10:$H$258,Resumen_Base!D51,Mov_Analizados_May26!$J$10:$J$258)</f>
        <v>0</v>
      </c>
      <c r="AC51" s="77">
        <f t="shared" si="0"/>
        <v>0</v>
      </c>
      <c r="AD51" s="78">
        <f t="shared" si="1"/>
        <v>0</v>
      </c>
    </row>
    <row r="52" spans="1:30">
      <c r="A52" s="5" t="str">
        <f>+VLOOKUP(B52,'Plan Cuentas Link Armado'!$A$3:$D$104,4,0)</f>
        <v>Insurance for lodge and boats</v>
      </c>
      <c r="B52" s="3" t="s">
        <v>144</v>
      </c>
      <c r="C52" t="s">
        <v>145</v>
      </c>
      <c r="D52" s="192" t="s">
        <v>427</v>
      </c>
      <c r="F52" s="5" t="str">
        <f>+VLOOKUP(B52,'Plan Cuentas Link Armado'!$A$3:$D$104,4,0)</f>
        <v>Insurance for lodge and boats</v>
      </c>
      <c r="H52" s="77">
        <f>+SUMIF('Mov_Analizados_Sept25 - Nov 25'!$H$10:$H$371,Resumen_Base!D52,'Mov_Analizados_Sept25 - Nov 25'!$I$10:$I$371)</f>
        <v>0</v>
      </c>
      <c r="I52" s="78">
        <f>+SUMIF('Mov_Analizados_Sept25 - Nov 25'!$H$10:$H$371,Resumen_Base!D52,'Mov_Analizados_Sept25 - Nov 25'!$J$10:$J$371)</f>
        <v>0</v>
      </c>
      <c r="K52" s="77">
        <f>+SUMIF(Mov_Analizados_Dic25!$H$10:$H$130,Resumen_Base!D52,Mov_Analizados_Dic25!$I$10:$I$130)</f>
        <v>0</v>
      </c>
      <c r="L52" s="78">
        <f>+SUMIF(Mov_Analizados_Dic25!$H$10:$H$130,Resumen_Base!D52,Mov_Analizados_Dic25!$J$10:$J$130)</f>
        <v>0</v>
      </c>
      <c r="N52" s="77">
        <f>+SUMIF(Mov_Analizados_Ene26!$H$10:$H$243,Resumen_Base!D52,Mov_Analizados_Ene26!$I$10:$I$243)</f>
        <v>0</v>
      </c>
      <c r="O52" s="78">
        <f>+SUMIF(Mov_Analizados_Ene26!$H$10:$H$243,Resumen_Base!D52,Mov_Analizados_Ene26!$J$10:$J$243)</f>
        <v>0</v>
      </c>
      <c r="Q52" s="77">
        <f>+SUMIF(Mov_Analizados_Feb26!$H$10:$H$259,Resumen_Base!D52,Mov_Analizados_Feb26!$I$10:$I$259)</f>
        <v>0</v>
      </c>
      <c r="R52" s="78">
        <f>+SUMIF(Mov_Analizados_Feb26!$H$10:$H$259,Resumen_Base!D52,Mov_Analizados_Feb26!$J$10:$J$259)</f>
        <v>0</v>
      </c>
      <c r="T52" s="77">
        <f>+SUMIF(Mov_Analizados_Mar26!$H$10:$H$259,Resumen_Base!D52,Mov_Analizados_Mar26!$I$10:$I$259)</f>
        <v>0</v>
      </c>
      <c r="U52" s="78">
        <f>+SUMIF(Mov_Analizados_Mar26!$H$10:$H$259,Resumen_Base!D52,Mov_Analizados_Mar26!$J$10:$J$259)</f>
        <v>0</v>
      </c>
      <c r="W52" s="77">
        <f>+SUMIF(Mov_Analizados_Abr26!$H$10:$H$258,Resumen_Base!D52,Mov_Analizados_Abr26!$I$10:$I$258)</f>
        <v>0</v>
      </c>
      <c r="X52" s="78">
        <f>+SUMIF(Mov_Analizados_Abr26!$H$10:$H$258,Resumen_Base!D52,Mov_Analizados_Abr26!$J$10:$J$258)</f>
        <v>0</v>
      </c>
      <c r="Z52" s="77">
        <f>+SUMIF(Mov_Analizados_May26!$H$10:$H$258,Resumen_Base!D52,Mov_Analizados_May26!$I$10:$I$258)</f>
        <v>0</v>
      </c>
      <c r="AA52" s="78">
        <f>+SUMIF(Mov_Analizados_May26!$H$10:$H$258,Resumen_Base!D52,Mov_Analizados_May26!$J$10:$J$258)</f>
        <v>0</v>
      </c>
      <c r="AC52" s="77">
        <f t="shared" si="0"/>
        <v>0</v>
      </c>
      <c r="AD52" s="78">
        <f t="shared" si="1"/>
        <v>0</v>
      </c>
    </row>
    <row r="53" spans="1:30">
      <c r="A53" s="5" t="str">
        <f>+VLOOKUP(B53,'Plan Cuentas Link Armado'!$A$3:$D$104,4,0)</f>
        <v>Vehicles Taxes</v>
      </c>
      <c r="B53" s="3" t="s">
        <v>146</v>
      </c>
      <c r="C53" t="s">
        <v>147</v>
      </c>
      <c r="D53" s="192" t="s">
        <v>428</v>
      </c>
      <c r="F53" s="5" t="str">
        <f>+VLOOKUP(B53,'Plan Cuentas Link Armado'!$A$3:$D$104,4,0)</f>
        <v>Vehicles Taxes</v>
      </c>
      <c r="H53" s="77">
        <f>+SUMIF('Mov_Analizados_Sept25 - Nov 25'!$H$10:$H$371,Resumen_Base!D53,'Mov_Analizados_Sept25 - Nov 25'!$I$10:$I$371)</f>
        <v>0</v>
      </c>
      <c r="I53" s="78">
        <f>+SUMIF('Mov_Analizados_Sept25 - Nov 25'!$H$10:$H$371,Resumen_Base!D53,'Mov_Analizados_Sept25 - Nov 25'!$J$10:$J$371)</f>
        <v>0</v>
      </c>
      <c r="K53" s="77">
        <f>+SUMIF(Mov_Analizados_Dic25!$H$10:$H$130,Resumen_Base!D53,Mov_Analizados_Dic25!$I$10:$I$130)</f>
        <v>0</v>
      </c>
      <c r="L53" s="78">
        <f>+SUMIF(Mov_Analizados_Dic25!$H$10:$H$130,Resumen_Base!D53,Mov_Analizados_Dic25!$J$10:$J$130)</f>
        <v>0</v>
      </c>
      <c r="N53" s="77">
        <f>+SUMIF(Mov_Analizados_Ene26!$H$10:$H$243,Resumen_Base!D53,Mov_Analizados_Ene26!$I$10:$I$243)</f>
        <v>0</v>
      </c>
      <c r="O53" s="78">
        <f>+SUMIF(Mov_Analizados_Ene26!$H$10:$H$243,Resumen_Base!D53,Mov_Analizados_Ene26!$J$10:$J$243)</f>
        <v>0</v>
      </c>
      <c r="Q53" s="77">
        <f>+SUMIF(Mov_Analizados_Feb26!$H$10:$H$259,Resumen_Base!D53,Mov_Analizados_Feb26!$I$10:$I$259)</f>
        <v>0</v>
      </c>
      <c r="R53" s="78">
        <f>+SUMIF(Mov_Analizados_Feb26!$H$10:$H$259,Resumen_Base!D53,Mov_Analizados_Feb26!$J$10:$J$259)</f>
        <v>0</v>
      </c>
      <c r="T53" s="77">
        <f>+SUMIF(Mov_Analizados_Mar26!$H$10:$H$259,Resumen_Base!D53,Mov_Analizados_Mar26!$I$10:$I$259)</f>
        <v>0</v>
      </c>
      <c r="U53" s="78">
        <f>+SUMIF(Mov_Analizados_Mar26!$H$10:$H$259,Resumen_Base!D53,Mov_Analizados_Mar26!$J$10:$J$259)</f>
        <v>0</v>
      </c>
      <c r="W53" s="77">
        <f>+SUMIF(Mov_Analizados_Abr26!$H$10:$H$258,Resumen_Base!D53,Mov_Analizados_Abr26!$I$10:$I$258)</f>
        <v>0</v>
      </c>
      <c r="X53" s="78">
        <f>+SUMIF(Mov_Analizados_Abr26!$H$10:$H$258,Resumen_Base!D53,Mov_Analizados_Abr26!$J$10:$J$258)</f>
        <v>0</v>
      </c>
      <c r="Z53" s="77">
        <f>+SUMIF(Mov_Analizados_May26!$H$10:$H$258,Resumen_Base!D53,Mov_Analizados_May26!$I$10:$I$258)</f>
        <v>0</v>
      </c>
      <c r="AA53" s="78">
        <f>+SUMIF(Mov_Analizados_May26!$H$10:$H$258,Resumen_Base!D53,Mov_Analizados_May26!$J$10:$J$258)</f>
        <v>0</v>
      </c>
      <c r="AC53" s="77">
        <f t="shared" si="0"/>
        <v>0</v>
      </c>
      <c r="AD53" s="78">
        <f t="shared" si="1"/>
        <v>0</v>
      </c>
    </row>
    <row r="54" spans="1:30">
      <c r="A54" s="5" t="str">
        <f>+VLOOKUP(B54,'Plan Cuentas Link Armado'!$A$3:$D$104,4,0)</f>
        <v>Transfer to and from the airport (local taxi) - Vehicle Rental</v>
      </c>
      <c r="B54" s="3" t="s">
        <v>87</v>
      </c>
      <c r="C54" t="s">
        <v>106</v>
      </c>
      <c r="D54" s="192" t="s">
        <v>429</v>
      </c>
      <c r="F54" s="5" t="str">
        <f>+VLOOKUP(B54,'Plan Cuentas Link Armado'!$A$3:$D$104,4,0)</f>
        <v>Transfer to and from the airport (local taxi) - Vehicle Rental</v>
      </c>
      <c r="H54" s="77">
        <f>+SUMIF('Mov_Analizados_Sept25 - Nov 25'!$H$10:$H$371,Resumen_Base!D54,'Mov_Analizados_Sept25 - Nov 25'!$I$10:$I$371)</f>
        <v>0</v>
      </c>
      <c r="I54" s="78">
        <f>+SUMIF('Mov_Analizados_Sept25 - Nov 25'!$H$10:$H$371,Resumen_Base!D54,'Mov_Analizados_Sept25 - Nov 25'!$J$10:$J$371)</f>
        <v>0</v>
      </c>
      <c r="K54" s="77">
        <f>+SUMIF(Mov_Analizados_Dic25!$H$10:$H$130,Resumen_Base!D54,Mov_Analizados_Dic25!$I$10:$I$130)</f>
        <v>0</v>
      </c>
      <c r="L54" s="78">
        <f>+SUMIF(Mov_Analizados_Dic25!$H$10:$H$130,Resumen_Base!D54,Mov_Analizados_Dic25!$J$10:$J$130)</f>
        <v>0</v>
      </c>
      <c r="N54" s="77">
        <f>+SUMIF(Mov_Analizados_Ene26!$H$10:$H$243,Resumen_Base!D54,Mov_Analizados_Ene26!$I$10:$I$243)</f>
        <v>0</v>
      </c>
      <c r="O54" s="78">
        <f>+SUMIF(Mov_Analizados_Ene26!$H$10:$H$243,Resumen_Base!D54,Mov_Analizados_Ene26!$J$10:$J$243)</f>
        <v>0</v>
      </c>
      <c r="Q54" s="77">
        <f>+SUMIF(Mov_Analizados_Feb26!$H$10:$H$259,Resumen_Base!D54,Mov_Analizados_Feb26!$I$10:$I$259)</f>
        <v>0</v>
      </c>
      <c r="R54" s="78">
        <f>+SUMIF(Mov_Analizados_Feb26!$H$10:$H$259,Resumen_Base!D54,Mov_Analizados_Feb26!$J$10:$J$259)</f>
        <v>0</v>
      </c>
      <c r="T54" s="77">
        <f>+SUMIF(Mov_Analizados_Mar26!$H$10:$H$259,Resumen_Base!D54,Mov_Analizados_Mar26!$I$10:$I$259)</f>
        <v>0</v>
      </c>
      <c r="U54" s="78">
        <f>+SUMIF(Mov_Analizados_Mar26!$H$10:$H$259,Resumen_Base!D54,Mov_Analizados_Mar26!$J$10:$J$259)</f>
        <v>0</v>
      </c>
      <c r="W54" s="77">
        <f>+SUMIF(Mov_Analizados_Abr26!$H$10:$H$258,Resumen_Base!D54,Mov_Analizados_Abr26!$I$10:$I$258)</f>
        <v>0</v>
      </c>
      <c r="X54" s="78">
        <f>+SUMIF(Mov_Analizados_Abr26!$H$10:$H$258,Resumen_Base!D54,Mov_Analizados_Abr26!$J$10:$J$258)</f>
        <v>0</v>
      </c>
      <c r="Z54" s="77">
        <f>+SUMIF(Mov_Analizados_May26!$H$10:$H$258,Resumen_Base!D54,Mov_Analizados_May26!$I$10:$I$258)</f>
        <v>0</v>
      </c>
      <c r="AA54" s="78">
        <f>+SUMIF(Mov_Analizados_May26!$H$10:$H$258,Resumen_Base!D54,Mov_Analizados_May26!$J$10:$J$258)</f>
        <v>0</v>
      </c>
      <c r="AC54" s="77">
        <f t="shared" si="0"/>
        <v>0</v>
      </c>
      <c r="AD54" s="78">
        <f t="shared" si="1"/>
        <v>0</v>
      </c>
    </row>
    <row r="55" spans="1:30">
      <c r="A55" s="5" t="str">
        <f>+VLOOKUP(B55,'Plan Cuentas Link Armado'!$A$3:$D$104,4,0)</f>
        <v>Services/House</v>
      </c>
      <c r="B55" s="3" t="s">
        <v>148</v>
      </c>
      <c r="C55" t="s">
        <v>283</v>
      </c>
      <c r="D55" s="192" t="s">
        <v>430</v>
      </c>
      <c r="F55" s="5" t="str">
        <f>+VLOOKUP(B55,'Plan Cuentas Link Armado'!$A$3:$D$104,4,0)</f>
        <v>Services/House</v>
      </c>
      <c r="H55" s="77">
        <f>+SUMIF('Mov_Analizados_Sept25 - Nov 25'!$H$10:$H$371,Resumen_Base!D55,'Mov_Analizados_Sept25 - Nov 25'!$I$10:$I$371)</f>
        <v>13724959.85</v>
      </c>
      <c r="I55" s="78">
        <f>+SUMIF('Mov_Analizados_Sept25 - Nov 25'!$H$10:$H$371,Resumen_Base!D55,'Mov_Analizados_Sept25 - Nov 25'!$J$10:$J$371)</f>
        <v>9538.0490980614886</v>
      </c>
      <c r="K55" s="77">
        <f>+SUMIF(Mov_Analizados_Dic25!$H$10:$H$130,Resumen_Base!D55,Mov_Analizados_Dic25!$I$10:$I$130)</f>
        <v>6533498</v>
      </c>
      <c r="L55" s="78">
        <f>+SUMIF(Mov_Analizados_Dic25!$H$10:$H$130,Resumen_Base!D55,Mov_Analizados_Dic25!$J$10:$J$130)</f>
        <v>4527.3484047139973</v>
      </c>
      <c r="N55" s="77">
        <f>+SUMIF(Mov_Analizados_Ene26!$H$10:$H$243,Resumen_Base!D55,Mov_Analizados_Ene26!$I$10:$I$243)</f>
        <v>3636618</v>
      </c>
      <c r="O55" s="78">
        <f>+SUMIF(Mov_Analizados_Ene26!$H$10:$H$243,Resumen_Base!D55,Mov_Analizados_Ene26!$J$10:$J$243)</f>
        <v>4035.6344594594598</v>
      </c>
      <c r="Q55" s="77">
        <f>+SUMIF(Mov_Analizados_Feb26!$H$10:$H$259,Resumen_Base!D55,Mov_Analizados_Feb26!$I$10:$I$259)</f>
        <v>5556480</v>
      </c>
      <c r="R55" s="78">
        <f>+SUMIF(Mov_Analizados_Feb26!$H$10:$H$259,Resumen_Base!D55,Mov_Analizados_Feb26!$J$10:$J$259)</f>
        <v>3888.4045161490299</v>
      </c>
      <c r="T55" s="77">
        <f>+SUMIF(Mov_Analizados_Mar26!$H$10:$H$259,Resumen_Base!D55,Mov_Analizados_Mar26!$I$10:$I$259)</f>
        <v>6805390</v>
      </c>
      <c r="U55" s="78">
        <f>+SUMIF(Mov_Analizados_Mar26!$H$10:$H$259,Resumen_Base!D55,Mov_Analizados_Mar26!$J$10:$J$259)</f>
        <v>4828</v>
      </c>
      <c r="W55" s="77">
        <f>+SUMIF(Mov_Analizados_Abr26!$H$10:$H$258,Resumen_Base!D55,Mov_Analizados_Abr26!$I$10:$I$258)</f>
        <v>7560483</v>
      </c>
      <c r="X55" s="78">
        <f>+SUMIF(Mov_Analizados_Abr26!$H$10:$H$258,Resumen_Base!D55,Mov_Analizados_Abr26!$J$10:$J$258)</f>
        <v>5381.1266903914584</v>
      </c>
      <c r="Z55" s="77">
        <f>+SUMIF(Mov_Analizados_May26!$H$10:$H$258,Resumen_Base!D55,Mov_Analizados_May26!$I$10:$I$258)</f>
        <v>3320767</v>
      </c>
      <c r="AA55" s="78">
        <f>+SUMIF(Mov_Analizados_May26!$H$10:$H$258,Resumen_Base!D55,Mov_Analizados_May26!$J$10:$J$258)</f>
        <v>2344.3905744072981</v>
      </c>
      <c r="AC55" s="77">
        <f t="shared" si="0"/>
        <v>47138195.850000001</v>
      </c>
      <c r="AD55" s="78">
        <f t="shared" si="1"/>
        <v>34542.953743182734</v>
      </c>
    </row>
    <row r="56" spans="1:30">
      <c r="A56" s="5" t="str">
        <f>+VLOOKUP(B56,'Plan Cuentas Link Armado'!$A$3:$D$104,4,0)</f>
        <v>Guides</v>
      </c>
      <c r="B56" s="3" t="s">
        <v>149</v>
      </c>
      <c r="C56" t="s">
        <v>284</v>
      </c>
      <c r="D56" s="192" t="s">
        <v>431</v>
      </c>
      <c r="F56" s="5" t="str">
        <f>+VLOOKUP(B56,'Plan Cuentas Link Armado'!$A$3:$D$104,4,0)</f>
        <v>Guides</v>
      </c>
      <c r="H56" s="77">
        <f>+SUMIF('Mov_Analizados_Sept25 - Nov 25'!$H$10:$H$371,Resumen_Base!D56,'Mov_Analizados_Sept25 - Nov 25'!$I$10:$I$371)</f>
        <v>16705000</v>
      </c>
      <c r="I56" s="78">
        <f>+SUMIF('Mov_Analizados_Sept25 - Nov 25'!$H$10:$H$371,Resumen_Base!D56,'Mov_Analizados_Sept25 - Nov 25'!$J$10:$J$371)</f>
        <v>11580</v>
      </c>
      <c r="K56" s="77">
        <f>+SUMIF(Mov_Analizados_Dic25!$H$10:$H$130,Resumen_Base!D56,Mov_Analizados_Dic25!$I$10:$I$130)</f>
        <v>7028500</v>
      </c>
      <c r="L56" s="78">
        <f>+SUMIF(Mov_Analizados_Dic25!$H$10:$H$130,Resumen_Base!D56,Mov_Analizados_Dic25!$J$10:$J$130)</f>
        <v>4821.1267605633802</v>
      </c>
      <c r="N56" s="77">
        <f>+SUMIF(Mov_Analizados_Ene26!$H$10:$H$243,Resumen_Base!D56,Mov_Analizados_Ene26!$I$10:$I$243)</f>
        <v>9324000</v>
      </c>
      <c r="O56" s="78">
        <f>+SUMIF(Mov_Analizados_Ene26!$H$10:$H$243,Resumen_Base!D56,Mov_Analizados_Ene26!$J$10:$J$243)</f>
        <v>6300</v>
      </c>
      <c r="Q56" s="77">
        <f>+SUMIF(Mov_Analizados_Feb26!$H$10:$H$259,Resumen_Base!D56,Mov_Analizados_Feb26!$I$10:$I$259)</f>
        <v>4981000</v>
      </c>
      <c r="R56" s="78">
        <f>+SUMIF(Mov_Analizados_Feb26!$H$10:$H$259,Resumen_Base!D56,Mov_Analizados_Feb26!$J$10:$J$259)</f>
        <v>2420</v>
      </c>
      <c r="T56" s="77">
        <f>+SUMIF(Mov_Analizados_Mar26!$H$10:$H$259,Resumen_Base!D56,Mov_Analizados_Mar26!$I$10:$I$259)</f>
        <v>9723750</v>
      </c>
      <c r="U56" s="78">
        <f>+SUMIF(Mov_Analizados_Mar26!$H$10:$H$259,Resumen_Base!D56,Mov_Analizados_Mar26!$J$10:$J$259)</f>
        <v>6920</v>
      </c>
      <c r="W56" s="77">
        <f>+SUMIF(Mov_Analizados_Abr26!$H$10:$H$258,Resumen_Base!D56,Mov_Analizados_Abr26!$I$10:$I$258)</f>
        <v>3723250</v>
      </c>
      <c r="X56" s="78">
        <f>+SUMIF(Mov_Analizados_Abr26!$H$10:$H$258,Resumen_Base!D56,Mov_Analizados_Abr26!$J$10:$J$258)</f>
        <v>2650</v>
      </c>
      <c r="Z56" s="77">
        <f>+SUMIF(Mov_Analizados_May26!$H$10:$H$258,Resumen_Base!D56,Mov_Analizados_May26!$I$10:$I$258)</f>
        <v>6802100</v>
      </c>
      <c r="AA56" s="78">
        <f>+SUMIF(Mov_Analizados_May26!$H$10:$H$258,Resumen_Base!D56,Mov_Analizados_May26!$J$10:$J$258)</f>
        <v>4820</v>
      </c>
      <c r="AC56" s="77">
        <f t="shared" si="0"/>
        <v>58287600</v>
      </c>
      <c r="AD56" s="78">
        <f t="shared" si="1"/>
        <v>39511.126760563377</v>
      </c>
    </row>
    <row r="57" spans="1:30">
      <c r="A57" s="5" t="str">
        <f>+VLOOKUP(B57,'Plan Cuentas Link Armado'!$A$3:$D$104,4,0)</f>
        <v>Manager</v>
      </c>
      <c r="B57" s="3" t="s">
        <v>150</v>
      </c>
      <c r="C57" t="s">
        <v>285</v>
      </c>
      <c r="D57" s="192" t="s">
        <v>432</v>
      </c>
      <c r="F57" s="5" t="str">
        <f>+VLOOKUP(B57,'Plan Cuentas Link Armado'!$A$3:$D$104,4,0)</f>
        <v>Manager</v>
      </c>
      <c r="H57" s="77">
        <f>+SUMIF('Mov_Analizados_Sept25 - Nov 25'!$H$10:$H$371,Resumen_Base!D57,'Mov_Analizados_Sept25 - Nov 25'!$I$10:$I$371)</f>
        <v>5779748</v>
      </c>
      <c r="I57" s="78">
        <f>+SUMIF('Mov_Analizados_Sept25 - Nov 25'!$H$10:$H$371,Resumen_Base!D57,'Mov_Analizados_Sept25 - Nov 25'!$J$10:$J$371)</f>
        <v>4351.8</v>
      </c>
      <c r="K57" s="77">
        <f>+SUMIF(Mov_Analizados_Dic25!$H$10:$H$130,Resumen_Base!D57,Mov_Analizados_Dic25!$I$10:$I$130)</f>
        <v>1808100</v>
      </c>
      <c r="L57" s="78">
        <f>+SUMIF(Mov_Analizados_Dic25!$H$10:$H$130,Resumen_Base!D57,Mov_Analizados_Dic25!$J$10:$J$130)</f>
        <v>1230</v>
      </c>
      <c r="N57" s="77">
        <f>+SUMIF(Mov_Analizados_Ene26!$H$10:$H$243,Resumen_Base!D57,Mov_Analizados_Ene26!$I$10:$I$243)</f>
        <v>1026840</v>
      </c>
      <c r="O57" s="78">
        <f>+SUMIF(Mov_Analizados_Ene26!$H$10:$H$243,Resumen_Base!D57,Mov_Analizados_Ene26!$J$10:$J$243)</f>
        <v>1359.4149659863947</v>
      </c>
      <c r="Q57" s="77">
        <f>+SUMIF(Mov_Analizados_Feb26!$H$10:$H$259,Resumen_Base!D57,Mov_Analizados_Feb26!$I$10:$I$259)</f>
        <v>3046710</v>
      </c>
      <c r="R57" s="78">
        <f>+SUMIF(Mov_Analizados_Feb26!$H$10:$H$259,Resumen_Base!D57,Mov_Analizados_Feb26!$J$10:$J$259)</f>
        <v>2124</v>
      </c>
      <c r="T57" s="77">
        <f>+SUMIF(Mov_Analizados_Mar26!$H$10:$H$259,Resumen_Base!D57,Mov_Analizados_Mar26!$I$10:$I$259)</f>
        <v>2973725</v>
      </c>
      <c r="U57" s="78">
        <f>+SUMIF(Mov_Analizados_Mar26!$H$10:$H$259,Resumen_Base!D57,Mov_Analizados_Mar26!$J$10:$J$259)</f>
        <v>2105</v>
      </c>
      <c r="W57" s="77">
        <f>+SUMIF(Mov_Analizados_Abr26!$H$10:$H$258,Resumen_Base!D57,Mov_Analizados_Abr26!$I$10:$I$258)</f>
        <v>3998805</v>
      </c>
      <c r="X57" s="78">
        <f>+SUMIF(Mov_Analizados_Abr26!$H$10:$H$258,Resumen_Base!D57,Mov_Analizados_Abr26!$J$10:$J$258)</f>
        <v>2846.1245551601423</v>
      </c>
      <c r="Z57" s="77">
        <f>+SUMIF(Mov_Analizados_May26!$H$10:$H$258,Resumen_Base!D57,Mov_Analizados_May26!$I$10:$I$258)</f>
        <v>1584240</v>
      </c>
      <c r="AA57" s="78">
        <f>+SUMIF(Mov_Analizados_May26!$H$10:$H$258,Resumen_Base!D57,Mov_Analizados_May26!$J$10:$J$258)</f>
        <v>1122</v>
      </c>
      <c r="AC57" s="77">
        <f t="shared" si="0"/>
        <v>20218168</v>
      </c>
      <c r="AD57" s="78">
        <f t="shared" si="1"/>
        <v>15138.339521146538</v>
      </c>
    </row>
    <row r="58" spans="1:30">
      <c r="A58" s="5" t="str">
        <f>+VLOOKUP(B58,'Plan Cuentas Link Armado'!$A$3:$D$104,4,0)</f>
        <v>Social Security Contributions</v>
      </c>
      <c r="B58" s="3" t="s">
        <v>153</v>
      </c>
      <c r="C58" t="s">
        <v>154</v>
      </c>
      <c r="D58" s="192" t="s">
        <v>433</v>
      </c>
      <c r="F58" s="5" t="str">
        <f>+VLOOKUP(B58,'Plan Cuentas Link Armado'!$A$3:$D$104,4,0)</f>
        <v>Social Security Contributions</v>
      </c>
      <c r="H58" s="77">
        <f>+SUMIF('Mov_Analizados_Sept25 - Nov 25'!$H$10:$H$371,Resumen_Base!D58,'Mov_Analizados_Sept25 - Nov 25'!$I$10:$I$371)</f>
        <v>1027176</v>
      </c>
      <c r="I58" s="78">
        <f>+SUMIF('Mov_Analizados_Sept25 - Nov 25'!$H$10:$H$371,Resumen_Base!D58,'Mov_Analizados_Sept25 - Nov 25'!$J$10:$J$371)</f>
        <v>720.6</v>
      </c>
      <c r="K58" s="77">
        <f>+SUMIF(Mov_Analizados_Dic25!$H$10:$H$130,Resumen_Base!D58,Mov_Analizados_Dic25!$I$10:$I$130)</f>
        <v>0</v>
      </c>
      <c r="L58" s="78">
        <f>+SUMIF(Mov_Analizados_Dic25!$H$10:$H$130,Resumen_Base!D58,Mov_Analizados_Dic25!$J$10:$J$130)</f>
        <v>0</v>
      </c>
      <c r="N58" s="77">
        <f>+SUMIF(Mov_Analizados_Ene26!$H$10:$H$243,Resumen_Base!D58,Mov_Analizados_Ene26!$I$10:$I$243)</f>
        <v>778480</v>
      </c>
      <c r="O58" s="78">
        <f>+SUMIF(Mov_Analizados_Ene26!$H$10:$H$243,Resumen_Base!D58,Mov_Analizados_Ene26!$J$10:$J$243)</f>
        <v>1168</v>
      </c>
      <c r="Q58" s="77">
        <f>+SUMIF(Mov_Analizados_Feb26!$H$10:$H$259,Resumen_Base!D58,Mov_Analizados_Feb26!$I$10:$I$259)</f>
        <v>799475</v>
      </c>
      <c r="R58" s="78">
        <f>+SUMIF(Mov_Analizados_Feb26!$H$10:$H$259,Resumen_Base!D58,Mov_Analizados_Feb26!$J$10:$J$259)</f>
        <v>565</v>
      </c>
      <c r="T58" s="77">
        <f>+SUMIF(Mov_Analizados_Mar26!$H$10:$H$259,Resumen_Base!D58,Mov_Analizados_Mar26!$I$10:$I$259)</f>
        <v>783990</v>
      </c>
      <c r="U58" s="78">
        <f>+SUMIF(Mov_Analizados_Mar26!$H$10:$H$259,Resumen_Base!D58,Mov_Analizados_Mar26!$J$10:$J$259)</f>
        <v>558</v>
      </c>
      <c r="W58" s="77">
        <f>+SUMIF(Mov_Analizados_Abr26!$H$10:$H$258,Resumen_Base!D58,Mov_Analizados_Abr26!$I$10:$I$258)</f>
        <v>840190</v>
      </c>
      <c r="X58" s="78">
        <f>+SUMIF(Mov_Analizados_Abr26!$H$10:$H$258,Resumen_Base!D58,Mov_Analizados_Abr26!$J$10:$J$258)</f>
        <v>598</v>
      </c>
      <c r="Z58" s="77">
        <f>+SUMIF(Mov_Analizados_May26!$H$10:$H$258,Resumen_Base!D58,Mov_Analizados_May26!$I$10:$I$258)</f>
        <v>850580</v>
      </c>
      <c r="AA58" s="78">
        <f>+SUMIF(Mov_Analizados_May26!$H$10:$H$258,Resumen_Base!D58,Mov_Analizados_May26!$J$10:$J$258)</f>
        <v>599</v>
      </c>
      <c r="AC58" s="77">
        <f t="shared" si="0"/>
        <v>5079891</v>
      </c>
      <c r="AD58" s="78">
        <f t="shared" si="1"/>
        <v>4208.6000000000004</v>
      </c>
    </row>
    <row r="59" spans="1:30">
      <c r="A59" s="5" t="str">
        <f>+VLOOKUP(B59,'Plan Cuentas Link Armado'!$A$3:$D$104,4,0)</f>
        <v>Social Security Contributions</v>
      </c>
      <c r="B59" s="3" t="s">
        <v>155</v>
      </c>
      <c r="C59" t="s">
        <v>156</v>
      </c>
      <c r="D59" s="192" t="s">
        <v>434</v>
      </c>
      <c r="F59" s="5" t="str">
        <f>+VLOOKUP(B59,'Plan Cuentas Link Armado'!$A$3:$D$104,4,0)</f>
        <v>Social Security Contributions</v>
      </c>
      <c r="H59" s="77">
        <f>+SUMIF('Mov_Analizados_Sept25 - Nov 25'!$H$10:$H$371,Resumen_Base!D59,'Mov_Analizados_Sept25 - Nov 25'!$I$10:$I$371)</f>
        <v>0</v>
      </c>
      <c r="I59" s="78">
        <f>+SUMIF('Mov_Analizados_Sept25 - Nov 25'!$H$10:$H$371,Resumen_Base!D59,'Mov_Analizados_Sept25 - Nov 25'!$J$10:$J$371)</f>
        <v>0</v>
      </c>
      <c r="K59" s="77">
        <f>+SUMIF(Mov_Analizados_Dic25!$H$10:$H$130,Resumen_Base!D59,Mov_Analizados_Dic25!$I$10:$I$130)</f>
        <v>0</v>
      </c>
      <c r="L59" s="78">
        <f>+SUMIF(Mov_Analizados_Dic25!$H$10:$H$130,Resumen_Base!D59,Mov_Analizados_Dic25!$J$10:$J$130)</f>
        <v>0</v>
      </c>
      <c r="N59" s="77">
        <f>+SUMIF(Mov_Analizados_Ene26!$H$10:$H$243,Resumen_Base!D59,Mov_Analizados_Ene26!$I$10:$I$243)</f>
        <v>0</v>
      </c>
      <c r="O59" s="78">
        <f>+SUMIF(Mov_Analizados_Ene26!$H$10:$H$243,Resumen_Base!D59,Mov_Analizados_Ene26!$J$10:$J$243)</f>
        <v>0</v>
      </c>
      <c r="Q59" s="77">
        <f>+SUMIF(Mov_Analizados_Feb26!$H$10:$H$259,Resumen_Base!D59,Mov_Analizados_Feb26!$I$10:$I$259)</f>
        <v>0</v>
      </c>
      <c r="R59" s="78">
        <f>+SUMIF(Mov_Analizados_Feb26!$H$10:$H$259,Resumen_Base!D59,Mov_Analizados_Feb26!$J$10:$J$259)</f>
        <v>0</v>
      </c>
      <c r="T59" s="77">
        <f>+SUMIF(Mov_Analizados_Mar26!$H$10:$H$259,Resumen_Base!D59,Mov_Analizados_Mar26!$I$10:$I$259)</f>
        <v>0</v>
      </c>
      <c r="U59" s="78">
        <f>+SUMIF(Mov_Analizados_Mar26!$H$10:$H$259,Resumen_Base!D59,Mov_Analizados_Mar26!$J$10:$J$259)</f>
        <v>0</v>
      </c>
      <c r="W59" s="77">
        <f>+SUMIF(Mov_Analizados_Abr26!$H$10:$H$258,Resumen_Base!D59,Mov_Analizados_Abr26!$I$10:$I$258)</f>
        <v>0</v>
      </c>
      <c r="X59" s="78">
        <f>+SUMIF(Mov_Analizados_Abr26!$H$10:$H$258,Resumen_Base!D59,Mov_Analizados_Abr26!$J$10:$J$258)</f>
        <v>0</v>
      </c>
      <c r="Z59" s="77">
        <f>+SUMIF(Mov_Analizados_May26!$H$10:$H$258,Resumen_Base!D59,Mov_Analizados_May26!$I$10:$I$258)</f>
        <v>0</v>
      </c>
      <c r="AA59" s="78">
        <f>+SUMIF(Mov_Analizados_May26!$H$10:$H$258,Resumen_Base!D59,Mov_Analizados_May26!$J$10:$J$258)</f>
        <v>0</v>
      </c>
      <c r="AC59" s="77">
        <f t="shared" si="0"/>
        <v>0</v>
      </c>
      <c r="AD59" s="78">
        <f t="shared" si="1"/>
        <v>0</v>
      </c>
    </row>
    <row r="60" spans="1:30">
      <c r="A60" s="5" t="str">
        <f>+VLOOKUP(B60,'Plan Cuentas Link Armado'!$A$3:$D$104,4,0)</f>
        <v>Social Security Contributions</v>
      </c>
      <c r="B60" s="3" t="s">
        <v>157</v>
      </c>
      <c r="C60" t="s">
        <v>158</v>
      </c>
      <c r="D60" s="192" t="s">
        <v>435</v>
      </c>
      <c r="F60" s="5" t="str">
        <f>+VLOOKUP(B60,'Plan Cuentas Link Armado'!$A$3:$D$104,4,0)</f>
        <v>Social Security Contributions</v>
      </c>
      <c r="H60" s="77">
        <f>+SUMIF('Mov_Analizados_Sept25 - Nov 25'!$H$10:$H$371,Resumen_Base!D60,'Mov_Analizados_Sept25 - Nov 25'!$I$10:$I$371)</f>
        <v>832894</v>
      </c>
      <c r="I60" s="78">
        <f>+SUMIF('Mov_Analizados_Sept25 - Nov 25'!$H$10:$H$371,Resumen_Base!D60,'Mov_Analizados_Sept25 - Nov 25'!$J$10:$J$371)</f>
        <v>582.4</v>
      </c>
      <c r="K60" s="77">
        <f>+SUMIF(Mov_Analizados_Dic25!$H$10:$H$130,Resumen_Base!D60,Mov_Analizados_Dic25!$I$10:$I$130)</f>
        <v>0</v>
      </c>
      <c r="L60" s="78">
        <f>+SUMIF(Mov_Analizados_Dic25!$H$10:$H$130,Resumen_Base!D60,Mov_Analizados_Dic25!$J$10:$J$130)</f>
        <v>0</v>
      </c>
      <c r="N60" s="77">
        <f>+SUMIF(Mov_Analizados_Ene26!$H$10:$H$243,Resumen_Base!D60,Mov_Analizados_Ene26!$I$10:$I$243)</f>
        <v>275280</v>
      </c>
      <c r="O60" s="78">
        <f>+SUMIF(Mov_Analizados_Ene26!$H$10:$H$243,Resumen_Base!D60,Mov_Analizados_Ene26!$J$10:$J$243)</f>
        <v>456</v>
      </c>
      <c r="Q60" s="77">
        <f>+SUMIF(Mov_Analizados_Feb26!$H$10:$H$259,Resumen_Base!D60,Mov_Analizados_Feb26!$I$10:$I$259)</f>
        <v>273095</v>
      </c>
      <c r="R60" s="78">
        <f>+SUMIF(Mov_Analizados_Feb26!$H$10:$H$259,Resumen_Base!D60,Mov_Analizados_Feb26!$J$10:$J$259)</f>
        <v>193</v>
      </c>
      <c r="T60" s="77">
        <f>+SUMIF(Mov_Analizados_Mar26!$H$10:$H$259,Resumen_Base!D60,Mov_Analizados_Mar26!$I$10:$I$259)</f>
        <v>276785</v>
      </c>
      <c r="U60" s="78">
        <f>+SUMIF(Mov_Analizados_Mar26!$H$10:$H$259,Resumen_Base!D60,Mov_Analizados_Mar26!$J$10:$J$259)</f>
        <v>197</v>
      </c>
      <c r="W60" s="77">
        <f>+SUMIF(Mov_Analizados_Abr26!$H$10:$H$258,Resumen_Base!D60,Mov_Analizados_Abr26!$I$10:$I$258)</f>
        <v>297860</v>
      </c>
      <c r="X60" s="78">
        <f>+SUMIF(Mov_Analizados_Abr26!$H$10:$H$258,Resumen_Base!D60,Mov_Analizados_Abr26!$J$10:$J$258)</f>
        <v>212</v>
      </c>
      <c r="Z60" s="77">
        <f>+SUMIF(Mov_Analizados_May26!$H$10:$H$258,Resumen_Base!D60,Mov_Analizados_May26!$I$10:$I$258)</f>
        <v>301040</v>
      </c>
      <c r="AA60" s="78">
        <f>+SUMIF(Mov_Analizados_May26!$H$10:$H$258,Resumen_Base!D60,Mov_Analizados_May26!$J$10:$J$258)</f>
        <v>212</v>
      </c>
      <c r="AC60" s="77">
        <f t="shared" si="0"/>
        <v>2256954</v>
      </c>
      <c r="AD60" s="78">
        <f t="shared" si="1"/>
        <v>1852.4</v>
      </c>
    </row>
    <row r="61" spans="1:30">
      <c r="A61" s="5" t="str">
        <f>+VLOOKUP(B61,'Plan Cuentas Link Armado'!$A$3:$D$104,4,0)</f>
        <v>Vehicles Taxes</v>
      </c>
      <c r="B61" s="3" t="s">
        <v>27</v>
      </c>
      <c r="C61" t="s">
        <v>286</v>
      </c>
      <c r="D61" s="192" t="s">
        <v>436</v>
      </c>
      <c r="F61" s="5" t="str">
        <f>+VLOOKUP(B61,'Plan Cuentas Link Armado'!$A$3:$D$104,4,0)</f>
        <v>Vehicles Taxes</v>
      </c>
      <c r="H61" s="77">
        <f>+SUMIF('Mov_Analizados_Sept25 - Nov 25'!$H$10:$H$371,Resumen_Base!D61,'Mov_Analizados_Sept25 - Nov 25'!$I$10:$I$371)</f>
        <v>61012.95</v>
      </c>
      <c r="I61" s="78">
        <f>+SUMIF('Mov_Analizados_Sept25 - Nov 25'!$H$10:$H$371,Resumen_Base!D61,'Mov_Analizados_Sept25 - Nov 25'!$J$10:$J$371)</f>
        <v>43.580678571428599</v>
      </c>
      <c r="K61" s="77">
        <f>+SUMIF(Mov_Analizados_Dic25!$H$10:$H$130,Resumen_Base!D61,Mov_Analizados_Dic25!$I$10:$I$130)</f>
        <v>0</v>
      </c>
      <c r="L61" s="78">
        <f>+SUMIF(Mov_Analizados_Dic25!$H$10:$H$130,Resumen_Base!D61,Mov_Analizados_Dic25!$J$10:$J$130)</f>
        <v>0</v>
      </c>
      <c r="N61" s="77">
        <f>+SUMIF(Mov_Analizados_Ene26!$H$10:$H$243,Resumen_Base!D61,Mov_Analizados_Ene26!$I$10:$I$243)</f>
        <v>0</v>
      </c>
      <c r="O61" s="78">
        <f>+SUMIF(Mov_Analizados_Ene26!$H$10:$H$243,Resumen_Base!D61,Mov_Analizados_Ene26!$J$10:$J$243)</f>
        <v>0</v>
      </c>
      <c r="Q61" s="77">
        <f>+SUMIF(Mov_Analizados_Feb26!$H$10:$H$259,Resumen_Base!D61,Mov_Analizados_Feb26!$I$10:$I$259)</f>
        <v>0</v>
      </c>
      <c r="R61" s="78">
        <f>+SUMIF(Mov_Analizados_Feb26!$H$10:$H$259,Resumen_Base!D61,Mov_Analizados_Feb26!$J$10:$J$259)</f>
        <v>0</v>
      </c>
      <c r="T61" s="77">
        <f>+SUMIF(Mov_Analizados_Mar26!$H$10:$H$259,Resumen_Base!D61,Mov_Analizados_Mar26!$I$10:$I$259)</f>
        <v>0</v>
      </c>
      <c r="U61" s="78">
        <f>+SUMIF(Mov_Analizados_Mar26!$H$10:$H$259,Resumen_Base!D61,Mov_Analizados_Mar26!$J$10:$J$259)</f>
        <v>0</v>
      </c>
      <c r="W61" s="77">
        <f>+SUMIF(Mov_Analizados_Abr26!$H$10:$H$258,Resumen_Base!D61,Mov_Analizados_Abr26!$I$10:$I$258)</f>
        <v>0</v>
      </c>
      <c r="X61" s="78">
        <f>+SUMIF(Mov_Analizados_Abr26!$H$10:$H$258,Resumen_Base!D61,Mov_Analizados_Abr26!$J$10:$J$258)</f>
        <v>0</v>
      </c>
      <c r="Z61" s="77">
        <f>+SUMIF(Mov_Analizados_May26!$H$10:$H$258,Resumen_Base!D61,Mov_Analizados_May26!$I$10:$I$258)</f>
        <v>0</v>
      </c>
      <c r="AA61" s="78">
        <f>+SUMIF(Mov_Analizados_May26!$H$10:$H$258,Resumen_Base!D61,Mov_Analizados_May26!$J$10:$J$258)</f>
        <v>0</v>
      </c>
      <c r="AC61" s="77">
        <f t="shared" si="0"/>
        <v>61012.95</v>
      </c>
      <c r="AD61" s="78">
        <f t="shared" si="1"/>
        <v>43.580678571428599</v>
      </c>
    </row>
    <row r="62" spans="1:30">
      <c r="A62" s="5" t="str">
        <f>+VLOOKUP(B62,'Plan Cuentas Link Armado'!$A$3:$D$104,4,0)</f>
        <v>Maintenance Lodge</v>
      </c>
      <c r="B62" s="3" t="s">
        <v>124</v>
      </c>
      <c r="C62" t="s">
        <v>125</v>
      </c>
      <c r="D62" s="192" t="s">
        <v>437</v>
      </c>
      <c r="F62" s="5" t="str">
        <f>+VLOOKUP(B62,'Plan Cuentas Link Armado'!$A$3:$D$104,4,0)</f>
        <v>Maintenance Lodge</v>
      </c>
      <c r="H62" s="77">
        <f>+SUMIF('Mov_Analizados_Sept25 - Nov 25'!$H$10:$H$371,Resumen_Base!D62,'Mov_Analizados_Sept25 - Nov 25'!$I$10:$I$371)</f>
        <v>0</v>
      </c>
      <c r="I62" s="78">
        <f>+SUMIF('Mov_Analizados_Sept25 - Nov 25'!$H$10:$H$371,Resumen_Base!D62,'Mov_Analizados_Sept25 - Nov 25'!$J$10:$J$371)</f>
        <v>0</v>
      </c>
      <c r="K62" s="77">
        <f>+SUMIF(Mov_Analizados_Dic25!$H$10:$H$130,Resumen_Base!D62,Mov_Analizados_Dic25!$I$10:$I$130)</f>
        <v>0</v>
      </c>
      <c r="L62" s="78">
        <f>+SUMIF(Mov_Analizados_Dic25!$H$10:$H$130,Resumen_Base!D62,Mov_Analizados_Dic25!$J$10:$J$130)</f>
        <v>0</v>
      </c>
      <c r="N62" s="77">
        <f>+SUMIF(Mov_Analizados_Ene26!$H$10:$H$243,Resumen_Base!D62,Mov_Analizados_Ene26!$I$10:$I$243)</f>
        <v>0</v>
      </c>
      <c r="O62" s="78">
        <f>+SUMIF(Mov_Analizados_Ene26!$H$10:$H$243,Resumen_Base!D62,Mov_Analizados_Ene26!$J$10:$J$243)</f>
        <v>0</v>
      </c>
      <c r="Q62" s="77">
        <f>+SUMIF(Mov_Analizados_Feb26!$H$10:$H$259,Resumen_Base!D62,Mov_Analizados_Feb26!$I$10:$I$259)</f>
        <v>0</v>
      </c>
      <c r="R62" s="78">
        <f>+SUMIF(Mov_Analizados_Feb26!$H$10:$H$259,Resumen_Base!D62,Mov_Analizados_Feb26!$J$10:$J$259)</f>
        <v>0</v>
      </c>
      <c r="T62" s="77">
        <f>+SUMIF(Mov_Analizados_Mar26!$H$10:$H$259,Resumen_Base!D62,Mov_Analizados_Mar26!$I$10:$I$259)</f>
        <v>0</v>
      </c>
      <c r="U62" s="78">
        <f>+SUMIF(Mov_Analizados_Mar26!$H$10:$H$259,Resumen_Base!D62,Mov_Analizados_Mar26!$J$10:$J$259)</f>
        <v>0</v>
      </c>
      <c r="W62" s="77">
        <f>+SUMIF(Mov_Analizados_Abr26!$H$10:$H$258,Resumen_Base!D62,Mov_Analizados_Abr26!$I$10:$I$258)</f>
        <v>0</v>
      </c>
      <c r="X62" s="78">
        <f>+SUMIF(Mov_Analizados_Abr26!$H$10:$H$258,Resumen_Base!D62,Mov_Analizados_Abr26!$J$10:$J$258)</f>
        <v>0</v>
      </c>
      <c r="Z62" s="77">
        <f>+SUMIF(Mov_Analizados_May26!$H$10:$H$258,Resumen_Base!D62,Mov_Analizados_May26!$I$10:$I$258)</f>
        <v>0</v>
      </c>
      <c r="AA62" s="78">
        <f>+SUMIF(Mov_Analizados_May26!$H$10:$H$258,Resumen_Base!D62,Mov_Analizados_May26!$J$10:$J$258)</f>
        <v>0</v>
      </c>
      <c r="AC62" s="77">
        <f t="shared" si="0"/>
        <v>0</v>
      </c>
      <c r="AD62" s="78">
        <f t="shared" si="1"/>
        <v>0</v>
      </c>
    </row>
    <row r="63" spans="1:30">
      <c r="A63" s="5" t="str">
        <f>+VLOOKUP(B63,'Plan Cuentas Link Armado'!$A$3:$D$104,4,0)</f>
        <v>Fixed Asset's Payments (Investments) Rodados/Lanchas</v>
      </c>
      <c r="B63" s="3" t="s">
        <v>271</v>
      </c>
      <c r="C63" t="s">
        <v>252</v>
      </c>
      <c r="D63" s="192" t="s">
        <v>438</v>
      </c>
      <c r="F63" s="5" t="str">
        <f>+VLOOKUP(B63,'Plan Cuentas Link Armado'!$A$3:$D$104,4,0)</f>
        <v>Fixed Asset's Payments (Investments) Rodados/Lanchas</v>
      </c>
      <c r="H63" s="77">
        <f>+SUMIF('Mov_Analizados_Sept25 - Nov 25'!$H$10:$H$371,Resumen_Base!D63,'Mov_Analizados_Sept25 - Nov 25'!$I$10:$I$371)</f>
        <v>2403650</v>
      </c>
      <c r="I63" s="78">
        <f>+SUMIF('Mov_Analizados_Sept25 - Nov 25'!$H$10:$H$371,Resumen_Base!D63,'Mov_Analizados_Sept25 - Nov 25'!$J$10:$J$371)</f>
        <v>1711.0211267605632</v>
      </c>
      <c r="K63" s="77">
        <f>+SUMIF(Mov_Analizados_Dic25!$H$10:$H$130,Resumen_Base!D63,Mov_Analizados_Dic25!$I$10:$I$130)</f>
        <v>1374000</v>
      </c>
      <c r="L63" s="78">
        <f>+SUMIF(Mov_Analizados_Dic25!$H$10:$H$130,Resumen_Base!D63,Mov_Analizados_Dic25!$J$10:$J$130)</f>
        <v>967.60563380281701</v>
      </c>
      <c r="N63" s="77">
        <f>+SUMIF(Mov_Analizados_Ene26!$H$10:$H$243,Resumen_Base!D63,Mov_Analizados_Ene26!$I$10:$I$243)</f>
        <v>2960000</v>
      </c>
      <c r="O63" s="78">
        <f>+SUMIF(Mov_Analizados_Ene26!$H$10:$H$243,Resumen_Base!D63,Mov_Analizados_Ene26!$J$10:$J$243)</f>
        <v>2000</v>
      </c>
      <c r="Q63" s="77">
        <f>+SUMIF(Mov_Analizados_Feb26!$H$10:$H$259,Resumen_Base!D63,Mov_Analizados_Feb26!$I$10:$I$259)</f>
        <v>0</v>
      </c>
      <c r="R63" s="78">
        <f>+SUMIF(Mov_Analizados_Feb26!$H$10:$H$259,Resumen_Base!D63,Mov_Analizados_Feb26!$J$10:$J$259)</f>
        <v>0</v>
      </c>
      <c r="T63" s="77">
        <f>+SUMIF(Mov_Analizados_Mar26!$H$10:$H$259,Resumen_Base!D63,Mov_Analizados_Mar26!$I$10:$I$259)</f>
        <v>0</v>
      </c>
      <c r="U63" s="78">
        <f>+SUMIF(Mov_Analizados_Mar26!$H$10:$H$259,Resumen_Base!D63,Mov_Analizados_Mar26!$J$10:$J$259)</f>
        <v>0</v>
      </c>
      <c r="W63" s="77">
        <f>+SUMIF(Mov_Analizados_Abr26!$H$10:$H$258,Resumen_Base!D63,Mov_Analizados_Abr26!$I$10:$I$258)</f>
        <v>0</v>
      </c>
      <c r="X63" s="78">
        <f>+SUMIF(Mov_Analizados_Abr26!$H$10:$H$258,Resumen_Base!D63,Mov_Analizados_Abr26!$J$10:$J$258)</f>
        <v>0</v>
      </c>
      <c r="Z63" s="77">
        <f>+SUMIF(Mov_Analizados_May26!$H$10:$H$258,Resumen_Base!D63,Mov_Analizados_May26!$I$10:$I$258)</f>
        <v>0</v>
      </c>
      <c r="AA63" s="78">
        <f>+SUMIF(Mov_Analizados_May26!$H$10:$H$258,Resumen_Base!D63,Mov_Analizados_May26!$J$10:$J$258)</f>
        <v>0</v>
      </c>
      <c r="AC63" s="77">
        <f t="shared" si="0"/>
        <v>6737650</v>
      </c>
      <c r="AD63" s="78">
        <f t="shared" si="1"/>
        <v>4678.6267605633802</v>
      </c>
    </row>
    <row r="64" spans="1:30">
      <c r="A64" s="5" t="str">
        <f>+VLOOKUP(B64,'Plan Cuentas Link Armado'!$A$3:$D$104,4,0)</f>
        <v>Extras</v>
      </c>
      <c r="B64" s="3" t="s">
        <v>281</v>
      </c>
      <c r="C64" t="s">
        <v>282</v>
      </c>
      <c r="D64" s="192" t="s">
        <v>439</v>
      </c>
      <c r="F64" s="5" t="str">
        <f>+VLOOKUP(B64,'Plan Cuentas Link Armado'!$A$3:$D$104,4,0)</f>
        <v>Extras</v>
      </c>
      <c r="H64" s="77">
        <f>+SUMIF('Mov_Analizados_Sept25 - Nov 25'!$H$10:$H$371,Resumen_Base!D64,'Mov_Analizados_Sept25 - Nov 25'!$I$10:$I$371)</f>
        <v>0</v>
      </c>
      <c r="I64" s="78">
        <f>+SUMIF('Mov_Analizados_Sept25 - Nov 25'!$H$10:$H$371,Resumen_Base!D64,'Mov_Analizados_Sept25 - Nov 25'!$J$10:$J$371)</f>
        <v>0</v>
      </c>
      <c r="K64" s="77">
        <f>+SUMIF(Mov_Analizados_Dic25!$H$10:$H$130,Resumen_Base!D64,Mov_Analizados_Dic25!$I$10:$I$130)</f>
        <v>0</v>
      </c>
      <c r="L64" s="78">
        <f>+SUMIF(Mov_Analizados_Dic25!$H$10:$H$130,Resumen_Base!D64,Mov_Analizados_Dic25!$J$10:$J$130)</f>
        <v>0</v>
      </c>
      <c r="N64" s="77">
        <f>+SUMIF(Mov_Analizados_Ene26!$H$10:$H$243,Resumen_Base!D64,Mov_Analizados_Ene26!$I$10:$I$243)</f>
        <v>0</v>
      </c>
      <c r="O64" s="78">
        <f>+SUMIF(Mov_Analizados_Ene26!$H$10:$H$243,Resumen_Base!D64,Mov_Analizados_Ene26!$J$10:$J$243)</f>
        <v>0</v>
      </c>
      <c r="Q64" s="77">
        <f>+SUMIF(Mov_Analizados_Feb26!$H$10:$H$259,Resumen_Base!D64,Mov_Analizados_Feb26!$I$10:$I$259)</f>
        <v>0</v>
      </c>
      <c r="R64" s="78">
        <f>+SUMIF(Mov_Analizados_Feb26!$H$10:$H$259,Resumen_Base!D64,Mov_Analizados_Feb26!$J$10:$J$259)</f>
        <v>0</v>
      </c>
      <c r="T64" s="77">
        <f>+SUMIF(Mov_Analizados_Mar26!$H$10:$H$259,Resumen_Base!D64,Mov_Analizados_Mar26!$I$10:$I$259)</f>
        <v>0</v>
      </c>
      <c r="U64" s="78">
        <f>+SUMIF(Mov_Analizados_Mar26!$H$10:$H$259,Resumen_Base!D64,Mov_Analizados_Mar26!$J$10:$J$259)</f>
        <v>0</v>
      </c>
      <c r="W64" s="77">
        <f>+SUMIF(Mov_Analizados_Abr26!$H$10:$H$258,Resumen_Base!D64,Mov_Analizados_Abr26!$I$10:$I$258)</f>
        <v>0</v>
      </c>
      <c r="X64" s="78">
        <f>+SUMIF(Mov_Analizados_Abr26!$H$10:$H$258,Resumen_Base!D64,Mov_Analizados_Abr26!$J$10:$J$258)</f>
        <v>0</v>
      </c>
      <c r="Z64" s="77">
        <f>+SUMIF(Mov_Analizados_May26!$H$10:$H$258,Resumen_Base!D64,Mov_Analizados_May26!$I$10:$I$258)</f>
        <v>0</v>
      </c>
      <c r="AA64" s="78">
        <f>+SUMIF(Mov_Analizados_May26!$H$10:$H$258,Resumen_Base!D64,Mov_Analizados_May26!$J$10:$J$258)</f>
        <v>0</v>
      </c>
      <c r="AC64" s="77">
        <f t="shared" si="0"/>
        <v>0</v>
      </c>
      <c r="AD64" s="78">
        <f t="shared" si="1"/>
        <v>0</v>
      </c>
    </row>
    <row r="65" spans="1:30">
      <c r="A65" s="5" t="str">
        <f>+VLOOKUP(B65,'Plan Cuentas Link Armado'!$A$3:$D$104,4,0)</f>
        <v>Canon Lodge/Labor Permits:</v>
      </c>
      <c r="B65" s="3" t="s">
        <v>141</v>
      </c>
      <c r="C65" t="s">
        <v>142</v>
      </c>
      <c r="D65" s="192" t="s">
        <v>440</v>
      </c>
      <c r="F65" s="5" t="str">
        <f>+VLOOKUP(B65,'Plan Cuentas Link Armado'!$A$3:$D$104,4,0)</f>
        <v>Canon Lodge/Labor Permits:</v>
      </c>
      <c r="H65" s="77">
        <f>+SUMIF('Mov_Analizados_Sept25 - Nov 25'!$H$10:$H$371,Resumen_Base!D65,'Mov_Analizados_Sept25 - Nov 25'!$I$10:$I$371)</f>
        <v>1846024</v>
      </c>
      <c r="I65" s="78">
        <f>+SUMIF('Mov_Analizados_Sept25 - Nov 25'!$H$10:$H$371,Resumen_Base!D65,'Mov_Analizados_Sept25 - Nov 25'!$J$10:$J$371)</f>
        <v>1319.6714236024443</v>
      </c>
      <c r="K65" s="77">
        <f>+SUMIF(Mov_Analizados_Dic25!$H$10:$H$130,Resumen_Base!D65,Mov_Analizados_Dic25!$I$10:$I$130)</f>
        <v>17000</v>
      </c>
      <c r="L65" s="78">
        <f>+SUMIF(Mov_Analizados_Dic25!$H$10:$H$130,Resumen_Base!D65,Mov_Analizados_Dic25!$J$10:$J$130)</f>
        <v>11.5646258503401</v>
      </c>
      <c r="N65" s="77">
        <f>+SUMIF(Mov_Analizados_Ene26!$H$10:$H$243,Resumen_Base!D65,Mov_Analizados_Ene26!$I$10:$I$243)</f>
        <v>744000</v>
      </c>
      <c r="O65" s="78">
        <f>+SUMIF(Mov_Analizados_Ene26!$H$10:$H$243,Resumen_Base!D65,Mov_Analizados_Ene26!$J$10:$J$243)</f>
        <v>504.36661150946867</v>
      </c>
      <c r="Q65" s="77">
        <f>+SUMIF(Mov_Analizados_Feb26!$H$10:$H$259,Resumen_Base!D65,Mov_Analizados_Feb26!$I$10:$I$259)</f>
        <v>384000</v>
      </c>
      <c r="R65" s="78">
        <f>+SUMIF(Mov_Analizados_Feb26!$H$10:$H$259,Resumen_Base!D65,Mov_Analizados_Feb26!$J$10:$J$259)</f>
        <v>271.37809187279203</v>
      </c>
      <c r="T65" s="77">
        <f>+SUMIF(Mov_Analizados_Mar26!$H$10:$H$259,Resumen_Base!D65,Mov_Analizados_Mar26!$I$10:$I$259)</f>
        <v>0</v>
      </c>
      <c r="U65" s="78">
        <f>+SUMIF(Mov_Analizados_Mar26!$H$10:$H$259,Resumen_Base!D65,Mov_Analizados_Mar26!$J$10:$J$259)</f>
        <v>0</v>
      </c>
      <c r="W65" s="77">
        <f>+SUMIF(Mov_Analizados_Abr26!$H$10:$H$258,Resumen_Base!D65,Mov_Analizados_Abr26!$I$10:$I$258)</f>
        <v>384000</v>
      </c>
      <c r="X65" s="78">
        <f>+SUMIF(Mov_Analizados_Abr26!$H$10:$H$258,Resumen_Base!D65,Mov_Analizados_Abr26!$J$10:$J$258)</f>
        <v>273.30960854092501</v>
      </c>
      <c r="Z65" s="77">
        <f>+SUMIF(Mov_Analizados_May26!$H$10:$H$258,Resumen_Base!D65,Mov_Analizados_May26!$I$10:$I$258)</f>
        <v>384000</v>
      </c>
      <c r="AA65" s="78">
        <f>+SUMIF(Mov_Analizados_May26!$H$10:$H$258,Resumen_Base!D65,Mov_Analizados_May26!$J$10:$J$258)</f>
        <v>270.42253521126798</v>
      </c>
      <c r="AC65" s="77">
        <f t="shared" si="0"/>
        <v>3759024</v>
      </c>
      <c r="AD65" s="78">
        <f t="shared" si="1"/>
        <v>2650.712896587238</v>
      </c>
    </row>
    <row r="66" spans="1:30">
      <c r="A66" s="5" t="str">
        <f>+VLOOKUP(B66,'Plan Cuentas Link Armado'!$A$3:$D$104,4,0)</f>
        <v>Fixed Asset's Payments (Investments) Mejoras/equipamiento Lodge</v>
      </c>
      <c r="B66" s="179" t="s">
        <v>166</v>
      </c>
      <c r="C66" s="168" t="s">
        <v>167</v>
      </c>
      <c r="D66" s="192" t="s">
        <v>1170</v>
      </c>
      <c r="F66" s="5" t="str">
        <f>+VLOOKUP(B66,'Plan Cuentas Link Armado'!$A$3:$D$104,4,0)</f>
        <v>Fixed Asset's Payments (Investments) Mejoras/equipamiento Lodge</v>
      </c>
      <c r="H66" s="77">
        <f>+SUMIF('Mov_Analizados_Sept25 - Nov 25'!$H$10:$H$371,Resumen_Base!D66,'Mov_Analizados_Sept25 - Nov 25'!$I$10:$I$371)</f>
        <v>520000</v>
      </c>
      <c r="I66" s="78">
        <f>+SUMIF('Mov_Analizados_Sept25 - Nov 25'!$H$10:$H$371,Resumen_Base!D66,'Mov_Analizados_Sept25 - Nov 25'!$J$10:$J$371)</f>
        <v>365.95744680851101</v>
      </c>
      <c r="K66" s="77">
        <f>+SUMIF(Mov_Analizados_Dic25!$H$10:$H$130,Resumen_Base!D66,Mov_Analizados_Dic25!$I$10:$I$130)</f>
        <v>0</v>
      </c>
      <c r="L66" s="78">
        <f>+SUMIF(Mov_Analizados_Dic25!$H$10:$H$130,Resumen_Base!D66,Mov_Analizados_Dic25!$J$10:$J$130)</f>
        <v>0</v>
      </c>
      <c r="N66" s="77">
        <f>+SUMIF(Mov_Analizados_Ene26!$H$10:$H$243,Resumen_Base!D66,Mov_Analizados_Ene26!$I$10:$I$243)</f>
        <v>0</v>
      </c>
      <c r="O66" s="78">
        <f>+SUMIF(Mov_Analizados_Ene26!$H$10:$H$243,Resumen_Base!D66,Mov_Analizados_Ene26!$J$10:$J$243)</f>
        <v>0</v>
      </c>
      <c r="Q66" s="77">
        <f>+SUMIF(Mov_Analizados_Feb26!$H$10:$H$259,Resumen_Base!D66,Mov_Analizados_Feb26!$I$10:$I$259)</f>
        <v>0</v>
      </c>
      <c r="R66" s="78">
        <f>+SUMIF(Mov_Analizados_Feb26!$H$10:$H$259,Resumen_Base!D66,Mov_Analizados_Feb26!$J$10:$J$259)</f>
        <v>0</v>
      </c>
      <c r="T66" s="77">
        <f>+SUMIF(Mov_Analizados_Mar26!$H$10:$H$259,Resumen_Base!D66,Mov_Analizados_Mar26!$I$10:$I$259)</f>
        <v>0</v>
      </c>
      <c r="U66" s="78">
        <f>+SUMIF(Mov_Analizados_Mar26!$H$10:$H$259,Resumen_Base!D66,Mov_Analizados_Mar26!$J$10:$J$259)</f>
        <v>0</v>
      </c>
      <c r="W66" s="77">
        <f>+SUMIF(Mov_Analizados_Abr26!$H$10:$H$258,Resumen_Base!D66,Mov_Analizados_Abr26!$I$10:$I$258)</f>
        <v>0</v>
      </c>
      <c r="X66" s="78">
        <f>+SUMIF(Mov_Analizados_Abr26!$H$10:$H$258,Resumen_Base!D66,Mov_Analizados_Abr26!$J$10:$J$258)</f>
        <v>0</v>
      </c>
      <c r="Z66" s="77">
        <f>+SUMIF(Mov_Analizados_May26!$H$10:$H$258,Resumen_Base!D66,Mov_Analizados_May26!$I$10:$I$258)</f>
        <v>0</v>
      </c>
      <c r="AA66" s="78">
        <f>+SUMIF(Mov_Analizados_May26!$H$10:$H$258,Resumen_Base!D66,Mov_Analizados_May26!$J$10:$J$258)</f>
        <v>0</v>
      </c>
      <c r="AC66" s="77">
        <f t="shared" si="0"/>
        <v>520000</v>
      </c>
      <c r="AD66" s="78">
        <f t="shared" si="1"/>
        <v>365.95744680851101</v>
      </c>
    </row>
    <row r="67" spans="1:30">
      <c r="I67" s="78"/>
      <c r="L67" s="78"/>
      <c r="O67" s="78"/>
      <c r="R67" s="78"/>
      <c r="U67" s="78"/>
      <c r="X67" s="78"/>
      <c r="AA67" s="78"/>
      <c r="AD67" s="78"/>
    </row>
    <row r="68" spans="1:30" thickBot="1">
      <c r="I68" s="78"/>
      <c r="L68" s="78"/>
      <c r="O68" s="78"/>
      <c r="R68" s="78"/>
      <c r="U68" s="78"/>
      <c r="X68" s="78"/>
      <c r="AA68" s="78"/>
      <c r="AD68" s="78"/>
    </row>
    <row r="69" spans="1:30" s="83" customFormat="1" thickBot="1">
      <c r="A69" s="188" t="s">
        <v>75</v>
      </c>
      <c r="B69" s="188" t="s">
        <v>75</v>
      </c>
      <c r="C69" s="188" t="s">
        <v>75</v>
      </c>
      <c r="D69" s="188" t="s">
        <v>75</v>
      </c>
      <c r="E69" s="188" t="s">
        <v>75</v>
      </c>
      <c r="F69" s="188" t="s">
        <v>75</v>
      </c>
      <c r="G69" s="188" t="s">
        <v>75</v>
      </c>
      <c r="H69" s="188" t="s">
        <v>75</v>
      </c>
      <c r="I69" s="188" t="s">
        <v>75</v>
      </c>
      <c r="J69" s="188" t="s">
        <v>75</v>
      </c>
      <c r="K69" s="188" t="s">
        <v>75</v>
      </c>
      <c r="L69" s="188" t="s">
        <v>75</v>
      </c>
      <c r="M69" s="188" t="s">
        <v>75</v>
      </c>
      <c r="N69" s="188" t="s">
        <v>75</v>
      </c>
      <c r="O69" s="188" t="s">
        <v>75</v>
      </c>
      <c r="P69" s="188" t="s">
        <v>75</v>
      </c>
      <c r="Q69" s="188" t="s">
        <v>75</v>
      </c>
      <c r="R69" s="188" t="s">
        <v>75</v>
      </c>
      <c r="S69" s="188" t="s">
        <v>75</v>
      </c>
      <c r="T69" s="188" t="s">
        <v>75</v>
      </c>
      <c r="U69" s="188" t="s">
        <v>75</v>
      </c>
      <c r="V69" s="188" t="s">
        <v>75</v>
      </c>
      <c r="W69" s="188" t="s">
        <v>75</v>
      </c>
      <c r="X69" s="188" t="s">
        <v>75</v>
      </c>
      <c r="Y69" s="188" t="s">
        <v>75</v>
      </c>
      <c r="Z69" s="188" t="s">
        <v>75</v>
      </c>
      <c r="AA69" s="188" t="s">
        <v>75</v>
      </c>
      <c r="AB69" s="188" t="s">
        <v>75</v>
      </c>
      <c r="AC69" s="188" t="s">
        <v>75</v>
      </c>
      <c r="AD69" s="188" t="s">
        <v>75</v>
      </c>
    </row>
  </sheetData>
  <autoFilter ref="A5:AD69" xr:uid="{00000000-0009-0000-0000-000007000000}"/>
  <mergeCells count="8">
    <mergeCell ref="AC4:AD4"/>
    <mergeCell ref="H4:I4"/>
    <mergeCell ref="K4:L4"/>
    <mergeCell ref="N4:O4"/>
    <mergeCell ref="Q4:R4"/>
    <mergeCell ref="T4:U4"/>
    <mergeCell ref="W4:X4"/>
    <mergeCell ref="Z4:AA4"/>
  </mergeCells>
  <phoneticPr fontId="20" type="noConversion"/>
  <conditionalFormatting sqref="C1">
    <cfRule type="cellIs" dxfId="21" priority="1" stopIfTrue="1" operator="equal">
      <formula>"Check"</formula>
    </cfRule>
  </conditionalFormatting>
  <pageMargins left="0.75" right="0.75" top="1" bottom="1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3:K104"/>
  <sheetViews>
    <sheetView zoomScale="70" zoomScaleNormal="70" workbookViewId="0">
      <pane xSplit="4" ySplit="4" topLeftCell="E30" activePane="bottomRight" state="frozen"/>
      <selection pane="topRight" activeCell="E1" sqref="E1"/>
      <selection pane="bottomLeft" activeCell="A5" sqref="A5"/>
      <selection pane="bottomRight" activeCell="E59" sqref="E59:F59"/>
    </sheetView>
  </sheetViews>
  <sheetFormatPr baseColWidth="10" defaultColWidth="11.5" defaultRowHeight="13"/>
  <cols>
    <col min="1" max="1" width="11.5" style="5"/>
    <col min="2" max="2" width="17.5" style="5" bestFit="1" customWidth="1"/>
    <col min="3" max="3" width="49.5" style="5" bestFit="1" customWidth="1"/>
    <col min="4" max="4" width="56.5" style="5" bestFit="1" customWidth="1"/>
    <col min="5" max="5" width="11.5" style="5"/>
    <col min="6" max="6" width="44.5" style="5" customWidth="1"/>
    <col min="7" max="16384" width="11.5" style="5"/>
  </cols>
  <sheetData>
    <row r="3" spans="1:11" s="34" customFormat="1">
      <c r="B3" s="178" t="s">
        <v>212</v>
      </c>
      <c r="C3" s="178" t="s">
        <v>213</v>
      </c>
      <c r="D3" s="178" t="s">
        <v>214</v>
      </c>
      <c r="E3" s="178" t="s">
        <v>215</v>
      </c>
      <c r="F3" s="178" t="s">
        <v>216</v>
      </c>
    </row>
    <row r="5" spans="1:11" ht="14">
      <c r="A5" s="5" t="str">
        <f>+E5</f>
        <v>4104</v>
      </c>
      <c r="B5" s="36" t="s">
        <v>171</v>
      </c>
      <c r="C5" s="36" t="s">
        <v>171</v>
      </c>
      <c r="D5" s="169" t="s">
        <v>98</v>
      </c>
      <c r="E5" s="179" t="s">
        <v>130</v>
      </c>
      <c r="F5" s="168" t="s">
        <v>131</v>
      </c>
      <c r="G5" s="168" t="s">
        <v>257</v>
      </c>
      <c r="H5" s="168"/>
      <c r="I5" s="168"/>
      <c r="J5" s="168"/>
      <c r="K5" s="168"/>
    </row>
    <row r="6" spans="1:11" ht="14">
      <c r="A6" s="5" t="str">
        <f t="shared" ref="A6:A73" si="0">+E6</f>
        <v>4103</v>
      </c>
      <c r="B6" s="36" t="s">
        <v>171</v>
      </c>
      <c r="C6" s="36" t="s">
        <v>171</v>
      </c>
      <c r="D6" s="169" t="s">
        <v>172</v>
      </c>
      <c r="E6" s="179" t="s">
        <v>128</v>
      </c>
      <c r="F6" s="168" t="s">
        <v>129</v>
      </c>
      <c r="G6" s="168" t="s">
        <v>257</v>
      </c>
    </row>
    <row r="7" spans="1:11" ht="14">
      <c r="A7" s="5" t="str">
        <f t="shared" ref="A7" si="1">+E7</f>
        <v>4106</v>
      </c>
      <c r="B7" s="36" t="s">
        <v>171</v>
      </c>
      <c r="C7" s="36" t="s">
        <v>171</v>
      </c>
      <c r="D7" s="169" t="s">
        <v>172</v>
      </c>
      <c r="E7" s="179" t="s">
        <v>289</v>
      </c>
      <c r="F7" s="168" t="s">
        <v>290</v>
      </c>
      <c r="G7" s="168" t="s">
        <v>257</v>
      </c>
    </row>
    <row r="8" spans="1:11" ht="14">
      <c r="A8" s="5" t="str">
        <f t="shared" si="0"/>
        <v>4110</v>
      </c>
      <c r="B8" s="36" t="s">
        <v>171</v>
      </c>
      <c r="C8" s="36" t="s">
        <v>171</v>
      </c>
      <c r="D8" s="169" t="s">
        <v>172</v>
      </c>
      <c r="E8" s="179" t="s">
        <v>132</v>
      </c>
      <c r="F8" s="168" t="s">
        <v>219</v>
      </c>
      <c r="G8" s="168" t="s">
        <v>257</v>
      </c>
      <c r="K8" s="168"/>
    </row>
    <row r="9" spans="1:11" ht="14">
      <c r="A9" s="5" t="str">
        <f t="shared" si="0"/>
        <v>4112</v>
      </c>
      <c r="B9" s="36" t="s">
        <v>171</v>
      </c>
      <c r="C9" s="36" t="s">
        <v>171</v>
      </c>
      <c r="D9" s="169" t="s">
        <v>172</v>
      </c>
      <c r="E9" s="179" t="s">
        <v>133</v>
      </c>
      <c r="F9" s="168" t="s">
        <v>220</v>
      </c>
      <c r="G9" s="168" t="s">
        <v>257</v>
      </c>
      <c r="J9" s="168"/>
      <c r="K9" s="168"/>
    </row>
    <row r="10" spans="1:11" ht="14">
      <c r="A10" s="5" t="str">
        <f t="shared" si="0"/>
        <v>4114</v>
      </c>
      <c r="B10" s="36" t="s">
        <v>171</v>
      </c>
      <c r="C10" s="36" t="s">
        <v>171</v>
      </c>
      <c r="D10" s="169" t="s">
        <v>172</v>
      </c>
      <c r="E10" s="179" t="s">
        <v>258</v>
      </c>
      <c r="F10" s="168" t="s">
        <v>221</v>
      </c>
      <c r="G10" s="168" t="s">
        <v>257</v>
      </c>
      <c r="I10" s="168"/>
      <c r="J10" s="168"/>
      <c r="K10" s="168"/>
    </row>
    <row r="11" spans="1:11" ht="14">
      <c r="A11" s="5" t="str">
        <f t="shared" si="0"/>
        <v>5285</v>
      </c>
      <c r="B11" s="36" t="s">
        <v>171</v>
      </c>
      <c r="C11" s="36" t="s">
        <v>171</v>
      </c>
      <c r="D11" s="169" t="s">
        <v>172</v>
      </c>
      <c r="E11" s="179" t="s">
        <v>159</v>
      </c>
      <c r="F11" s="168" t="s">
        <v>222</v>
      </c>
      <c r="G11" s="168" t="s">
        <v>257</v>
      </c>
      <c r="I11" s="168"/>
      <c r="J11" s="168"/>
      <c r="K11" s="168"/>
    </row>
    <row r="12" spans="1:11" ht="14">
      <c r="A12" s="5" t="str">
        <f t="shared" si="0"/>
        <v>5104</v>
      </c>
      <c r="B12" s="36" t="s">
        <v>171</v>
      </c>
      <c r="C12" s="36" t="s">
        <v>171</v>
      </c>
      <c r="D12" s="169" t="s">
        <v>172</v>
      </c>
      <c r="E12" s="179" t="s">
        <v>139</v>
      </c>
      <c r="F12" s="168" t="s">
        <v>140</v>
      </c>
      <c r="G12" s="168" t="s">
        <v>257</v>
      </c>
      <c r="H12" s="168"/>
      <c r="I12" s="168"/>
      <c r="J12" s="168"/>
      <c r="K12" s="168"/>
    </row>
    <row r="13" spans="1:11" ht="14">
      <c r="A13" s="5" t="str">
        <f t="shared" si="0"/>
        <v>4118</v>
      </c>
      <c r="B13" s="36" t="s">
        <v>171</v>
      </c>
      <c r="C13" s="36" t="s">
        <v>171</v>
      </c>
      <c r="D13" s="169" t="s">
        <v>172</v>
      </c>
      <c r="E13" s="179" t="s">
        <v>134</v>
      </c>
      <c r="F13" s="168" t="s">
        <v>135</v>
      </c>
      <c r="G13" s="168" t="s">
        <v>257</v>
      </c>
      <c r="H13" s="168"/>
      <c r="I13" s="168"/>
      <c r="J13" s="168"/>
      <c r="K13" s="168"/>
    </row>
    <row r="14" spans="1:11" ht="14">
      <c r="A14" s="5" t="str">
        <f t="shared" si="0"/>
        <v>4129</v>
      </c>
      <c r="B14" s="36" t="s">
        <v>171</v>
      </c>
      <c r="C14" s="36" t="s">
        <v>171</v>
      </c>
      <c r="D14" s="169" t="s">
        <v>172</v>
      </c>
      <c r="E14" s="179" t="s">
        <v>259</v>
      </c>
      <c r="F14" s="168" t="s">
        <v>256</v>
      </c>
      <c r="G14" s="168" t="s">
        <v>257</v>
      </c>
      <c r="H14" s="168"/>
      <c r="I14" s="168"/>
      <c r="J14" s="168"/>
      <c r="K14" s="168"/>
    </row>
    <row r="15" spans="1:11" ht="14">
      <c r="A15" s="5" t="str">
        <f t="shared" si="0"/>
        <v>5290</v>
      </c>
      <c r="B15" s="36" t="s">
        <v>171</v>
      </c>
      <c r="C15" s="36" t="s">
        <v>171</v>
      </c>
      <c r="D15" s="169" t="s">
        <v>172</v>
      </c>
      <c r="E15" s="179" t="s">
        <v>260</v>
      </c>
      <c r="F15" s="168" t="s">
        <v>223</v>
      </c>
      <c r="G15" s="168" t="s">
        <v>257</v>
      </c>
      <c r="H15" s="168"/>
      <c r="I15" s="168"/>
      <c r="J15" s="168"/>
      <c r="K15" s="168"/>
    </row>
    <row r="16" spans="1:11" ht="14">
      <c r="A16" s="5" t="str">
        <f t="shared" si="0"/>
        <v>5103</v>
      </c>
      <c r="B16" s="36" t="s">
        <v>171</v>
      </c>
      <c r="C16" s="36" t="s">
        <v>171</v>
      </c>
      <c r="D16" s="169" t="s">
        <v>172</v>
      </c>
      <c r="E16" s="179" t="s">
        <v>138</v>
      </c>
      <c r="F16" s="168" t="s">
        <v>224</v>
      </c>
      <c r="G16" s="168" t="s">
        <v>257</v>
      </c>
      <c r="H16" s="168"/>
      <c r="I16" s="168"/>
      <c r="J16" s="168"/>
      <c r="K16" s="168"/>
    </row>
    <row r="17" spans="1:11" ht="14">
      <c r="A17" s="5" t="str">
        <f t="shared" ref="A17" si="2">+E17</f>
        <v>4124</v>
      </c>
      <c r="B17" s="36" t="s">
        <v>171</v>
      </c>
      <c r="C17" s="36" t="s">
        <v>171</v>
      </c>
      <c r="D17" s="169" t="s">
        <v>172</v>
      </c>
      <c r="E17" s="179" t="s">
        <v>281</v>
      </c>
      <c r="F17" s="168" t="s">
        <v>282</v>
      </c>
      <c r="G17" s="168" t="s">
        <v>257</v>
      </c>
      <c r="H17" s="168"/>
      <c r="I17" s="168"/>
      <c r="J17" s="168"/>
      <c r="K17" s="168"/>
    </row>
    <row r="18" spans="1:11" ht="14">
      <c r="A18" s="5" t="str">
        <f t="shared" si="0"/>
        <v>4120</v>
      </c>
      <c r="B18" s="36" t="s">
        <v>171</v>
      </c>
      <c r="C18" s="36" t="s">
        <v>171</v>
      </c>
      <c r="D18" s="170" t="s">
        <v>99</v>
      </c>
      <c r="E18" s="179" t="s">
        <v>136</v>
      </c>
      <c r="F18" s="168" t="s">
        <v>137</v>
      </c>
      <c r="G18" s="168" t="s">
        <v>257</v>
      </c>
      <c r="H18" s="168"/>
      <c r="I18" s="168"/>
      <c r="J18" s="168"/>
      <c r="K18" s="168"/>
    </row>
    <row r="19" spans="1:11" ht="14">
      <c r="A19" s="5" t="str">
        <f t="shared" si="0"/>
        <v>5286</v>
      </c>
      <c r="B19" s="36" t="s">
        <v>171</v>
      </c>
      <c r="C19" s="36" t="s">
        <v>171</v>
      </c>
      <c r="D19" s="170" t="s">
        <v>99</v>
      </c>
      <c r="E19" s="179" t="s">
        <v>261</v>
      </c>
      <c r="F19" s="168" t="s">
        <v>225</v>
      </c>
      <c r="G19" s="168" t="s">
        <v>257</v>
      </c>
      <c r="H19" s="168"/>
      <c r="I19" s="168"/>
      <c r="J19" s="168"/>
      <c r="K19" s="168"/>
    </row>
    <row r="20" spans="1:11" ht="14">
      <c r="A20" s="5" t="str">
        <f t="shared" si="0"/>
        <v>5229</v>
      </c>
      <c r="B20" s="36" t="s">
        <v>171</v>
      </c>
      <c r="C20" s="36" t="s">
        <v>171</v>
      </c>
      <c r="D20" s="170" t="s">
        <v>99</v>
      </c>
      <c r="E20" s="179" t="s">
        <v>151</v>
      </c>
      <c r="F20" s="168" t="s">
        <v>152</v>
      </c>
      <c r="G20" s="168" t="s">
        <v>257</v>
      </c>
      <c r="H20" s="168"/>
      <c r="I20" s="168"/>
      <c r="J20" s="168"/>
      <c r="K20" s="168"/>
    </row>
    <row r="21" spans="1:11">
      <c r="D21" s="171"/>
      <c r="E21" s="168"/>
      <c r="F21" s="168"/>
      <c r="G21" s="168"/>
      <c r="H21" s="168"/>
      <c r="I21" s="168"/>
      <c r="J21" s="168"/>
      <c r="K21" s="168"/>
    </row>
    <row r="22" spans="1:11" ht="14">
      <c r="A22" s="5" t="str">
        <f t="shared" si="0"/>
        <v>5208</v>
      </c>
      <c r="B22" s="5" t="s">
        <v>175</v>
      </c>
      <c r="C22" s="5" t="s">
        <v>176</v>
      </c>
      <c r="D22" s="172" t="s">
        <v>177</v>
      </c>
      <c r="E22" s="179" t="s">
        <v>141</v>
      </c>
      <c r="F22" s="168" t="s">
        <v>142</v>
      </c>
      <c r="G22" s="168" t="s">
        <v>257</v>
      </c>
      <c r="H22" s="168"/>
      <c r="I22" s="168"/>
      <c r="J22" s="168"/>
      <c r="K22" s="168"/>
    </row>
    <row r="23" spans="1:11" ht="14">
      <c r="A23" s="5" t="str">
        <f t="shared" si="0"/>
        <v>5207</v>
      </c>
      <c r="B23" s="5" t="s">
        <v>175</v>
      </c>
      <c r="C23" s="5" t="s">
        <v>176</v>
      </c>
      <c r="D23" s="172" t="s">
        <v>178</v>
      </c>
      <c r="E23" s="179" t="s">
        <v>86</v>
      </c>
      <c r="F23" s="168" t="s">
        <v>226</v>
      </c>
      <c r="G23" s="168" t="s">
        <v>257</v>
      </c>
      <c r="H23" s="168"/>
      <c r="I23" s="168"/>
      <c r="J23" s="168"/>
      <c r="K23" s="168"/>
    </row>
    <row r="24" spans="1:11" ht="14">
      <c r="A24" s="5" t="str">
        <f t="shared" si="0"/>
        <v>5284</v>
      </c>
      <c r="B24" s="5" t="s">
        <v>175</v>
      </c>
      <c r="C24" s="5" t="s">
        <v>176</v>
      </c>
      <c r="D24" s="172" t="s">
        <v>179</v>
      </c>
      <c r="E24" s="179" t="s">
        <v>115</v>
      </c>
      <c r="F24" s="168" t="s">
        <v>116</v>
      </c>
      <c r="G24" s="168" t="s">
        <v>257</v>
      </c>
      <c r="H24" s="168"/>
      <c r="I24" s="168"/>
      <c r="J24" s="168"/>
      <c r="K24" s="168"/>
    </row>
    <row r="25" spans="1:11" ht="14">
      <c r="A25" s="5" t="str">
        <f t="shared" si="0"/>
        <v>5258</v>
      </c>
      <c r="B25" s="5" t="s">
        <v>175</v>
      </c>
      <c r="C25" s="5" t="s">
        <v>176</v>
      </c>
      <c r="D25" s="172" t="s">
        <v>179</v>
      </c>
      <c r="E25" s="179" t="s">
        <v>126</v>
      </c>
      <c r="F25" s="168" t="s">
        <v>127</v>
      </c>
      <c r="G25" s="168" t="s">
        <v>257</v>
      </c>
      <c r="H25" s="168"/>
      <c r="I25" s="168"/>
      <c r="J25" s="168"/>
      <c r="K25" s="168"/>
    </row>
    <row r="26" spans="1:11" ht="14">
      <c r="A26" s="5" t="str">
        <f t="shared" si="0"/>
        <v>5228</v>
      </c>
      <c r="B26" s="5" t="s">
        <v>175</v>
      </c>
      <c r="C26" s="5" t="s">
        <v>180</v>
      </c>
      <c r="D26" s="172" t="s">
        <v>181</v>
      </c>
      <c r="E26" s="179" t="s">
        <v>150</v>
      </c>
      <c r="F26" s="168" t="s">
        <v>227</v>
      </c>
      <c r="G26" s="168" t="s">
        <v>257</v>
      </c>
      <c r="H26" s="168"/>
      <c r="I26" s="168"/>
      <c r="J26" s="168"/>
      <c r="K26" s="168"/>
    </row>
    <row r="27" spans="1:11" ht="14">
      <c r="A27" s="5" t="str">
        <f t="shared" si="0"/>
        <v>5227</v>
      </c>
      <c r="B27" s="5" t="s">
        <v>175</v>
      </c>
      <c r="C27" s="5" t="s">
        <v>180</v>
      </c>
      <c r="D27" s="172" t="s">
        <v>182</v>
      </c>
      <c r="E27" s="179" t="s">
        <v>149</v>
      </c>
      <c r="F27" s="168" t="s">
        <v>228</v>
      </c>
      <c r="G27" s="168" t="s">
        <v>257</v>
      </c>
      <c r="I27" s="168"/>
      <c r="J27" s="168"/>
      <c r="K27" s="168"/>
    </row>
    <row r="28" spans="1:11" ht="14">
      <c r="A28" s="5" t="str">
        <f t="shared" si="0"/>
        <v>5280</v>
      </c>
      <c r="B28" s="5" t="s">
        <v>175</v>
      </c>
      <c r="C28" s="5" t="s">
        <v>180</v>
      </c>
      <c r="D28" s="172" t="s">
        <v>182</v>
      </c>
      <c r="E28" s="179" t="s">
        <v>262</v>
      </c>
      <c r="F28" s="168" t="s">
        <v>229</v>
      </c>
      <c r="G28" s="168" t="s">
        <v>257</v>
      </c>
      <c r="H28" s="168"/>
      <c r="I28" s="168"/>
      <c r="J28" s="168"/>
      <c r="K28" s="168"/>
    </row>
    <row r="29" spans="1:11" ht="14">
      <c r="A29" s="5" t="str">
        <f t="shared" si="0"/>
        <v>5226</v>
      </c>
      <c r="B29" s="5" t="s">
        <v>175</v>
      </c>
      <c r="C29" s="5" t="s">
        <v>180</v>
      </c>
      <c r="D29" s="172" t="s">
        <v>183</v>
      </c>
      <c r="E29" s="179" t="s">
        <v>148</v>
      </c>
      <c r="F29" s="168" t="s">
        <v>230</v>
      </c>
      <c r="G29" s="168" t="s">
        <v>257</v>
      </c>
      <c r="H29" s="168"/>
      <c r="I29" s="168"/>
      <c r="J29" s="168"/>
      <c r="K29" s="168"/>
    </row>
    <row r="30" spans="1:11" ht="14">
      <c r="A30" s="5" t="str">
        <f t="shared" si="0"/>
        <v>5281</v>
      </c>
      <c r="B30" s="5" t="s">
        <v>175</v>
      </c>
      <c r="C30" s="5" t="s">
        <v>180</v>
      </c>
      <c r="D30" s="172" t="s">
        <v>183</v>
      </c>
      <c r="E30" s="179" t="s">
        <v>263</v>
      </c>
      <c r="F30" s="168" t="s">
        <v>231</v>
      </c>
      <c r="G30" s="168" t="s">
        <v>257</v>
      </c>
      <c r="H30" s="168"/>
      <c r="I30" s="168"/>
      <c r="J30" s="168"/>
      <c r="K30" s="168"/>
    </row>
    <row r="31" spans="1:11" ht="14">
      <c r="A31" s="5" t="str">
        <f t="shared" si="0"/>
        <v>5235</v>
      </c>
      <c r="B31" s="5" t="s">
        <v>175</v>
      </c>
      <c r="C31" s="5" t="s">
        <v>180</v>
      </c>
      <c r="D31" s="172" t="s">
        <v>184</v>
      </c>
      <c r="E31" s="179" t="s">
        <v>153</v>
      </c>
      <c r="F31" s="168" t="s">
        <v>154</v>
      </c>
      <c r="G31" s="168" t="s">
        <v>257</v>
      </c>
      <c r="I31" s="168"/>
      <c r="J31" s="168"/>
      <c r="K31" s="168"/>
    </row>
    <row r="32" spans="1:11" ht="14">
      <c r="A32" s="5" t="str">
        <f t="shared" si="0"/>
        <v>5236</v>
      </c>
      <c r="B32" s="5" t="s">
        <v>175</v>
      </c>
      <c r="C32" s="5" t="s">
        <v>180</v>
      </c>
      <c r="D32" s="172" t="s">
        <v>184</v>
      </c>
      <c r="E32" s="179" t="s">
        <v>155</v>
      </c>
      <c r="F32" s="168" t="s">
        <v>156</v>
      </c>
      <c r="G32" s="168" t="s">
        <v>257</v>
      </c>
      <c r="I32" s="168"/>
      <c r="J32" s="168"/>
      <c r="K32" s="168"/>
    </row>
    <row r="33" spans="1:11" ht="14">
      <c r="A33" s="5" t="str">
        <f t="shared" si="0"/>
        <v>5237</v>
      </c>
      <c r="B33" s="5" t="s">
        <v>175</v>
      </c>
      <c r="C33" s="5" t="s">
        <v>180</v>
      </c>
      <c r="D33" s="172" t="s">
        <v>184</v>
      </c>
      <c r="E33" s="179" t="s">
        <v>157</v>
      </c>
      <c r="F33" s="168" t="s">
        <v>158</v>
      </c>
      <c r="G33" s="168" t="s">
        <v>257</v>
      </c>
      <c r="H33" s="168"/>
      <c r="I33" s="168"/>
      <c r="J33" s="168"/>
      <c r="K33" s="168"/>
    </row>
    <row r="34" spans="1:11" ht="14">
      <c r="A34" s="5">
        <f t="shared" si="0"/>
        <v>0</v>
      </c>
      <c r="B34" s="5" t="s">
        <v>175</v>
      </c>
      <c r="C34" s="5" t="s">
        <v>185</v>
      </c>
      <c r="D34" s="169" t="s">
        <v>185</v>
      </c>
      <c r="E34" s="177"/>
      <c r="F34" s="168"/>
      <c r="G34" s="168"/>
      <c r="H34" s="168"/>
      <c r="I34" s="168"/>
      <c r="J34" s="168"/>
      <c r="K34" s="168"/>
    </row>
    <row r="35" spans="1:11" ht="14">
      <c r="A35" s="5" t="str">
        <f t="shared" si="0"/>
        <v>5250</v>
      </c>
      <c r="B35" s="5" t="s">
        <v>175</v>
      </c>
      <c r="C35" s="5" t="s">
        <v>186</v>
      </c>
      <c r="D35" s="173" t="s">
        <v>186</v>
      </c>
      <c r="E35" s="179" t="s">
        <v>35</v>
      </c>
      <c r="F35" s="168" t="s">
        <v>232</v>
      </c>
      <c r="G35" s="168" t="s">
        <v>257</v>
      </c>
      <c r="I35" s="168"/>
      <c r="J35" s="168"/>
      <c r="K35" s="168"/>
    </row>
    <row r="36" spans="1:11" ht="14">
      <c r="A36" s="5" t="str">
        <f t="shared" ref="A36" si="3">+E36</f>
        <v>5257</v>
      </c>
      <c r="B36" s="5" t="s">
        <v>175</v>
      </c>
      <c r="C36" s="5" t="s">
        <v>186</v>
      </c>
      <c r="D36" s="173" t="s">
        <v>186</v>
      </c>
      <c r="E36" s="3" t="s">
        <v>712</v>
      </c>
      <c r="F36" t="s">
        <v>713</v>
      </c>
      <c r="G36" s="168" t="s">
        <v>257</v>
      </c>
      <c r="I36" s="168"/>
      <c r="J36" s="168"/>
      <c r="K36" s="168"/>
    </row>
    <row r="37" spans="1:11" ht="14">
      <c r="A37" s="5" t="str">
        <f t="shared" si="0"/>
        <v>5251</v>
      </c>
      <c r="B37" s="5" t="s">
        <v>175</v>
      </c>
      <c r="C37" s="5" t="s">
        <v>186</v>
      </c>
      <c r="D37" s="173" t="s">
        <v>186</v>
      </c>
      <c r="E37" s="179" t="s">
        <v>33</v>
      </c>
      <c r="F37" s="168" t="s">
        <v>233</v>
      </c>
      <c r="G37" s="168" t="s">
        <v>257</v>
      </c>
      <c r="H37" s="168"/>
      <c r="I37" s="168"/>
      <c r="J37" s="168"/>
      <c r="K37" s="168"/>
    </row>
    <row r="38" spans="1:11" ht="14">
      <c r="A38" s="5" t="str">
        <f t="shared" si="0"/>
        <v>5213</v>
      </c>
      <c r="B38" s="5" t="s">
        <v>175</v>
      </c>
      <c r="C38" s="5" t="s">
        <v>186</v>
      </c>
      <c r="D38" s="173" t="s">
        <v>186</v>
      </c>
      <c r="E38" s="179" t="s">
        <v>43</v>
      </c>
      <c r="F38" s="168" t="s">
        <v>42</v>
      </c>
      <c r="G38" s="168" t="s">
        <v>257</v>
      </c>
      <c r="H38" s="168"/>
      <c r="I38" s="168"/>
      <c r="J38" s="168"/>
      <c r="K38" s="168"/>
    </row>
    <row r="39" spans="1:11" ht="14">
      <c r="A39" s="5" t="str">
        <f t="shared" si="0"/>
        <v>5291</v>
      </c>
      <c r="B39" s="5" t="s">
        <v>175</v>
      </c>
      <c r="C39" s="5" t="s">
        <v>186</v>
      </c>
      <c r="D39" s="173" t="s">
        <v>186</v>
      </c>
      <c r="E39" s="179" t="s">
        <v>110</v>
      </c>
      <c r="F39" s="168" t="s">
        <v>111</v>
      </c>
      <c r="G39" s="168" t="s">
        <v>257</v>
      </c>
      <c r="H39" s="168"/>
      <c r="I39" s="168"/>
      <c r="J39" s="168"/>
      <c r="K39" s="168"/>
    </row>
    <row r="40" spans="1:11" ht="14">
      <c r="A40" s="5" t="str">
        <f t="shared" si="0"/>
        <v>5289</v>
      </c>
      <c r="B40" s="5" t="s">
        <v>175</v>
      </c>
      <c r="C40" s="5" t="s">
        <v>186</v>
      </c>
      <c r="D40" s="173" t="s">
        <v>186</v>
      </c>
      <c r="E40" s="179" t="s">
        <v>119</v>
      </c>
      <c r="F40" s="168" t="s">
        <v>120</v>
      </c>
      <c r="G40" s="168" t="s">
        <v>257</v>
      </c>
      <c r="H40" s="168"/>
      <c r="I40" s="168"/>
      <c r="J40" s="168"/>
      <c r="K40" s="168"/>
    </row>
    <row r="41" spans="1:11" ht="14">
      <c r="A41" s="5" t="str">
        <f t="shared" si="0"/>
        <v>5247</v>
      </c>
      <c r="B41" s="5" t="s">
        <v>175</v>
      </c>
      <c r="C41" s="5" t="s">
        <v>187</v>
      </c>
      <c r="D41" s="174" t="s">
        <v>188</v>
      </c>
      <c r="E41" s="179" t="s">
        <v>39</v>
      </c>
      <c r="F41" s="168" t="s">
        <v>234</v>
      </c>
      <c r="G41" s="168" t="s">
        <v>257</v>
      </c>
      <c r="H41" s="168"/>
      <c r="I41" s="168"/>
      <c r="J41" s="168"/>
      <c r="K41" s="168"/>
    </row>
    <row r="42" spans="1:11" ht="14">
      <c r="A42" s="5" t="str">
        <f t="shared" si="0"/>
        <v>5259</v>
      </c>
      <c r="B42" s="5" t="s">
        <v>175</v>
      </c>
      <c r="C42" s="5" t="s">
        <v>187</v>
      </c>
      <c r="D42" s="174" t="s">
        <v>188</v>
      </c>
      <c r="E42" s="179" t="s">
        <v>66</v>
      </c>
      <c r="F42" s="168" t="s">
        <v>235</v>
      </c>
      <c r="G42" s="168" t="s">
        <v>257</v>
      </c>
      <c r="H42" s="168"/>
      <c r="I42" s="168"/>
      <c r="J42" s="168"/>
      <c r="K42" s="168"/>
    </row>
    <row r="43" spans="1:11" ht="14">
      <c r="A43" s="5" t="str">
        <f t="shared" si="0"/>
        <v>5248</v>
      </c>
      <c r="B43" s="5" t="s">
        <v>175</v>
      </c>
      <c r="C43" s="5" t="s">
        <v>187</v>
      </c>
      <c r="D43" s="174" t="s">
        <v>189</v>
      </c>
      <c r="E43" s="179" t="s">
        <v>60</v>
      </c>
      <c r="F43" s="168" t="s">
        <v>236</v>
      </c>
      <c r="G43" s="168" t="s">
        <v>257</v>
      </c>
      <c r="H43" s="168"/>
      <c r="I43" s="168"/>
      <c r="J43" s="168"/>
      <c r="K43" s="168"/>
    </row>
    <row r="44" spans="1:11" ht="14">
      <c r="A44" s="5" t="str">
        <f t="shared" si="0"/>
        <v>5288</v>
      </c>
      <c r="B44" s="5" t="s">
        <v>175</v>
      </c>
      <c r="C44" s="5" t="s">
        <v>187</v>
      </c>
      <c r="D44" s="174" t="s">
        <v>189</v>
      </c>
      <c r="E44" s="179" t="s">
        <v>104</v>
      </c>
      <c r="F44" s="168" t="s">
        <v>237</v>
      </c>
      <c r="G44" s="168" t="s">
        <v>257</v>
      </c>
      <c r="H44" s="168"/>
      <c r="I44" s="168"/>
      <c r="J44" s="168"/>
      <c r="K44" s="168"/>
    </row>
    <row r="45" spans="1:11" ht="14">
      <c r="A45" s="5" t="str">
        <f t="shared" si="0"/>
        <v>5249</v>
      </c>
      <c r="B45" s="5" t="s">
        <v>175</v>
      </c>
      <c r="C45" s="5" t="s">
        <v>187</v>
      </c>
      <c r="D45" s="174" t="s">
        <v>190</v>
      </c>
      <c r="E45" s="179" t="s">
        <v>37</v>
      </c>
      <c r="F45" s="168" t="s">
        <v>238</v>
      </c>
      <c r="G45" s="168" t="s">
        <v>257</v>
      </c>
      <c r="H45" s="168"/>
      <c r="I45" s="168"/>
      <c r="J45" s="168"/>
      <c r="K45" s="168"/>
    </row>
    <row r="46" spans="1:11" ht="14">
      <c r="A46" s="5" t="str">
        <f t="shared" si="0"/>
        <v>5225</v>
      </c>
      <c r="B46" s="5" t="s">
        <v>175</v>
      </c>
      <c r="C46" s="5" t="s">
        <v>191</v>
      </c>
      <c r="D46" s="175" t="s">
        <v>191</v>
      </c>
      <c r="E46" s="179" t="s">
        <v>87</v>
      </c>
      <c r="F46" s="168" t="s">
        <v>106</v>
      </c>
      <c r="G46" s="168" t="s">
        <v>257</v>
      </c>
      <c r="H46" s="168"/>
      <c r="I46" s="168"/>
      <c r="J46" s="168"/>
      <c r="K46" s="168"/>
    </row>
    <row r="47" spans="1:11" ht="14">
      <c r="A47" s="5" t="str">
        <f t="shared" si="0"/>
        <v>5255</v>
      </c>
      <c r="B47" s="5" t="s">
        <v>175</v>
      </c>
      <c r="C47" s="175" t="s">
        <v>192</v>
      </c>
      <c r="D47" s="175" t="s">
        <v>192</v>
      </c>
      <c r="E47" s="179" t="s">
        <v>64</v>
      </c>
      <c r="F47" s="168" t="s">
        <v>239</v>
      </c>
      <c r="G47" s="168" t="s">
        <v>257</v>
      </c>
      <c r="H47" s="168"/>
      <c r="I47" s="168"/>
      <c r="J47" s="168"/>
      <c r="K47" s="168"/>
    </row>
    <row r="48" spans="1:11" ht="14">
      <c r="A48" s="5" t="str">
        <f t="shared" si="0"/>
        <v>5310</v>
      </c>
      <c r="B48" s="5" t="s">
        <v>175</v>
      </c>
      <c r="C48" s="175" t="s">
        <v>192</v>
      </c>
      <c r="D48" s="175" t="s">
        <v>192</v>
      </c>
      <c r="E48" s="179" t="s">
        <v>264</v>
      </c>
      <c r="F48" s="168" t="s">
        <v>240</v>
      </c>
      <c r="G48" s="168" t="s">
        <v>257</v>
      </c>
      <c r="H48" s="168"/>
      <c r="I48" s="168"/>
      <c r="J48" s="168"/>
      <c r="K48" s="168"/>
    </row>
    <row r="49" spans="1:11" ht="14">
      <c r="A49" s="5" t="str">
        <f t="shared" si="0"/>
        <v>5222</v>
      </c>
      <c r="B49" s="5" t="s">
        <v>175</v>
      </c>
      <c r="C49" s="175" t="s">
        <v>192</v>
      </c>
      <c r="D49" s="175" t="s">
        <v>192</v>
      </c>
      <c r="E49" s="179" t="s">
        <v>265</v>
      </c>
      <c r="F49" s="168" t="s">
        <v>241</v>
      </c>
      <c r="G49" s="168" t="s">
        <v>257</v>
      </c>
      <c r="H49" s="168"/>
      <c r="I49" s="168"/>
      <c r="J49" s="168"/>
      <c r="K49" s="168"/>
    </row>
    <row r="50" spans="1:11" ht="14">
      <c r="A50" s="5" t="str">
        <f t="shared" si="0"/>
        <v>5256</v>
      </c>
      <c r="B50" s="5" t="s">
        <v>175</v>
      </c>
      <c r="C50" s="175" t="s">
        <v>192</v>
      </c>
      <c r="D50" s="175" t="s">
        <v>192</v>
      </c>
      <c r="E50" s="179" t="s">
        <v>266</v>
      </c>
      <c r="F50" s="168" t="s">
        <v>242</v>
      </c>
      <c r="G50" s="168" t="s">
        <v>257</v>
      </c>
      <c r="H50" s="168"/>
      <c r="I50" s="168"/>
      <c r="J50" s="168"/>
      <c r="K50" s="168"/>
    </row>
    <row r="51" spans="1:11" ht="14">
      <c r="A51" s="5" t="str">
        <f t="shared" si="0"/>
        <v>5220</v>
      </c>
      <c r="B51" s="5" t="s">
        <v>175</v>
      </c>
      <c r="C51" s="175" t="s">
        <v>193</v>
      </c>
      <c r="D51" s="175" t="s">
        <v>193</v>
      </c>
      <c r="E51" s="179" t="s">
        <v>56</v>
      </c>
      <c r="F51" s="168" t="s">
        <v>57</v>
      </c>
      <c r="G51" s="168" t="s">
        <v>257</v>
      </c>
      <c r="H51" s="168"/>
      <c r="I51" s="168"/>
      <c r="J51" s="168"/>
      <c r="K51" s="168"/>
    </row>
    <row r="52" spans="1:11" ht="14">
      <c r="A52" s="5" t="str">
        <f t="shared" si="0"/>
        <v>5221</v>
      </c>
      <c r="B52" s="5" t="s">
        <v>175</v>
      </c>
      <c r="C52" s="173" t="s">
        <v>194</v>
      </c>
      <c r="D52" s="173" t="s">
        <v>194</v>
      </c>
      <c r="E52" s="179" t="s">
        <v>58</v>
      </c>
      <c r="F52" s="168" t="s">
        <v>59</v>
      </c>
      <c r="G52" s="168" t="s">
        <v>257</v>
      </c>
      <c r="H52" s="168"/>
      <c r="I52" s="168"/>
      <c r="J52" s="168"/>
      <c r="K52" s="168"/>
    </row>
    <row r="53" spans="1:11" ht="14">
      <c r="A53" s="5" t="str">
        <f t="shared" si="0"/>
        <v>5261</v>
      </c>
      <c r="B53" s="5" t="s">
        <v>175</v>
      </c>
      <c r="C53" s="173" t="s">
        <v>194</v>
      </c>
      <c r="D53" s="173" t="s">
        <v>194</v>
      </c>
      <c r="E53" s="3" t="s">
        <v>277</v>
      </c>
      <c r="F53" t="s">
        <v>278</v>
      </c>
      <c r="G53" s="168" t="s">
        <v>257</v>
      </c>
      <c r="H53" s="168"/>
      <c r="I53" s="168"/>
      <c r="J53" s="168"/>
      <c r="K53" s="168"/>
    </row>
    <row r="54" spans="1:11" ht="14">
      <c r="A54" s="5" t="str">
        <f t="shared" si="0"/>
        <v>5252</v>
      </c>
      <c r="B54" s="5" t="s">
        <v>175</v>
      </c>
      <c r="C54" s="5" t="s">
        <v>195</v>
      </c>
      <c r="D54" s="174" t="s">
        <v>196</v>
      </c>
      <c r="E54" s="179" t="s">
        <v>31</v>
      </c>
      <c r="F54" s="168" t="s">
        <v>243</v>
      </c>
      <c r="G54" s="168" t="s">
        <v>257</v>
      </c>
      <c r="H54" s="168"/>
      <c r="I54" s="168"/>
      <c r="J54" s="168"/>
      <c r="K54" s="168"/>
    </row>
    <row r="55" spans="1:11" ht="14">
      <c r="A55" s="5" t="str">
        <f t="shared" ref="A55" si="4">+E55</f>
        <v>5282</v>
      </c>
      <c r="B55" s="5" t="s">
        <v>175</v>
      </c>
      <c r="C55" s="5" t="s">
        <v>195</v>
      </c>
      <c r="D55" s="174" t="s">
        <v>196</v>
      </c>
      <c r="E55" s="179" t="s">
        <v>124</v>
      </c>
      <c r="F55" s="168" t="s">
        <v>125</v>
      </c>
      <c r="G55" s="168" t="s">
        <v>257</v>
      </c>
      <c r="H55" s="168"/>
      <c r="I55" s="168"/>
      <c r="J55" s="168"/>
      <c r="K55" s="168"/>
    </row>
    <row r="56" spans="1:11" ht="14">
      <c r="A56" s="5" t="str">
        <f>+E56</f>
        <v>5283</v>
      </c>
      <c r="B56" s="5" t="s">
        <v>175</v>
      </c>
      <c r="C56" s="5" t="s">
        <v>195</v>
      </c>
      <c r="D56" s="174" t="s">
        <v>196</v>
      </c>
      <c r="E56" s="179" t="s">
        <v>113</v>
      </c>
      <c r="F56" s="168" t="s">
        <v>114</v>
      </c>
      <c r="G56" s="168" t="s">
        <v>257</v>
      </c>
      <c r="H56" s="168"/>
      <c r="I56" s="168"/>
      <c r="J56" s="168"/>
      <c r="K56" s="168"/>
    </row>
    <row r="57" spans="1:11" ht="14">
      <c r="A57" s="5" t="str">
        <f t="shared" si="0"/>
        <v>5253</v>
      </c>
      <c r="B57" s="5" t="s">
        <v>175</v>
      </c>
      <c r="C57" s="5" t="s">
        <v>195</v>
      </c>
      <c r="D57" s="174" t="s">
        <v>197</v>
      </c>
      <c r="E57" s="179" t="s">
        <v>62</v>
      </c>
      <c r="F57" s="168" t="s">
        <v>244</v>
      </c>
      <c r="G57" s="168" t="s">
        <v>257</v>
      </c>
      <c r="H57" s="168"/>
      <c r="I57" s="168"/>
      <c r="J57" s="168"/>
      <c r="K57" s="168"/>
    </row>
    <row r="58" spans="1:11" ht="14">
      <c r="A58" s="5" t="str">
        <f t="shared" si="0"/>
        <v>5254</v>
      </c>
      <c r="B58" s="5" t="s">
        <v>175</v>
      </c>
      <c r="C58" s="5" t="s">
        <v>195</v>
      </c>
      <c r="D58" s="174" t="s">
        <v>198</v>
      </c>
      <c r="E58" s="179" t="s">
        <v>29</v>
      </c>
      <c r="F58" s="168" t="s">
        <v>245</v>
      </c>
      <c r="G58" s="168" t="s">
        <v>257</v>
      </c>
      <c r="H58" s="168"/>
      <c r="I58" s="168"/>
      <c r="J58" s="168"/>
      <c r="K58" s="168"/>
    </row>
    <row r="59" spans="1:11" ht="14">
      <c r="A59" s="5" t="str">
        <f t="shared" si="0"/>
        <v>5209</v>
      </c>
      <c r="B59" s="5" t="s">
        <v>175</v>
      </c>
      <c r="C59" s="176" t="s">
        <v>199</v>
      </c>
      <c r="D59" s="176" t="s">
        <v>199</v>
      </c>
      <c r="E59" s="179" t="s">
        <v>52</v>
      </c>
      <c r="F59" s="168" t="s">
        <v>53</v>
      </c>
      <c r="G59" s="168" t="s">
        <v>257</v>
      </c>
      <c r="I59" s="168"/>
      <c r="J59" s="168"/>
      <c r="K59" s="168"/>
    </row>
    <row r="60" spans="1:11" ht="14">
      <c r="A60" s="5" t="str">
        <f t="shared" si="0"/>
        <v>5266</v>
      </c>
      <c r="B60" s="5" t="s">
        <v>175</v>
      </c>
      <c r="C60" s="176" t="s">
        <v>199</v>
      </c>
      <c r="D60" s="176" t="s">
        <v>199</v>
      </c>
      <c r="E60" s="179" t="s">
        <v>68</v>
      </c>
      <c r="F60" s="168" t="s">
        <v>143</v>
      </c>
      <c r="G60" s="168" t="s">
        <v>257</v>
      </c>
      <c r="H60" s="168"/>
      <c r="I60" s="168"/>
      <c r="J60" s="168"/>
      <c r="K60" s="168"/>
    </row>
    <row r="61" spans="1:11" ht="14">
      <c r="A61" s="5" t="str">
        <f t="shared" si="0"/>
        <v>5324</v>
      </c>
      <c r="B61" s="5" t="s">
        <v>175</v>
      </c>
      <c r="C61" s="176" t="s">
        <v>199</v>
      </c>
      <c r="D61" s="176" t="s">
        <v>199</v>
      </c>
      <c r="E61" s="179" t="s">
        <v>162</v>
      </c>
      <c r="F61" s="168" t="s">
        <v>163</v>
      </c>
      <c r="G61" s="168" t="s">
        <v>257</v>
      </c>
      <c r="H61" s="168"/>
      <c r="I61" s="168"/>
      <c r="J61" s="168"/>
      <c r="K61" s="168"/>
    </row>
    <row r="62" spans="1:11" ht="14">
      <c r="A62" s="5" t="str">
        <f t="shared" si="0"/>
        <v>5325</v>
      </c>
      <c r="B62" s="5" t="s">
        <v>175</v>
      </c>
      <c r="C62" s="176" t="s">
        <v>199</v>
      </c>
      <c r="D62" s="176" t="s">
        <v>199</v>
      </c>
      <c r="E62" s="179" t="s">
        <v>267</v>
      </c>
      <c r="F62" s="168" t="s">
        <v>246</v>
      </c>
      <c r="G62" s="168" t="s">
        <v>257</v>
      </c>
      <c r="H62" s="168"/>
      <c r="I62" s="168"/>
      <c r="J62" s="168"/>
      <c r="K62" s="168"/>
    </row>
    <row r="63" spans="1:11" ht="14">
      <c r="A63" s="5" t="str">
        <f t="shared" si="0"/>
        <v>5326</v>
      </c>
      <c r="B63" s="5" t="s">
        <v>175</v>
      </c>
      <c r="C63" s="176" t="s">
        <v>199</v>
      </c>
      <c r="D63" s="176" t="s">
        <v>199</v>
      </c>
      <c r="E63" s="179" t="s">
        <v>268</v>
      </c>
      <c r="F63" s="168" t="s">
        <v>247</v>
      </c>
      <c r="G63" s="168" t="s">
        <v>257</v>
      </c>
      <c r="H63" s="168"/>
      <c r="I63" s="168"/>
      <c r="J63" s="168"/>
      <c r="K63" s="168"/>
    </row>
    <row r="64" spans="1:11" ht="14">
      <c r="A64" s="5" t="str">
        <f t="shared" si="0"/>
        <v>5215</v>
      </c>
      <c r="B64" s="5" t="s">
        <v>175</v>
      </c>
      <c r="C64" s="169" t="s">
        <v>200</v>
      </c>
      <c r="D64" s="169" t="s">
        <v>200</v>
      </c>
      <c r="E64" s="179" t="s">
        <v>144</v>
      </c>
      <c r="F64" s="168" t="s">
        <v>145</v>
      </c>
      <c r="G64" s="168" t="s">
        <v>257</v>
      </c>
      <c r="H64" s="168"/>
      <c r="I64" s="168"/>
      <c r="J64" s="168"/>
      <c r="K64" s="168"/>
    </row>
    <row r="65" spans="1:11" ht="14">
      <c r="A65" s="5" t="str">
        <f t="shared" si="0"/>
        <v>5321</v>
      </c>
      <c r="B65" s="5" t="s">
        <v>175</v>
      </c>
      <c r="C65" s="169" t="s">
        <v>200</v>
      </c>
      <c r="D65" s="169" t="s">
        <v>200</v>
      </c>
      <c r="E65" s="179" t="s">
        <v>269</v>
      </c>
      <c r="F65" s="168" t="s">
        <v>248</v>
      </c>
      <c r="G65" s="168" t="s">
        <v>257</v>
      </c>
      <c r="H65" s="168"/>
      <c r="I65" s="168"/>
      <c r="J65" s="168"/>
      <c r="K65" s="168"/>
    </row>
    <row r="66" spans="1:11" ht="14">
      <c r="A66" s="5" t="str">
        <f t="shared" si="0"/>
        <v>5217</v>
      </c>
      <c r="B66" s="5" t="s">
        <v>175</v>
      </c>
      <c r="C66" s="169" t="s">
        <v>275</v>
      </c>
      <c r="D66" s="169" t="s">
        <v>275</v>
      </c>
      <c r="E66" s="179" t="s">
        <v>146</v>
      </c>
      <c r="F66" s="168" t="s">
        <v>147</v>
      </c>
      <c r="G66" s="168" t="s">
        <v>257</v>
      </c>
      <c r="H66" s="168"/>
      <c r="I66" s="168"/>
      <c r="J66" s="168"/>
      <c r="K66" s="168"/>
    </row>
    <row r="67" spans="1:11" ht="14">
      <c r="A67" s="5" t="str">
        <f t="shared" si="0"/>
        <v>5260</v>
      </c>
      <c r="B67" s="5" t="s">
        <v>175</v>
      </c>
      <c r="C67" s="169" t="s">
        <v>275</v>
      </c>
      <c r="D67" s="169" t="s">
        <v>275</v>
      </c>
      <c r="E67" s="179" t="s">
        <v>27</v>
      </c>
      <c r="F67" s="168" t="s">
        <v>249</v>
      </c>
      <c r="G67" s="168" t="s">
        <v>257</v>
      </c>
      <c r="H67" s="168"/>
      <c r="I67" s="168"/>
      <c r="J67" s="168"/>
      <c r="K67" s="168"/>
    </row>
    <row r="68" spans="1:11" ht="14">
      <c r="A68" s="5" t="str">
        <f t="shared" si="0"/>
        <v>5219</v>
      </c>
      <c r="B68" s="5" t="s">
        <v>175</v>
      </c>
      <c r="C68" s="176" t="s">
        <v>201</v>
      </c>
      <c r="D68" s="176" t="s">
        <v>201</v>
      </c>
      <c r="E68" s="179" t="s">
        <v>54</v>
      </c>
      <c r="F68" s="168" t="s">
        <v>55</v>
      </c>
      <c r="G68" s="168" t="s">
        <v>257</v>
      </c>
      <c r="I68" s="168"/>
      <c r="J68" s="168"/>
      <c r="K68" s="168"/>
    </row>
    <row r="69" spans="1:11" ht="14">
      <c r="A69" s="5" t="str">
        <f t="shared" si="0"/>
        <v>5218</v>
      </c>
      <c r="B69" s="5" t="s">
        <v>175</v>
      </c>
      <c r="C69" s="176" t="s">
        <v>201</v>
      </c>
      <c r="D69" s="176" t="s">
        <v>201</v>
      </c>
      <c r="E69" s="179" t="s">
        <v>41</v>
      </c>
      <c r="F69" s="168" t="s">
        <v>40</v>
      </c>
      <c r="G69" s="168" t="s">
        <v>257</v>
      </c>
      <c r="H69" s="168"/>
      <c r="I69" s="168"/>
      <c r="J69" s="168"/>
      <c r="K69" s="168"/>
    </row>
    <row r="70" spans="1:11" ht="14">
      <c r="A70" s="5" t="str">
        <f t="shared" si="0"/>
        <v>5263</v>
      </c>
      <c r="B70" s="5" t="s">
        <v>175</v>
      </c>
      <c r="C70" s="176" t="s">
        <v>201</v>
      </c>
      <c r="D70" s="176" t="s">
        <v>201</v>
      </c>
      <c r="E70" s="179" t="s">
        <v>26</v>
      </c>
      <c r="F70" s="168" t="s">
        <v>250</v>
      </c>
      <c r="G70" s="168" t="s">
        <v>257</v>
      </c>
      <c r="H70" s="168"/>
      <c r="I70" s="168"/>
      <c r="J70" s="168"/>
      <c r="K70" s="168"/>
    </row>
    <row r="71" spans="1:11" ht="14">
      <c r="A71" s="5" t="str">
        <f t="shared" si="0"/>
        <v>5312</v>
      </c>
      <c r="B71" s="5" t="s">
        <v>175</v>
      </c>
      <c r="C71" s="176" t="s">
        <v>201</v>
      </c>
      <c r="D71" s="176" t="s">
        <v>201</v>
      </c>
      <c r="E71" s="179" t="s">
        <v>160</v>
      </c>
      <c r="F71" s="168" t="s">
        <v>161</v>
      </c>
      <c r="G71" s="168" t="s">
        <v>257</v>
      </c>
      <c r="H71" s="168"/>
      <c r="I71" s="168"/>
      <c r="J71" s="168"/>
      <c r="K71" s="168"/>
    </row>
    <row r="72" spans="1:11" ht="14">
      <c r="A72" s="5" t="str">
        <f t="shared" si="0"/>
        <v>5314</v>
      </c>
      <c r="B72" s="5" t="s">
        <v>175</v>
      </c>
      <c r="C72" s="176" t="s">
        <v>201</v>
      </c>
      <c r="D72" s="176" t="s">
        <v>201</v>
      </c>
      <c r="E72" s="179" t="s">
        <v>270</v>
      </c>
      <c r="F72" s="168" t="s">
        <v>251</v>
      </c>
      <c r="G72" s="168" t="s">
        <v>257</v>
      </c>
      <c r="H72" s="168"/>
      <c r="I72" s="168"/>
      <c r="J72" s="168"/>
      <c r="K72" s="168"/>
    </row>
    <row r="73" spans="1:11" ht="14">
      <c r="A73" s="5" t="str">
        <f t="shared" si="0"/>
        <v>5337</v>
      </c>
      <c r="B73" s="5" t="s">
        <v>175</v>
      </c>
      <c r="C73" s="176" t="s">
        <v>201</v>
      </c>
      <c r="D73" s="176" t="s">
        <v>201</v>
      </c>
      <c r="E73" s="179" t="s">
        <v>117</v>
      </c>
      <c r="F73" s="168" t="s">
        <v>118</v>
      </c>
      <c r="G73" s="168" t="s">
        <v>257</v>
      </c>
      <c r="H73" s="168"/>
      <c r="I73" s="168"/>
      <c r="J73" s="168"/>
      <c r="K73" s="168"/>
    </row>
    <row r="74" spans="1:11">
      <c r="D74" s="176"/>
      <c r="E74" s="168"/>
      <c r="F74" s="168"/>
      <c r="G74" s="168"/>
      <c r="H74" s="168"/>
      <c r="I74" s="168"/>
      <c r="J74" s="168"/>
      <c r="K74" s="168"/>
    </row>
    <row r="75" spans="1:11">
      <c r="D75" s="171"/>
      <c r="E75" s="168"/>
      <c r="F75" s="168"/>
      <c r="G75" s="168"/>
      <c r="H75" s="168"/>
      <c r="I75" s="168"/>
      <c r="J75" s="168"/>
      <c r="K75" s="168"/>
    </row>
    <row r="76" spans="1:11" ht="14">
      <c r="A76" s="5" t="str">
        <f t="shared" ref="A76:A87" si="5">+E76</f>
        <v>12020401</v>
      </c>
      <c r="B76" s="36" t="s">
        <v>217</v>
      </c>
      <c r="C76" s="36" t="s">
        <v>217</v>
      </c>
      <c r="D76" s="176" t="s">
        <v>218</v>
      </c>
      <c r="E76" s="179" t="s">
        <v>0</v>
      </c>
      <c r="F76" s="168" t="s">
        <v>1</v>
      </c>
      <c r="G76" s="168" t="s">
        <v>257</v>
      </c>
      <c r="H76" s="168"/>
      <c r="I76" s="168"/>
      <c r="J76" s="168"/>
      <c r="K76" s="168"/>
    </row>
    <row r="77" spans="1:11" ht="14">
      <c r="A77" s="5" t="str">
        <f t="shared" si="5"/>
        <v>12020701</v>
      </c>
      <c r="B77" s="36" t="s">
        <v>217</v>
      </c>
      <c r="C77" s="36" t="s">
        <v>217</v>
      </c>
      <c r="D77" s="176" t="s">
        <v>218</v>
      </c>
      <c r="E77" s="179" t="s">
        <v>271</v>
      </c>
      <c r="F77" s="168" t="s">
        <v>252</v>
      </c>
      <c r="G77" s="168" t="s">
        <v>257</v>
      </c>
      <c r="H77" s="168"/>
      <c r="I77" s="168"/>
      <c r="J77" s="168"/>
      <c r="K77" s="168"/>
    </row>
    <row r="78" spans="1:11" ht="14">
      <c r="A78" s="5" t="str">
        <f t="shared" si="5"/>
        <v>120211</v>
      </c>
      <c r="B78" s="36" t="s">
        <v>217</v>
      </c>
      <c r="C78" s="36" t="s">
        <v>217</v>
      </c>
      <c r="D78" s="176" t="s">
        <v>207</v>
      </c>
      <c r="E78" s="179" t="s">
        <v>2</v>
      </c>
      <c r="F78" s="168" t="s">
        <v>253</v>
      </c>
      <c r="G78" s="168" t="s">
        <v>257</v>
      </c>
      <c r="H78" s="168"/>
      <c r="I78" s="168"/>
      <c r="J78" s="168"/>
      <c r="K78" s="168"/>
    </row>
    <row r="79" spans="1:11">
      <c r="A79" s="5" t="str">
        <f t="shared" si="5"/>
        <v>12020103</v>
      </c>
      <c r="B79" s="36" t="s">
        <v>217</v>
      </c>
      <c r="C79" s="36" t="s">
        <v>217</v>
      </c>
      <c r="D79" s="176" t="s">
        <v>208</v>
      </c>
      <c r="E79" s="179" t="s">
        <v>46</v>
      </c>
      <c r="F79" s="168" t="s">
        <v>47</v>
      </c>
      <c r="G79" s="168" t="s">
        <v>257</v>
      </c>
      <c r="J79" s="168"/>
      <c r="K79" s="168"/>
    </row>
    <row r="80" spans="1:11">
      <c r="A80" s="5" t="str">
        <f t="shared" si="5"/>
        <v>12020105</v>
      </c>
      <c r="B80" s="36" t="s">
        <v>217</v>
      </c>
      <c r="C80" s="36" t="s">
        <v>217</v>
      </c>
      <c r="D80" s="176" t="s">
        <v>208</v>
      </c>
      <c r="E80" s="179" t="s">
        <v>164</v>
      </c>
      <c r="F80" s="168" t="s">
        <v>165</v>
      </c>
      <c r="G80" s="168" t="s">
        <v>257</v>
      </c>
      <c r="I80" s="168"/>
      <c r="J80" s="168"/>
      <c r="K80" s="168"/>
    </row>
    <row r="81" spans="1:11">
      <c r="A81" s="5" t="str">
        <f t="shared" si="5"/>
        <v>12020201</v>
      </c>
      <c r="B81" s="36" t="s">
        <v>217</v>
      </c>
      <c r="C81" s="36" t="s">
        <v>217</v>
      </c>
      <c r="D81" s="176" t="s">
        <v>208</v>
      </c>
      <c r="E81" s="179" t="s">
        <v>48</v>
      </c>
      <c r="F81" s="168" t="s">
        <v>254</v>
      </c>
      <c r="G81" s="168" t="s">
        <v>257</v>
      </c>
      <c r="I81" s="168"/>
      <c r="J81" s="168"/>
      <c r="K81" s="168"/>
    </row>
    <row r="82" spans="1:11">
      <c r="A82" s="5" t="str">
        <f t="shared" si="5"/>
        <v>12020301</v>
      </c>
      <c r="B82" s="36" t="s">
        <v>217</v>
      </c>
      <c r="C82" s="36" t="s">
        <v>217</v>
      </c>
      <c r="D82" s="176" t="s">
        <v>208</v>
      </c>
      <c r="E82" s="179" t="s">
        <v>4</v>
      </c>
      <c r="F82" s="168" t="s">
        <v>3</v>
      </c>
      <c r="G82" s="168" t="s">
        <v>257</v>
      </c>
      <c r="H82" s="168"/>
      <c r="I82" s="168"/>
      <c r="J82" s="168"/>
      <c r="K82" s="168"/>
    </row>
    <row r="83" spans="1:11">
      <c r="A83" s="5" t="str">
        <f t="shared" si="5"/>
        <v>12021001</v>
      </c>
      <c r="B83" s="36" t="s">
        <v>217</v>
      </c>
      <c r="C83" s="36" t="s">
        <v>217</v>
      </c>
      <c r="D83" s="176" t="s">
        <v>208</v>
      </c>
      <c r="E83" s="179" t="s">
        <v>166</v>
      </c>
      <c r="F83" s="168" t="s">
        <v>167</v>
      </c>
      <c r="G83" s="168" t="s">
        <v>257</v>
      </c>
      <c r="H83" s="168"/>
      <c r="I83" s="168"/>
      <c r="J83" s="168"/>
      <c r="K83" s="168"/>
    </row>
    <row r="84" spans="1:11">
      <c r="A84" s="5" t="str">
        <f t="shared" si="5"/>
        <v>12020501</v>
      </c>
      <c r="B84" s="36" t="s">
        <v>217</v>
      </c>
      <c r="C84" s="36" t="s">
        <v>217</v>
      </c>
      <c r="D84" s="176" t="s">
        <v>208</v>
      </c>
      <c r="E84" s="179" t="s">
        <v>50</v>
      </c>
      <c r="F84" s="168" t="s">
        <v>255</v>
      </c>
      <c r="G84" s="168" t="s">
        <v>257</v>
      </c>
      <c r="H84" s="168"/>
      <c r="I84" s="168"/>
      <c r="J84" s="168"/>
      <c r="K84" s="168"/>
    </row>
    <row r="85" spans="1:11">
      <c r="A85" s="5" t="str">
        <f t="shared" si="5"/>
        <v>12020601</v>
      </c>
      <c r="B85" s="36" t="s">
        <v>217</v>
      </c>
      <c r="C85" s="36" t="s">
        <v>217</v>
      </c>
      <c r="D85" s="176" t="s">
        <v>208</v>
      </c>
      <c r="E85" s="179" t="s">
        <v>84</v>
      </c>
      <c r="F85" s="168" t="s">
        <v>85</v>
      </c>
      <c r="G85" s="168" t="s">
        <v>257</v>
      </c>
      <c r="H85" s="168"/>
      <c r="I85" s="168"/>
      <c r="J85" s="168"/>
      <c r="K85" s="168"/>
    </row>
    <row r="86" spans="1:11">
      <c r="A86" s="5" t="str">
        <f t="shared" si="5"/>
        <v>12020901</v>
      </c>
      <c r="B86" s="36" t="s">
        <v>217</v>
      </c>
      <c r="C86" s="36" t="s">
        <v>217</v>
      </c>
      <c r="D86" s="176" t="s">
        <v>208</v>
      </c>
      <c r="E86" s="179" t="s">
        <v>82</v>
      </c>
      <c r="F86" s="168" t="s">
        <v>83</v>
      </c>
      <c r="G86" s="168" t="s">
        <v>257</v>
      </c>
      <c r="H86" s="168"/>
      <c r="I86" s="168"/>
      <c r="J86" s="168"/>
      <c r="K86" s="168"/>
    </row>
    <row r="87" spans="1:11">
      <c r="A87" s="5" t="str">
        <f t="shared" si="5"/>
        <v>7102</v>
      </c>
      <c r="B87" s="36" t="s">
        <v>217</v>
      </c>
      <c r="C87" s="36" t="s">
        <v>217</v>
      </c>
      <c r="D87" s="176" t="s">
        <v>209</v>
      </c>
      <c r="E87" s="179" t="s">
        <v>24</v>
      </c>
      <c r="F87" s="168" t="s">
        <v>23</v>
      </c>
      <c r="G87" s="168" t="s">
        <v>257</v>
      </c>
      <c r="H87" s="168"/>
      <c r="I87" s="168"/>
      <c r="J87" s="168"/>
      <c r="K87" s="168"/>
    </row>
    <row r="88" spans="1:11">
      <c r="E88" s="168"/>
      <c r="F88" s="168"/>
      <c r="G88" s="168"/>
      <c r="H88" s="168"/>
      <c r="I88" s="168"/>
      <c r="J88" s="168"/>
      <c r="K88" s="168"/>
    </row>
    <row r="104" spans="1:11">
      <c r="A104" s="63" t="s">
        <v>75</v>
      </c>
      <c r="B104" s="63" t="s">
        <v>75</v>
      </c>
      <c r="C104" s="63" t="s">
        <v>75</v>
      </c>
      <c r="D104" s="63" t="s">
        <v>75</v>
      </c>
      <c r="E104" s="63" t="s">
        <v>75</v>
      </c>
      <c r="F104" s="63" t="s">
        <v>75</v>
      </c>
      <c r="G104" s="63" t="s">
        <v>75</v>
      </c>
      <c r="H104" s="63" t="s">
        <v>75</v>
      </c>
      <c r="I104" s="63" t="s">
        <v>75</v>
      </c>
      <c r="J104" s="63" t="s">
        <v>75</v>
      </c>
      <c r="K104" s="63" t="s">
        <v>75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Y62"/>
  <sheetViews>
    <sheetView tabSelected="1" view="pageBreakPreview" zoomScale="165" zoomScaleNormal="70" zoomScaleSheetLayoutView="110" workbookViewId="0">
      <pane xSplit="3" ySplit="10" topLeftCell="H43" activePane="bottomRight" state="frozen"/>
      <selection pane="topRight" activeCell="E1" sqref="E1"/>
      <selection pane="bottomLeft" activeCell="A11" sqref="A11"/>
      <selection pane="bottomRight" activeCell="H50" sqref="H50"/>
    </sheetView>
  </sheetViews>
  <sheetFormatPr baseColWidth="10" defaultColWidth="8.83203125" defaultRowHeight="13"/>
  <cols>
    <col min="1" max="1" width="12.5" style="91" bestFit="1" customWidth="1"/>
    <col min="2" max="2" width="67.83203125" style="86" bestFit="1" customWidth="1"/>
    <col min="3" max="3" width="1.5" style="13" bestFit="1" customWidth="1"/>
    <col min="4" max="4" width="17.5" style="14" customWidth="1"/>
    <col min="5" max="5" width="14.5" style="14" bestFit="1" customWidth="1"/>
    <col min="6" max="7" width="12.5" style="14" customWidth="1"/>
    <col min="8" max="8" width="49.83203125" style="31" customWidth="1"/>
    <col min="9" max="9" width="8.5" style="14" bestFit="1" customWidth="1"/>
    <col min="10" max="10" width="3.1640625" style="13" bestFit="1" customWidth="1"/>
    <col min="11" max="11" width="8.1640625" style="13" bestFit="1" customWidth="1"/>
    <col min="12" max="12" width="14.5" style="14" bestFit="1" customWidth="1"/>
    <col min="13" max="14" width="12.5" style="14" customWidth="1"/>
    <col min="15" max="15" width="1.5" style="13" bestFit="1" customWidth="1"/>
    <col min="16" max="16" width="12.5" style="14" bestFit="1" customWidth="1"/>
    <col min="17" max="23" width="10" style="14" bestFit="1" customWidth="1"/>
    <col min="24" max="16384" width="8.83203125" style="14"/>
  </cols>
  <sheetData>
    <row r="1" spans="1:25" s="108" customFormat="1" ht="4">
      <c r="A1" s="156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25" ht="24">
      <c r="B2" s="109" t="s">
        <v>211</v>
      </c>
    </row>
    <row r="3" spans="1:25" ht="24">
      <c r="B3" s="110" t="s">
        <v>382</v>
      </c>
      <c r="C3" s="109"/>
      <c r="D3" s="17" t="str">
        <f>IF(ROUND(D61,2)=0,"ok","Check")</f>
        <v>ok</v>
      </c>
      <c r="E3" s="17"/>
      <c r="F3" s="17" t="str">
        <f>IF(ROUND(F61,2)=0,"ok","Check")</f>
        <v>ok</v>
      </c>
      <c r="G3" s="17" t="str">
        <f>IF(ROUND(G61,2)=0,"ok","Check")</f>
        <v>ok</v>
      </c>
      <c r="H3" s="219"/>
      <c r="I3" s="17"/>
      <c r="J3" s="109"/>
      <c r="K3" s="16"/>
      <c r="L3" s="17"/>
      <c r="M3" s="17"/>
      <c r="N3" s="17"/>
      <c r="O3" s="109"/>
    </row>
    <row r="4" spans="1:25" s="27" customFormat="1" ht="8" thickBot="1">
      <c r="A4" s="157"/>
      <c r="B4" s="111"/>
      <c r="C4" s="30"/>
      <c r="H4" s="220"/>
      <c r="J4" s="30"/>
      <c r="K4" s="30"/>
      <c r="O4" s="30"/>
    </row>
    <row r="5" spans="1:25" s="19" customFormat="1" ht="20" thickBot="1">
      <c r="A5" s="158"/>
      <c r="B5" s="112" t="s">
        <v>168</v>
      </c>
      <c r="C5" s="18"/>
      <c r="D5" s="356" t="s">
        <v>330</v>
      </c>
      <c r="E5" s="357"/>
      <c r="F5" s="357"/>
      <c r="G5" s="357"/>
      <c r="H5" s="357"/>
      <c r="I5" s="358"/>
      <c r="J5" s="18"/>
      <c r="K5" s="18"/>
      <c r="L5" s="356" t="s">
        <v>330</v>
      </c>
      <c r="M5" s="357"/>
      <c r="N5" s="358"/>
      <c r="O5" s="18"/>
    </row>
    <row r="6" spans="1:25" ht="17" thickBot="1">
      <c r="B6" s="113"/>
      <c r="C6" s="20"/>
      <c r="D6" s="359"/>
      <c r="E6" s="360"/>
      <c r="F6" s="360"/>
      <c r="G6" s="360"/>
      <c r="H6" s="360"/>
      <c r="I6" s="361"/>
      <c r="J6" s="20"/>
      <c r="K6" s="20"/>
      <c r="L6" s="359"/>
      <c r="M6" s="360"/>
      <c r="N6" s="361"/>
      <c r="O6" s="20"/>
    </row>
    <row r="7" spans="1:25" ht="43" thickBot="1">
      <c r="A7" s="91" t="s">
        <v>204</v>
      </c>
      <c r="B7" s="114" t="s">
        <v>169</v>
      </c>
      <c r="C7" s="16"/>
      <c r="D7" s="164">
        <v>375</v>
      </c>
      <c r="E7" s="21" t="s">
        <v>332</v>
      </c>
      <c r="F7" s="21" t="s">
        <v>333</v>
      </c>
      <c r="G7" s="21" t="s">
        <v>334</v>
      </c>
      <c r="H7" s="165" t="s">
        <v>335</v>
      </c>
      <c r="I7" s="21"/>
      <c r="J7" s="16"/>
      <c r="K7" s="16"/>
      <c r="L7" s="21" t="s">
        <v>331</v>
      </c>
      <c r="M7" s="21" t="s">
        <v>333</v>
      </c>
      <c r="N7" s="21" t="s">
        <v>336</v>
      </c>
      <c r="O7" s="16"/>
    </row>
    <row r="8" spans="1:25" ht="14">
      <c r="A8" s="162"/>
      <c r="B8" s="115" t="s">
        <v>77</v>
      </c>
      <c r="C8" s="24"/>
      <c r="D8" s="23">
        <v>375</v>
      </c>
      <c r="E8" s="23">
        <f>+F8</f>
        <v>302</v>
      </c>
      <c r="F8" s="23">
        <f>+'DELTA LODGE'!J5</f>
        <v>302</v>
      </c>
      <c r="G8" s="197">
        <f t="shared" ref="G8:G9" si="0">+F8/D8</f>
        <v>0.80533333333333335</v>
      </c>
      <c r="H8" s="221"/>
      <c r="I8" s="23"/>
      <c r="J8" s="24"/>
      <c r="K8" s="22"/>
      <c r="L8" s="23">
        <f>+'Budget Comparativo'!D8</f>
        <v>375</v>
      </c>
      <c r="M8" s="23">
        <f>+'Budget Comparativo'!F8</f>
        <v>302</v>
      </c>
      <c r="N8" s="197">
        <f>+M8/L8</f>
        <v>0.80533333333333335</v>
      </c>
      <c r="O8" s="24"/>
    </row>
    <row r="9" spans="1:25" ht="14">
      <c r="B9" s="115" t="s">
        <v>78</v>
      </c>
      <c r="C9" s="24"/>
      <c r="D9" s="23">
        <v>319</v>
      </c>
      <c r="E9" s="23">
        <f>+F9</f>
        <v>189</v>
      </c>
      <c r="F9" s="23">
        <f>+'DELTA LODGE'!G5</f>
        <v>189</v>
      </c>
      <c r="G9" s="197">
        <f t="shared" si="0"/>
        <v>0.59247648902821315</v>
      </c>
      <c r="H9" s="221"/>
      <c r="I9" s="23"/>
      <c r="J9" s="24"/>
      <c r="K9" s="22"/>
      <c r="L9" s="23">
        <f>+'Budget Comparativo'!D9</f>
        <v>319</v>
      </c>
      <c r="M9" s="23">
        <f>+'Budget Comparativo'!F9</f>
        <v>189</v>
      </c>
      <c r="N9" s="197">
        <f>+M9/L9</f>
        <v>0.59247648902821315</v>
      </c>
      <c r="O9" s="24"/>
    </row>
    <row r="10" spans="1:25" ht="15" thickBot="1">
      <c r="B10" s="115" t="s">
        <v>107</v>
      </c>
      <c r="C10" s="24"/>
      <c r="D10" s="23">
        <v>12</v>
      </c>
      <c r="E10" s="23">
        <f>+F10</f>
        <v>9</v>
      </c>
      <c r="F10" s="23">
        <v>9</v>
      </c>
      <c r="G10" s="197">
        <f>+F10/D10</f>
        <v>0.75</v>
      </c>
      <c r="H10" s="221"/>
      <c r="I10" s="197">
        <f>IF(ROUND(F10,0)=0,0,IF(D10=0,0,+F10/D10))</f>
        <v>0.75</v>
      </c>
      <c r="J10" s="24"/>
      <c r="K10" s="22"/>
      <c r="L10" s="23">
        <f>+'Budget Comparativo'!D10</f>
        <v>12</v>
      </c>
      <c r="M10" s="23">
        <f>+'Budget Comparativo'!F10</f>
        <v>9</v>
      </c>
      <c r="N10" s="197">
        <f>+M10/L10</f>
        <v>0.75</v>
      </c>
      <c r="O10" s="24"/>
      <c r="P10" s="14" t="s">
        <v>203</v>
      </c>
    </row>
    <row r="11" spans="1:25" ht="15" thickBot="1">
      <c r="B11" s="116" t="s">
        <v>170</v>
      </c>
      <c r="C11" s="25"/>
      <c r="D11" s="21"/>
      <c r="E11" s="21"/>
      <c r="F11" s="21"/>
      <c r="G11" s="21"/>
      <c r="H11" s="21"/>
      <c r="I11" s="21"/>
      <c r="J11" s="25"/>
      <c r="K11" s="16"/>
      <c r="L11" s="21"/>
      <c r="M11" s="21"/>
      <c r="N11" s="21"/>
      <c r="O11" s="25"/>
      <c r="P11" s="168"/>
      <c r="Q11" s="168"/>
      <c r="R11" s="168"/>
      <c r="S11" s="168"/>
      <c r="T11" s="168"/>
      <c r="U11" s="168"/>
      <c r="V11" s="168"/>
      <c r="W11" s="168"/>
      <c r="X11" s="168"/>
      <c r="Y11" s="168"/>
    </row>
    <row r="12" spans="1:25" s="27" customFormat="1">
      <c r="A12" s="157"/>
      <c r="B12" s="117"/>
      <c r="C12" s="118"/>
      <c r="D12" s="119"/>
      <c r="E12" s="119"/>
      <c r="F12" s="119"/>
      <c r="G12" s="119"/>
      <c r="H12" s="222"/>
      <c r="I12" s="119"/>
      <c r="J12" s="118"/>
      <c r="K12" s="198"/>
      <c r="L12" s="119"/>
      <c r="M12" s="119"/>
      <c r="N12" s="119"/>
      <c r="O12" s="118"/>
      <c r="P12" s="168"/>
      <c r="Q12" s="168"/>
      <c r="R12" s="168"/>
      <c r="S12" s="168"/>
      <c r="T12" s="168"/>
      <c r="U12" s="168"/>
      <c r="V12" s="168"/>
      <c r="W12" s="168"/>
      <c r="X12" s="168"/>
      <c r="Y12" s="168"/>
    </row>
    <row r="13" spans="1:25" ht="14">
      <c r="B13" s="136" t="s">
        <v>171</v>
      </c>
      <c r="C13" s="137"/>
      <c r="D13" s="28"/>
      <c r="E13" s="28"/>
      <c r="F13" s="28"/>
      <c r="G13" s="28"/>
      <c r="H13" s="223"/>
      <c r="I13" s="28"/>
      <c r="J13" s="137"/>
      <c r="K13" s="199"/>
      <c r="L13" s="28"/>
      <c r="M13" s="28"/>
      <c r="N13" s="28"/>
      <c r="O13" s="137"/>
      <c r="P13" s="168"/>
      <c r="Q13" s="168"/>
      <c r="R13" s="168"/>
      <c r="S13" s="168"/>
      <c r="T13" s="168"/>
      <c r="U13" s="168"/>
      <c r="V13" s="168"/>
      <c r="W13" s="168"/>
      <c r="X13" s="168"/>
      <c r="Y13" s="168"/>
    </row>
    <row r="14" spans="1:25" s="122" customFormat="1" ht="14">
      <c r="A14" s="162" t="s">
        <v>79</v>
      </c>
      <c r="B14" s="138" t="s">
        <v>98</v>
      </c>
      <c r="C14" s="120"/>
      <c r="D14" s="121">
        <f>ROUND($D$8*4,0)</f>
        <v>1500</v>
      </c>
      <c r="E14" s="121">
        <f t="shared" ref="E14:E16" si="1">IF(A14="Acumulado",IF(F14&gt;D14,D14,F14),IF(A14="BN",+(D14/$D$8*$E$8),"VER"))</f>
        <v>1208</v>
      </c>
      <c r="F14" s="121">
        <f>-SUMIF(Resumen_Base!$A$7:$A$69,'Budget Comparativo'!B14,Resumen_Base!$AD$7:$AD$69)</f>
        <v>1633</v>
      </c>
      <c r="G14" s="121">
        <f t="shared" ref="G14:G16" si="2">+F14-E14</f>
        <v>425</v>
      </c>
      <c r="H14" s="218" t="s">
        <v>2180</v>
      </c>
      <c r="I14" s="121"/>
      <c r="J14" s="120"/>
      <c r="K14" s="142">
        <f>+SUMIF(Resumen_Base!$A$7:$A$69,'Budget Comparativo'!B14,Resumen_Base!$I$7:$I$69)+F14</f>
        <v>1633</v>
      </c>
      <c r="L14" s="121">
        <f>+'Budget Comparativo'!D14/'Budget Comparativo'!$L$8</f>
        <v>4</v>
      </c>
      <c r="M14" s="121">
        <f>+'Budget Comparativo'!F14/'Budget Comparativo'!$M$8</f>
        <v>5.4072847682119205</v>
      </c>
      <c r="N14" s="121">
        <f>+M14-L14</f>
        <v>1.4072847682119205</v>
      </c>
      <c r="O14" s="120"/>
      <c r="P14" s="168">
        <v>4104</v>
      </c>
      <c r="Q14" s="168"/>
      <c r="R14" s="168"/>
      <c r="S14" s="168"/>
      <c r="T14" s="168"/>
      <c r="U14" s="168"/>
      <c r="V14" s="168"/>
      <c r="W14" s="168"/>
      <c r="X14" s="168"/>
      <c r="Y14" s="168"/>
    </row>
    <row r="15" spans="1:25" s="122" customFormat="1" ht="14">
      <c r="A15" s="162" t="s">
        <v>79</v>
      </c>
      <c r="B15" s="139" t="s">
        <v>172</v>
      </c>
      <c r="C15" s="120"/>
      <c r="D15" s="121">
        <f>ROUND($D$8*0,0)</f>
        <v>0</v>
      </c>
      <c r="E15" s="121">
        <f t="shared" si="1"/>
        <v>0</v>
      </c>
      <c r="F15" s="121">
        <f>-SUMIF(Resumen_Base!$A$7:$A$69,'Budget Comparativo'!B15,Resumen_Base!$AD$7:$AD$69)</f>
        <v>0</v>
      </c>
      <c r="G15" s="121">
        <f t="shared" si="2"/>
        <v>0</v>
      </c>
      <c r="H15" s="218"/>
      <c r="I15" s="121"/>
      <c r="J15" s="120"/>
      <c r="K15" s="142">
        <f>+SUMIF(Resumen_Base!$A$7:$A$69,'Budget Comparativo'!B15,Resumen_Base!$I$7:$I$69)+F15</f>
        <v>0</v>
      </c>
      <c r="L15" s="121">
        <f>+'Budget Comparativo'!D15/'Budget Comparativo'!$L$8</f>
        <v>0</v>
      </c>
      <c r="M15" s="121">
        <f>+'Budget Comparativo'!F15/'Budget Comparativo'!$M$8</f>
        <v>0</v>
      </c>
      <c r="N15" s="121">
        <f>+M15-L15</f>
        <v>0</v>
      </c>
      <c r="O15" s="120"/>
      <c r="P15" s="168">
        <v>4103</v>
      </c>
      <c r="Q15" s="168">
        <v>4110</v>
      </c>
      <c r="R15" s="168">
        <v>4112</v>
      </c>
      <c r="S15" s="168">
        <v>4114</v>
      </c>
      <c r="T15" s="168">
        <v>5285</v>
      </c>
      <c r="U15" s="168">
        <v>5104</v>
      </c>
      <c r="V15" s="168">
        <v>4118</v>
      </c>
      <c r="W15" s="168">
        <v>4129</v>
      </c>
      <c r="X15" s="168">
        <v>5290</v>
      </c>
      <c r="Y15" s="168">
        <v>5103</v>
      </c>
    </row>
    <row r="16" spans="1:25" s="122" customFormat="1" ht="14">
      <c r="A16" s="162" t="s">
        <v>79</v>
      </c>
      <c r="B16" s="123" t="s">
        <v>99</v>
      </c>
      <c r="C16" s="120"/>
      <c r="D16" s="121">
        <v>0</v>
      </c>
      <c r="E16" s="121">
        <f t="shared" si="1"/>
        <v>0</v>
      </c>
      <c r="F16" s="121">
        <f>-SUMIF(Resumen_Base!$A$7:$A$69,'Budget Comparativo'!B16,Resumen_Base!$AD$7:$AD$69)</f>
        <v>0</v>
      </c>
      <c r="G16" s="121">
        <f t="shared" si="2"/>
        <v>0</v>
      </c>
      <c r="H16" s="218"/>
      <c r="I16" s="121"/>
      <c r="J16" s="120"/>
      <c r="L16" s="121">
        <f>+'Budget Comparativo'!D16/'Budget Comparativo'!$L$8</f>
        <v>0</v>
      </c>
      <c r="M16" s="121">
        <f>+'Budget Comparativo'!F16/'Budget Comparativo'!$M$8</f>
        <v>0</v>
      </c>
      <c r="N16" s="121">
        <f>+M16-L16</f>
        <v>0</v>
      </c>
      <c r="O16" s="120"/>
      <c r="P16" s="168">
        <v>4120</v>
      </c>
      <c r="Q16" s="168">
        <v>5286</v>
      </c>
      <c r="R16" s="168">
        <v>5229</v>
      </c>
      <c r="S16" s="168"/>
      <c r="T16" s="168"/>
      <c r="U16" s="168"/>
      <c r="V16" s="168"/>
      <c r="W16" s="168"/>
      <c r="X16" s="168"/>
      <c r="Y16" s="168"/>
    </row>
    <row r="17" spans="1:25" s="129" customFormat="1" ht="14" thickBot="1">
      <c r="A17" s="159"/>
      <c r="B17" s="126" t="s">
        <v>109</v>
      </c>
      <c r="C17" s="127"/>
      <c r="D17" s="128"/>
      <c r="E17" s="128"/>
      <c r="F17" s="128"/>
      <c r="G17" s="128"/>
      <c r="H17" s="224"/>
      <c r="I17" s="128"/>
      <c r="J17" s="127"/>
      <c r="K17" s="200"/>
      <c r="L17" s="128"/>
      <c r="M17" s="128"/>
      <c r="N17" s="128"/>
      <c r="O17" s="127"/>
      <c r="P17" s="168"/>
      <c r="Q17" s="168"/>
      <c r="R17" s="168"/>
      <c r="S17" s="168"/>
      <c r="T17" s="168"/>
      <c r="U17" s="168"/>
      <c r="V17" s="168"/>
      <c r="W17" s="168"/>
      <c r="X17" s="168"/>
      <c r="Y17" s="168"/>
    </row>
    <row r="18" spans="1:25" s="133" customFormat="1" ht="16" thickBot="1">
      <c r="A18" s="160"/>
      <c r="B18" s="130" t="s">
        <v>173</v>
      </c>
      <c r="C18" s="131"/>
      <c r="D18" s="132">
        <f>SUM(D13:D17)</f>
        <v>1500</v>
      </c>
      <c r="E18" s="132">
        <f t="shared" ref="E18:G18" si="3">SUM(E13:E17)</f>
        <v>1208</v>
      </c>
      <c r="F18" s="132">
        <f t="shared" si="3"/>
        <v>1633</v>
      </c>
      <c r="G18" s="132">
        <f t="shared" si="3"/>
        <v>425</v>
      </c>
      <c r="H18" s="225"/>
      <c r="I18" s="132"/>
      <c r="J18" s="131"/>
      <c r="K18" s="201"/>
      <c r="L18" s="132">
        <f>SUM(L13:L17)</f>
        <v>4</v>
      </c>
      <c r="M18" s="132">
        <f>SUM(M13:M17)</f>
        <v>5.4072847682119205</v>
      </c>
      <c r="N18" s="132">
        <f>+M18-L18</f>
        <v>1.4072847682119205</v>
      </c>
      <c r="O18" s="131"/>
      <c r="P18" s="168"/>
      <c r="Q18" s="168"/>
      <c r="R18" s="168"/>
      <c r="S18" s="168"/>
      <c r="T18" s="168"/>
      <c r="U18" s="168"/>
      <c r="V18" s="168"/>
      <c r="W18" s="168"/>
      <c r="X18" s="168"/>
      <c r="Y18" s="168"/>
    </row>
    <row r="19" spans="1:25" s="27" customFormat="1" ht="14" thickBot="1">
      <c r="A19" s="157"/>
      <c r="B19" s="134"/>
      <c r="C19" s="135"/>
      <c r="D19" s="26"/>
      <c r="E19" s="26"/>
      <c r="F19" s="26"/>
      <c r="G19" s="26"/>
      <c r="H19" s="226"/>
      <c r="I19" s="26"/>
      <c r="J19" s="135"/>
      <c r="K19" s="202"/>
      <c r="L19" s="26"/>
      <c r="M19" s="26"/>
      <c r="N19" s="26"/>
      <c r="O19" s="135"/>
      <c r="P19" s="168"/>
      <c r="Q19" s="168"/>
      <c r="R19" s="168"/>
      <c r="S19" s="168"/>
      <c r="T19" s="168"/>
      <c r="U19" s="168"/>
      <c r="V19" s="168"/>
      <c r="W19" s="168"/>
      <c r="X19" s="168"/>
      <c r="Y19" s="168"/>
    </row>
    <row r="20" spans="1:25" ht="15" thickBot="1">
      <c r="B20" s="116" t="s">
        <v>174</v>
      </c>
      <c r="C20" s="25"/>
      <c r="D20" s="21"/>
      <c r="E20" s="21"/>
      <c r="F20" s="21"/>
      <c r="G20" s="21"/>
      <c r="H20" s="21"/>
      <c r="I20" s="21"/>
      <c r="J20" s="25"/>
      <c r="K20" s="16"/>
      <c r="L20" s="21"/>
      <c r="M20" s="21"/>
      <c r="N20" s="21"/>
      <c r="O20" s="25"/>
      <c r="P20" s="168"/>
      <c r="Q20" s="168"/>
      <c r="R20" s="168"/>
      <c r="S20" s="168"/>
      <c r="T20" s="168"/>
      <c r="U20" s="168"/>
      <c r="V20" s="168"/>
      <c r="W20" s="168"/>
      <c r="X20" s="168"/>
      <c r="Y20" s="168"/>
    </row>
    <row r="21" spans="1:25" s="27" customFormat="1">
      <c r="A21" s="157"/>
      <c r="B21" s="134"/>
      <c r="C21" s="135"/>
      <c r="D21" s="26"/>
      <c r="E21" s="26"/>
      <c r="F21" s="26"/>
      <c r="G21" s="26"/>
      <c r="H21" s="226"/>
      <c r="I21" s="26"/>
      <c r="J21" s="135"/>
      <c r="K21" s="202"/>
      <c r="L21" s="26"/>
      <c r="M21" s="26"/>
      <c r="N21" s="26"/>
      <c r="O21" s="135"/>
      <c r="P21" s="168"/>
      <c r="Q21" s="168"/>
      <c r="R21" s="168"/>
      <c r="S21" s="168"/>
      <c r="T21" s="168"/>
      <c r="U21" s="168"/>
      <c r="V21" s="168"/>
      <c r="W21" s="168"/>
      <c r="X21" s="168"/>
      <c r="Y21" s="168"/>
    </row>
    <row r="22" spans="1:25" ht="14">
      <c r="B22" s="136" t="s">
        <v>175</v>
      </c>
      <c r="C22" s="140"/>
      <c r="D22" s="28"/>
      <c r="E22" s="28"/>
      <c r="F22" s="28"/>
      <c r="G22" s="28"/>
      <c r="H22" s="223"/>
      <c r="I22" s="28"/>
      <c r="J22" s="140"/>
      <c r="K22" s="33"/>
      <c r="L22" s="28"/>
      <c r="M22" s="28"/>
      <c r="N22" s="28"/>
      <c r="O22" s="140"/>
      <c r="P22" s="168"/>
      <c r="Q22" s="168"/>
      <c r="R22" s="168"/>
      <c r="S22" s="168"/>
      <c r="T22" s="168"/>
      <c r="U22" s="168"/>
      <c r="V22" s="168"/>
      <c r="W22" s="168"/>
      <c r="X22" s="168"/>
      <c r="Y22" s="168"/>
    </row>
    <row r="23" spans="1:25" s="145" customFormat="1" ht="17">
      <c r="A23" s="161"/>
      <c r="B23" s="191" t="s">
        <v>176</v>
      </c>
      <c r="C23" s="143"/>
      <c r="D23" s="144">
        <f>+SUM(D24:D26)</f>
        <v>2200</v>
      </c>
      <c r="E23" s="144">
        <f t="shared" ref="E23:G23" si="4">+SUM(E24:E26)</f>
        <v>2200</v>
      </c>
      <c r="F23" s="144">
        <f t="shared" si="4"/>
        <v>2650.712896587238</v>
      </c>
      <c r="G23" s="144">
        <f t="shared" si="4"/>
        <v>-450.71289658723799</v>
      </c>
      <c r="H23" s="218"/>
      <c r="I23" s="144"/>
      <c r="J23" s="143"/>
      <c r="K23" s="203"/>
      <c r="L23" s="144">
        <f>+'Budget Comparativo'!D23/'Budget Comparativo'!$L$8</f>
        <v>5.8666666666666663</v>
      </c>
      <c r="M23" s="144">
        <f>+'Budget Comparativo'!F23/'Budget Comparativo'!$M$8</f>
        <v>8.7771950218120462</v>
      </c>
      <c r="N23" s="144">
        <f t="shared" ref="N23:N50" si="5">+L23-M23</f>
        <v>-2.91052835514538</v>
      </c>
      <c r="O23" s="143"/>
      <c r="P23" s="168"/>
      <c r="Q23" s="168"/>
      <c r="R23" s="168"/>
      <c r="S23" s="168"/>
      <c r="T23" s="168"/>
      <c r="U23" s="168"/>
      <c r="V23" s="168"/>
      <c r="W23" s="168"/>
      <c r="X23" s="168"/>
      <c r="Y23" s="168"/>
    </row>
    <row r="24" spans="1:25" s="142" customFormat="1" ht="56">
      <c r="A24" s="162" t="s">
        <v>205</v>
      </c>
      <c r="B24" s="146" t="s">
        <v>177</v>
      </c>
      <c r="C24" s="147"/>
      <c r="D24" s="121">
        <v>2200</v>
      </c>
      <c r="E24" s="121">
        <f t="shared" ref="E24:E49" si="6">IF(A24="Acumulado",IF(F24&gt;D24,D24,F24),IF(A24="BN",+(D24/$D$8*$E$8),"VER"))</f>
        <v>2200</v>
      </c>
      <c r="F24" s="121">
        <f>+SUMIF(Resumen_Base!$A$7:$A$69,'Budget Comparativo'!B24,Resumen_Base!$AD$7:$AD$69)</f>
        <v>2650.712896587238</v>
      </c>
      <c r="G24" s="121">
        <f>+E24-F24</f>
        <v>-450.71289658723799</v>
      </c>
      <c r="H24" s="347" t="s">
        <v>2181</v>
      </c>
      <c r="I24" s="206">
        <f>IF(ROUND(F24,0)=0,0,IF(D24=0,0,+F24/D24))</f>
        <v>1.2048694984487445</v>
      </c>
      <c r="J24" s="147"/>
      <c r="K24" s="142">
        <f>+SUMIF(Resumen_Base!$A$7:$A$69,'Budget Comparativo'!B24,Resumen_Base!$I$7:$I$69)-F24</f>
        <v>-1331.0414729847937</v>
      </c>
      <c r="L24" s="121">
        <f>+'Budget Comparativo'!D24/'Budget Comparativo'!$L$8</f>
        <v>5.8666666666666663</v>
      </c>
      <c r="M24" s="121">
        <f>+'Budget Comparativo'!F24/'Budget Comparativo'!$M$8</f>
        <v>8.7771950218120462</v>
      </c>
      <c r="N24" s="121">
        <f t="shared" si="5"/>
        <v>-2.91052835514538</v>
      </c>
      <c r="O24" s="147"/>
      <c r="P24" s="168">
        <v>5208</v>
      </c>
      <c r="Q24" s="168"/>
      <c r="R24" s="168"/>
      <c r="S24" s="168"/>
      <c r="T24" s="168"/>
      <c r="U24" s="168"/>
      <c r="V24" s="168"/>
      <c r="W24" s="168"/>
      <c r="X24" s="168"/>
      <c r="Y24" s="168"/>
    </row>
    <row r="25" spans="1:25" s="142" customFormat="1" ht="14">
      <c r="A25" s="162" t="s">
        <v>205</v>
      </c>
      <c r="B25" s="146" t="s">
        <v>178</v>
      </c>
      <c r="C25" s="147"/>
      <c r="D25" s="121">
        <v>0</v>
      </c>
      <c r="E25" s="121">
        <f t="shared" si="6"/>
        <v>0</v>
      </c>
      <c r="F25" s="121">
        <f>+SUMIF(Resumen_Base!$A$7:$A$69,'Budget Comparativo'!B25,Resumen_Base!$AD$7:$AD$69)</f>
        <v>0</v>
      </c>
      <c r="G25" s="121">
        <f t="shared" ref="G25:G49" si="7">+E25-F25</f>
        <v>0</v>
      </c>
      <c r="H25" s="223"/>
      <c r="I25" s="206">
        <f>IF(ROUND(F25,0)=0,0,+F25/D25)</f>
        <v>0</v>
      </c>
      <c r="J25" s="147"/>
      <c r="K25" s="142">
        <f>+SUMIF(Resumen_Base!$A$7:$A$69,'Budget Comparativo'!B25,Resumen_Base!$I$7:$I$69)-F25</f>
        <v>0</v>
      </c>
      <c r="L25" s="121">
        <f>+'Budget Comparativo'!D25/'Budget Comparativo'!$L$8</f>
        <v>0</v>
      </c>
      <c r="M25" s="121">
        <f>+'Budget Comparativo'!F25/'Budget Comparativo'!$M$8</f>
        <v>0</v>
      </c>
      <c r="N25" s="121">
        <f t="shared" si="5"/>
        <v>0</v>
      </c>
      <c r="O25" s="147"/>
      <c r="P25" s="168">
        <v>5207</v>
      </c>
      <c r="Q25" s="168">
        <v>5283</v>
      </c>
      <c r="R25" s="168"/>
      <c r="S25" s="168"/>
      <c r="T25" s="168"/>
      <c r="U25" s="168"/>
      <c r="V25" s="168"/>
      <c r="W25" s="168"/>
      <c r="X25" s="168"/>
      <c r="Y25" s="168"/>
    </row>
    <row r="26" spans="1:25" s="142" customFormat="1" ht="14">
      <c r="A26" s="162" t="s">
        <v>205</v>
      </c>
      <c r="B26" s="146" t="s">
        <v>179</v>
      </c>
      <c r="C26" s="147"/>
      <c r="D26" s="121">
        <v>0</v>
      </c>
      <c r="E26" s="121">
        <f t="shared" si="6"/>
        <v>0</v>
      </c>
      <c r="F26" s="121">
        <f>+SUMIF(Resumen_Base!$A$7:$A$69,'Budget Comparativo'!B26,Resumen_Base!$AD$7:$AD$69)</f>
        <v>0</v>
      </c>
      <c r="G26" s="121">
        <f t="shared" si="7"/>
        <v>0</v>
      </c>
      <c r="H26" s="223"/>
      <c r="I26" s="206">
        <f t="shared" ref="I26:I31" si="8">IF(ROUND(F26,0)=0,0,IF(D26=0,0,+F26/D26))</f>
        <v>0</v>
      </c>
      <c r="J26" s="147"/>
      <c r="K26" s="142">
        <f>+SUMIF(Resumen_Base!$A$7:$A$69,'Budget Comparativo'!B26,Resumen_Base!$I$7:$I$69)-F26</f>
        <v>0</v>
      </c>
      <c r="L26" s="121">
        <f>+'Budget Comparativo'!D26/'Budget Comparativo'!$L$8</f>
        <v>0</v>
      </c>
      <c r="M26" s="121">
        <f>+'Budget Comparativo'!F26/'Budget Comparativo'!$M$8</f>
        <v>0</v>
      </c>
      <c r="N26" s="121">
        <f t="shared" si="5"/>
        <v>0</v>
      </c>
      <c r="O26" s="147"/>
      <c r="P26" s="168">
        <v>5284</v>
      </c>
      <c r="Q26" s="168">
        <v>5258</v>
      </c>
      <c r="R26" s="168"/>
      <c r="S26" s="168"/>
      <c r="T26" s="168"/>
      <c r="U26" s="168"/>
      <c r="V26" s="168"/>
      <c r="W26" s="168"/>
      <c r="X26" s="168"/>
      <c r="Y26" s="168"/>
    </row>
    <row r="27" spans="1:25" s="149" customFormat="1" ht="16">
      <c r="A27" s="163"/>
      <c r="B27" s="190" t="s">
        <v>180</v>
      </c>
      <c r="C27" s="148"/>
      <c r="D27" s="144">
        <f t="shared" ref="D27:G27" si="9">+SUM(D28:D31)</f>
        <v>106218</v>
      </c>
      <c r="E27" s="144">
        <f t="shared" si="9"/>
        <v>93685.206187813208</v>
      </c>
      <c r="F27" s="144">
        <f t="shared" si="9"/>
        <v>95253.42002489265</v>
      </c>
      <c r="G27" s="144">
        <f t="shared" si="9"/>
        <v>-1568.2138370794419</v>
      </c>
      <c r="H27" s="223"/>
      <c r="I27" s="206">
        <f t="shared" si="8"/>
        <v>0.89677286359084762</v>
      </c>
      <c r="J27" s="148"/>
      <c r="K27" s="142"/>
      <c r="L27" s="144">
        <f>+'Budget Comparativo'!D27/'Budget Comparativo'!$L$8</f>
        <v>283.24799999999999</v>
      </c>
      <c r="M27" s="144">
        <f>+'Budget Comparativo'!F27/'Budget Comparativo'!$M$8</f>
        <v>315.40867557911474</v>
      </c>
      <c r="N27" s="144">
        <f t="shared" si="5"/>
        <v>-32.160675579114752</v>
      </c>
      <c r="O27" s="148"/>
      <c r="P27" s="168"/>
      <c r="Q27" s="168"/>
      <c r="R27" s="168"/>
      <c r="S27" s="168"/>
      <c r="T27" s="168"/>
      <c r="U27" s="168"/>
      <c r="V27" s="168"/>
      <c r="W27" s="168"/>
      <c r="X27" s="168"/>
      <c r="Y27" s="168"/>
    </row>
    <row r="28" spans="1:25" s="142" customFormat="1" ht="14">
      <c r="A28" s="162" t="s">
        <v>205</v>
      </c>
      <c r="B28" s="146" t="s">
        <v>181</v>
      </c>
      <c r="C28" s="147"/>
      <c r="D28" s="121">
        <v>17638</v>
      </c>
      <c r="E28" s="121">
        <f t="shared" si="6"/>
        <v>15138.339521146538</v>
      </c>
      <c r="F28" s="121">
        <f>+SUMIF(Resumen_Base!$A$7:$A$69,'Budget Comparativo'!B28,Resumen_Base!$AD$7:$AD$69)</f>
        <v>15138.339521146538</v>
      </c>
      <c r="G28" s="121">
        <f t="shared" si="7"/>
        <v>0</v>
      </c>
      <c r="H28" s="223" t="s">
        <v>2183</v>
      </c>
      <c r="I28" s="206">
        <f t="shared" si="8"/>
        <v>0.85827982317419993</v>
      </c>
      <c r="J28" s="147"/>
      <c r="K28" s="142">
        <f>+SUMIF(Resumen_Base!$A$7:$A$69,'Budget Comparativo'!B28,Resumen_Base!$I$7:$I$69)-F28</f>
        <v>-10786.539521146537</v>
      </c>
      <c r="L28" s="121">
        <f>+'Budget Comparativo'!D28/'Budget Comparativo'!$L$8</f>
        <v>47.034666666666666</v>
      </c>
      <c r="M28" s="121">
        <f>+'Budget Comparativo'!F28/'Budget Comparativo'!$M$8</f>
        <v>50.126952056776616</v>
      </c>
      <c r="N28" s="121">
        <f t="shared" si="5"/>
        <v>-3.0922853901099501</v>
      </c>
      <c r="O28" s="147"/>
      <c r="P28" s="168">
        <v>5228</v>
      </c>
      <c r="Q28" s="168"/>
      <c r="R28" s="168"/>
      <c r="S28" s="168"/>
      <c r="T28" s="168"/>
      <c r="U28" s="168"/>
      <c r="V28" s="168"/>
      <c r="W28" s="168"/>
      <c r="X28" s="168"/>
      <c r="Y28" s="168"/>
    </row>
    <row r="29" spans="1:25" s="142" customFormat="1" ht="28">
      <c r="A29" s="162" t="s">
        <v>205</v>
      </c>
      <c r="B29" s="146" t="s">
        <v>182</v>
      </c>
      <c r="C29" s="147"/>
      <c r="D29" s="121">
        <v>47600</v>
      </c>
      <c r="E29" s="121">
        <f>+E8*$L$29</f>
        <v>38333.866666666669</v>
      </c>
      <c r="F29" s="121">
        <f>+SUMIF(Resumen_Base!$A$7:$A$69,'Budget Comparativo'!B29,Resumen_Base!$AD$7:$AD$69)</f>
        <v>39511.126760563377</v>
      </c>
      <c r="G29" s="121">
        <f t="shared" si="7"/>
        <v>-1177.260093896708</v>
      </c>
      <c r="H29" s="223" t="s">
        <v>2402</v>
      </c>
      <c r="I29" s="206">
        <f t="shared" si="8"/>
        <v>0.83006568824712978</v>
      </c>
      <c r="J29" s="147"/>
      <c r="K29" s="142">
        <f>+SUMIF(Resumen_Base!$A$7:$A$69,'Budget Comparativo'!B29,Resumen_Base!$I$7:$I$69)-F29</f>
        <v>-27931.126760563377</v>
      </c>
      <c r="L29" s="121">
        <f>+'Budget Comparativo'!D29/'Budget Comparativo'!$L$8</f>
        <v>126.93333333333334</v>
      </c>
      <c r="M29" s="121">
        <f>+'Budget Comparativo'!F29/'Budget Comparativo'!$M$8</f>
        <v>130.83154556477939</v>
      </c>
      <c r="N29" s="121">
        <f t="shared" si="5"/>
        <v>-3.8982122314460526</v>
      </c>
      <c r="O29" s="147"/>
      <c r="P29" s="168">
        <v>5227</v>
      </c>
      <c r="Q29" s="168">
        <v>5280</v>
      </c>
      <c r="R29" s="168"/>
      <c r="S29" s="168"/>
      <c r="T29" s="168"/>
      <c r="U29" s="168"/>
      <c r="V29" s="168"/>
      <c r="W29" s="168"/>
      <c r="X29" s="168"/>
      <c r="Y29" s="168"/>
    </row>
    <row r="30" spans="1:25" s="142" customFormat="1" ht="14">
      <c r="A30" s="162" t="s">
        <v>205</v>
      </c>
      <c r="B30" s="146" t="s">
        <v>183</v>
      </c>
      <c r="C30" s="147"/>
      <c r="D30" s="121">
        <v>34152</v>
      </c>
      <c r="E30" s="121">
        <f t="shared" si="6"/>
        <v>34152</v>
      </c>
      <c r="F30" s="121">
        <f>+SUMIF(Resumen_Base!$A$7:$A$69,'Budget Comparativo'!B30,Resumen_Base!$AD$7:$AD$69)</f>
        <v>34542.953743182734</v>
      </c>
      <c r="G30" s="121">
        <f t="shared" si="7"/>
        <v>-390.95374318273389</v>
      </c>
      <c r="H30" s="223" t="s">
        <v>2182</v>
      </c>
      <c r="I30" s="206">
        <f t="shared" si="8"/>
        <v>1.0114474626136898</v>
      </c>
      <c r="J30" s="147"/>
      <c r="K30" s="142">
        <f>+SUMIF(Resumen_Base!$A$7:$A$69,'Budget Comparativo'!B30,Resumen_Base!$I$7:$I$69)-F30</f>
        <v>-25004.904645121245</v>
      </c>
      <c r="L30" s="121">
        <f>+'Budget Comparativo'!D30/'Budget Comparativo'!$L$8</f>
        <v>91.072000000000003</v>
      </c>
      <c r="M30" s="121">
        <f>+'Budget Comparativo'!F30/'Budget Comparativo'!$M$8</f>
        <v>114.38064153371766</v>
      </c>
      <c r="N30" s="121">
        <f t="shared" si="5"/>
        <v>-23.308641533717662</v>
      </c>
      <c r="O30" s="147"/>
      <c r="P30" s="168">
        <v>5226</v>
      </c>
      <c r="Q30" s="168">
        <v>5281</v>
      </c>
      <c r="R30" s="168"/>
      <c r="S30" s="168"/>
      <c r="T30" s="168"/>
      <c r="U30" s="168"/>
      <c r="V30" s="168"/>
      <c r="W30" s="168"/>
      <c r="X30" s="168"/>
      <c r="Y30" s="168"/>
    </row>
    <row r="31" spans="1:25" s="142" customFormat="1" ht="14">
      <c r="A31" s="162" t="s">
        <v>205</v>
      </c>
      <c r="B31" s="146" t="s">
        <v>184</v>
      </c>
      <c r="C31" s="147"/>
      <c r="D31" s="121">
        <v>6828</v>
      </c>
      <c r="E31" s="121">
        <f t="shared" si="6"/>
        <v>6061</v>
      </c>
      <c r="F31" s="121">
        <f>+SUMIF(Resumen_Base!$A$7:$A$69,'Budget Comparativo'!B31,Resumen_Base!$AD$7:$AD$69)</f>
        <v>6061</v>
      </c>
      <c r="G31" s="121">
        <f t="shared" si="7"/>
        <v>0</v>
      </c>
      <c r="H31" s="223" t="s">
        <v>2830</v>
      </c>
      <c r="I31" s="206">
        <f t="shared" si="8"/>
        <v>0.88766842413591096</v>
      </c>
      <c r="J31" s="147"/>
      <c r="K31" s="142">
        <f>+SUMIF(Resumen_Base!$A$7:$A$69,'Budget Comparativo'!B31,Resumen_Base!$I$7:$I$69)-F31</f>
        <v>-4758</v>
      </c>
      <c r="L31" s="121">
        <f>+'Budget Comparativo'!D31/'Budget Comparativo'!$L$8</f>
        <v>18.207999999999998</v>
      </c>
      <c r="M31" s="121">
        <f>+'Budget Comparativo'!F31/'Budget Comparativo'!$M$8</f>
        <v>20.069536423841061</v>
      </c>
      <c r="N31" s="121">
        <f t="shared" si="5"/>
        <v>-1.8615364238410628</v>
      </c>
      <c r="O31" s="147"/>
      <c r="P31" s="168">
        <v>5235</v>
      </c>
      <c r="Q31" s="168">
        <v>5236</v>
      </c>
      <c r="R31" s="168">
        <v>5237</v>
      </c>
      <c r="S31" s="168"/>
      <c r="T31" s="168"/>
      <c r="U31" s="168"/>
      <c r="V31" s="168"/>
      <c r="W31" s="168"/>
      <c r="X31" s="168"/>
      <c r="Y31" s="168"/>
    </row>
    <row r="32" spans="1:25" s="122" customFormat="1" ht="14">
      <c r="A32" s="162" t="s">
        <v>79</v>
      </c>
      <c r="B32" s="139" t="s">
        <v>185</v>
      </c>
      <c r="C32" s="120"/>
      <c r="D32" s="121">
        <v>0</v>
      </c>
      <c r="E32" s="121">
        <f t="shared" si="6"/>
        <v>0</v>
      </c>
      <c r="F32" s="121"/>
      <c r="G32" s="121">
        <f t="shared" si="7"/>
        <v>0</v>
      </c>
      <c r="H32" s="223"/>
      <c r="I32" s="121"/>
      <c r="J32" s="120"/>
      <c r="K32" s="142">
        <f>+SUMIF(Resumen_Base!$A$7:$A$69,'Budget Comparativo'!B32,Resumen_Base!$I$7:$I$69)-F32</f>
        <v>0</v>
      </c>
      <c r="L32" s="121">
        <f>+'Budget Comparativo'!D32/'Budget Comparativo'!$L$8</f>
        <v>0</v>
      </c>
      <c r="M32" s="121">
        <f>+'Budget Comparativo'!F32/'Budget Comparativo'!$M$8</f>
        <v>0</v>
      </c>
      <c r="N32" s="121">
        <f t="shared" si="5"/>
        <v>0</v>
      </c>
      <c r="O32" s="120"/>
      <c r="P32" s="168"/>
      <c r="Q32" s="168"/>
      <c r="R32" s="168"/>
      <c r="S32" s="168"/>
      <c r="T32" s="168"/>
      <c r="U32" s="168"/>
      <c r="V32" s="168"/>
      <c r="W32" s="168"/>
      <c r="X32" s="168"/>
      <c r="Y32" s="168"/>
    </row>
    <row r="33" spans="1:25" s="142" customFormat="1" ht="90" customHeight="1">
      <c r="A33" s="162" t="s">
        <v>79</v>
      </c>
      <c r="B33" s="124" t="s">
        <v>186</v>
      </c>
      <c r="C33" s="120"/>
      <c r="D33" s="121">
        <f>+$D$8*100</f>
        <v>37500</v>
      </c>
      <c r="E33" s="121">
        <f t="shared" si="6"/>
        <v>30200</v>
      </c>
      <c r="F33" s="121">
        <f>+SUMIF(Resumen_Base!$A$7:$A$69,'Budget Comparativo'!B33,Resumen_Base!$AD$7:$AD$69)+'Stock - Deudas'!$F$6</f>
        <v>28078.79157879925</v>
      </c>
      <c r="G33" s="121">
        <f t="shared" si="7"/>
        <v>2121.2084212007503</v>
      </c>
      <c r="H33" s="223" t="s">
        <v>2658</v>
      </c>
      <c r="I33" s="121"/>
      <c r="J33" s="120"/>
      <c r="K33" s="142">
        <f>+SUMIF(Resumen_Base!$A$7:$A$69,'Budget Comparativo'!B33,Resumen_Base!$I$7:$I$69)-F33+'Stock - Deudas'!F6</f>
        <v>-21886.246584883364</v>
      </c>
      <c r="L33" s="121">
        <f>+'Budget Comparativo'!D33/'Budget Comparativo'!$L$8</f>
        <v>100</v>
      </c>
      <c r="M33" s="121">
        <f>+'Budget Comparativo'!F33/'Budget Comparativo'!$M$8</f>
        <v>92.976131055626652</v>
      </c>
      <c r="N33" s="121">
        <f t="shared" si="5"/>
        <v>7.0238689443733477</v>
      </c>
      <c r="O33" s="120"/>
      <c r="P33" s="168">
        <v>5250</v>
      </c>
      <c r="Q33" s="168">
        <v>5251</v>
      </c>
      <c r="R33" s="168">
        <v>5213</v>
      </c>
      <c r="S33" s="168">
        <v>5291</v>
      </c>
      <c r="T33" s="168">
        <v>5289</v>
      </c>
      <c r="U33" s="168"/>
      <c r="V33" s="168"/>
      <c r="W33" s="168"/>
      <c r="X33" s="168"/>
      <c r="Y33" s="168"/>
    </row>
    <row r="34" spans="1:25" s="149" customFormat="1" ht="16">
      <c r="A34" s="163"/>
      <c r="B34" s="190" t="s">
        <v>187</v>
      </c>
      <c r="C34" s="148"/>
      <c r="D34" s="144">
        <f t="shared" ref="D34:G34" si="10">+SUM(D35:D37)</f>
        <v>13801</v>
      </c>
      <c r="E34" s="144">
        <f t="shared" si="10"/>
        <v>11114.405333333334</v>
      </c>
      <c r="F34" s="144">
        <f t="shared" si="10"/>
        <v>13725.388251676752</v>
      </c>
      <c r="G34" s="144">
        <f t="shared" si="10"/>
        <v>-2610.9829183434176</v>
      </c>
      <c r="H34" s="223"/>
      <c r="I34" s="144"/>
      <c r="J34" s="148"/>
      <c r="K34" s="142"/>
      <c r="L34" s="144">
        <f>+'Budget Comparativo'!D34/'Budget Comparativo'!$L$8</f>
        <v>36.802666666666667</v>
      </c>
      <c r="M34" s="144">
        <f>+'Budget Comparativo'!F34/'Budget Comparativo'!$M$8</f>
        <v>45.448305469128314</v>
      </c>
      <c r="N34" s="144">
        <f t="shared" si="5"/>
        <v>-8.6456388024616473</v>
      </c>
      <c r="O34" s="148"/>
      <c r="P34" s="168"/>
      <c r="Q34" s="168"/>
      <c r="R34" s="168"/>
      <c r="S34" s="168"/>
      <c r="T34" s="168"/>
      <c r="U34" s="168"/>
      <c r="V34" s="168"/>
      <c r="W34" s="168"/>
      <c r="X34" s="168"/>
      <c r="Y34" s="168"/>
    </row>
    <row r="35" spans="1:25" s="15" customFormat="1" ht="41.5" customHeight="1">
      <c r="A35" s="162" t="s">
        <v>79</v>
      </c>
      <c r="B35" s="150" t="s">
        <v>188</v>
      </c>
      <c r="C35" s="151"/>
      <c r="D35" s="121">
        <v>3000</v>
      </c>
      <c r="E35" s="121">
        <f t="shared" si="6"/>
        <v>2416</v>
      </c>
      <c r="F35" s="121">
        <f>+SUMIF(Resumen_Base!$A$7:$A$69,'Budget Comparativo'!B35,Resumen_Base!$AD$7:$AD$69)+'Stock - Deudas'!$F$8</f>
        <v>1608.9830266142112</v>
      </c>
      <c r="G35" s="121">
        <f t="shared" si="7"/>
        <v>807.01697338578879</v>
      </c>
      <c r="H35" s="348" t="s">
        <v>168</v>
      </c>
      <c r="I35" s="121"/>
      <c r="J35" s="151"/>
      <c r="K35" s="142">
        <f>+SUMIF(Resumen_Base!$A$7:$A$69,'Budget Comparativo'!B35,Resumen_Base!$I$7:$I$69)-F35+'Stock - Deudas'!F8</f>
        <v>-1461.1489911754959</v>
      </c>
      <c r="L35" s="121">
        <f>+'Budget Comparativo'!D35/'Budget Comparativo'!$L$8</f>
        <v>8</v>
      </c>
      <c r="M35" s="121">
        <f>+'Budget Comparativo'!F35/'Budget Comparativo'!$M$8</f>
        <v>5.3277583662722225</v>
      </c>
      <c r="N35" s="121">
        <f t="shared" si="5"/>
        <v>2.6722416337277775</v>
      </c>
      <c r="O35" s="151"/>
      <c r="P35" s="168">
        <v>5247</v>
      </c>
      <c r="Q35" s="168">
        <v>5259</v>
      </c>
      <c r="R35" s="168"/>
      <c r="S35" s="168"/>
      <c r="T35" s="168"/>
      <c r="U35" s="168"/>
      <c r="V35" s="168"/>
      <c r="W35" s="168"/>
      <c r="X35" s="168"/>
      <c r="Y35" s="168"/>
    </row>
    <row r="36" spans="1:25" s="15" customFormat="1" ht="118" customHeight="1">
      <c r="A36" s="162" t="s">
        <v>79</v>
      </c>
      <c r="B36" s="150" t="s">
        <v>189</v>
      </c>
      <c r="C36" s="151"/>
      <c r="D36" s="121">
        <v>9801</v>
      </c>
      <c r="E36" s="121">
        <f t="shared" si="6"/>
        <v>7893.0720000000001</v>
      </c>
      <c r="F36" s="121">
        <f>+SUMIF(Resumen_Base!$A$7:$A$69,'Budget Comparativo'!B36,Resumen_Base!$AD$7:$AD$69)+'Stock - Deudas'!$F$10</f>
        <v>9970.2873625630491</v>
      </c>
      <c r="G36" s="121">
        <f t="shared" si="7"/>
        <v>-2077.215362563049</v>
      </c>
      <c r="H36" s="347" t="s">
        <v>2831</v>
      </c>
      <c r="I36" s="121"/>
      <c r="J36" s="151"/>
      <c r="K36" s="142">
        <f>+SUMIF(Resumen_Base!$A$7:$A$69,'Budget Comparativo'!B36,Resumen_Base!$I$7:$I$69)-F36</f>
        <v>-7770.657633380647</v>
      </c>
      <c r="L36" s="121">
        <f>+'Budget Comparativo'!D36/'Budget Comparativo'!$L$8</f>
        <v>26.135999999999999</v>
      </c>
      <c r="M36" s="121">
        <f>+'Budget Comparativo'!F36/'Budget Comparativo'!$M$8</f>
        <v>33.01419656477831</v>
      </c>
      <c r="N36" s="121">
        <f t="shared" si="5"/>
        <v>-6.8781965647783103</v>
      </c>
      <c r="O36" s="151"/>
      <c r="P36" s="168">
        <v>5248</v>
      </c>
      <c r="Q36" s="168">
        <v>5288</v>
      </c>
      <c r="R36" s="168"/>
      <c r="S36" s="168"/>
      <c r="T36" s="168"/>
      <c r="U36" s="168"/>
      <c r="V36" s="168"/>
      <c r="W36" s="168"/>
      <c r="X36" s="168"/>
      <c r="Y36" s="168"/>
    </row>
    <row r="37" spans="1:25" s="15" customFormat="1" ht="50" customHeight="1">
      <c r="A37" s="162" t="s">
        <v>79</v>
      </c>
      <c r="B37" s="150" t="s">
        <v>190</v>
      </c>
      <c r="C37" s="151"/>
      <c r="D37" s="121">
        <v>1000</v>
      </c>
      <c r="E37" s="121">
        <f t="shared" si="6"/>
        <v>805.33333333333326</v>
      </c>
      <c r="F37" s="121">
        <f>+SUMIF(Resumen_Base!$A$7:$A$69,'Budget Comparativo'!B37,Resumen_Base!$AD$7:$AD$69)</f>
        <v>2146.1178624994909</v>
      </c>
      <c r="G37" s="121">
        <f t="shared" si="7"/>
        <v>-1340.7845291661577</v>
      </c>
      <c r="H37" s="347" t="s">
        <v>2184</v>
      </c>
      <c r="I37" s="121"/>
      <c r="J37" s="151"/>
      <c r="K37" s="142">
        <f>+SUMIF(Resumen_Base!$A$7:$A$69,'Budget Comparativo'!B37,Resumen_Base!$I$7:$I$69)-F37</f>
        <v>-1478.7835291461497</v>
      </c>
      <c r="L37" s="121">
        <f>+'Budget Comparativo'!D37/'Budget Comparativo'!$L$8</f>
        <v>2.6666666666666665</v>
      </c>
      <c r="M37" s="121">
        <f>+'Budget Comparativo'!F37/'Budget Comparativo'!$M$8</f>
        <v>7.1063505380777841</v>
      </c>
      <c r="N37" s="121">
        <f t="shared" si="5"/>
        <v>-4.439683871411118</v>
      </c>
      <c r="O37" s="151"/>
      <c r="P37" s="168">
        <v>5249</v>
      </c>
      <c r="Q37" s="168"/>
      <c r="R37" s="168"/>
      <c r="S37" s="168"/>
      <c r="T37" s="168"/>
      <c r="U37" s="168"/>
      <c r="V37" s="168"/>
      <c r="W37" s="168"/>
      <c r="X37" s="168"/>
      <c r="Y37" s="168"/>
    </row>
    <row r="38" spans="1:25" s="142" customFormat="1" ht="114" customHeight="1">
      <c r="A38" s="162" t="s">
        <v>205</v>
      </c>
      <c r="B38" s="125" t="s">
        <v>191</v>
      </c>
      <c r="C38" s="120"/>
      <c r="D38" s="121">
        <v>0</v>
      </c>
      <c r="E38" s="121">
        <f t="shared" si="6"/>
        <v>0</v>
      </c>
      <c r="F38" s="121">
        <f>+SUMIF(Resumen_Base!$A$7:$A$69,'Budget Comparativo'!B38,Resumen_Base!$AD$7:$AD$69)</f>
        <v>0</v>
      </c>
      <c r="G38" s="121">
        <f t="shared" si="7"/>
        <v>0</v>
      </c>
      <c r="H38" s="223"/>
      <c r="I38" s="206">
        <f>IF(ROUND(F38,0)=0,0,IF(D38=0,0,+F38/D38))</f>
        <v>0</v>
      </c>
      <c r="J38" s="120"/>
      <c r="K38" s="142">
        <f>+SUMIF(Resumen_Base!$A$7:$A$69,'Budget Comparativo'!B38,Resumen_Base!$I$7:$I$69)-F38</f>
        <v>0</v>
      </c>
      <c r="L38" s="121">
        <f>+'Budget Comparativo'!D38/'Budget Comparativo'!$L$8</f>
        <v>0</v>
      </c>
      <c r="M38" s="121">
        <f>+'Budget Comparativo'!F38/'Budget Comparativo'!$M$8</f>
        <v>0</v>
      </c>
      <c r="N38" s="121">
        <f t="shared" si="5"/>
        <v>0</v>
      </c>
      <c r="O38" s="120"/>
      <c r="P38" s="168">
        <v>5225</v>
      </c>
      <c r="Q38" s="168"/>
      <c r="R38" s="168"/>
      <c r="S38" s="168"/>
      <c r="T38" s="168"/>
      <c r="U38" s="168"/>
      <c r="V38" s="168"/>
      <c r="W38" s="168"/>
      <c r="X38" s="168"/>
      <c r="Y38" s="168"/>
    </row>
    <row r="39" spans="1:25" ht="42.5" customHeight="1">
      <c r="A39" s="162" t="s">
        <v>205</v>
      </c>
      <c r="B39" s="125" t="s">
        <v>192</v>
      </c>
      <c r="C39" s="120"/>
      <c r="D39" s="121">
        <v>4000</v>
      </c>
      <c r="E39" s="121">
        <f t="shared" si="6"/>
        <v>3340.7322518347951</v>
      </c>
      <c r="F39" s="121">
        <f>+SUMIF(Resumen_Base!$A$7:$A$69,'Budget Comparativo'!B39,Resumen_Base!$AD$7:$AD$69)</f>
        <v>3340.7322518347951</v>
      </c>
      <c r="G39" s="121">
        <f t="shared" si="7"/>
        <v>0</v>
      </c>
      <c r="H39" s="223" t="s">
        <v>2661</v>
      </c>
      <c r="I39" s="206">
        <f>IF(ROUND(F39,0)=0,0,IF(D39=0,0,+F39/D39))</f>
        <v>0.83518306295869882</v>
      </c>
      <c r="J39" s="120"/>
      <c r="K39" s="142">
        <f>+SUMIF(Resumen_Base!$A$7:$A$69,'Budget Comparativo'!B39,Resumen_Base!$I$7:$I$69)-F39</f>
        <v>-2374.3272063600157</v>
      </c>
      <c r="L39" s="121">
        <f>+'Budget Comparativo'!D39/'Budget Comparativo'!$L$8</f>
        <v>10.666666666666666</v>
      </c>
      <c r="M39" s="121">
        <f>+'Budget Comparativo'!F39/'Budget Comparativo'!$M$8</f>
        <v>11.062027323956276</v>
      </c>
      <c r="N39" s="121">
        <f t="shared" si="5"/>
        <v>-0.39536065728960956</v>
      </c>
      <c r="O39" s="120"/>
      <c r="P39" s="168">
        <v>5255</v>
      </c>
      <c r="Q39" s="168">
        <v>5310</v>
      </c>
      <c r="R39" s="168">
        <v>5222</v>
      </c>
      <c r="S39" s="168">
        <v>5256</v>
      </c>
      <c r="T39" s="168"/>
      <c r="U39" s="168"/>
      <c r="V39" s="168"/>
      <c r="W39" s="168"/>
      <c r="X39" s="168"/>
      <c r="Y39" s="168"/>
    </row>
    <row r="40" spans="1:25" s="142" customFormat="1" ht="14">
      <c r="A40" s="162" t="s">
        <v>205</v>
      </c>
      <c r="B40" s="125" t="s">
        <v>193</v>
      </c>
      <c r="C40" s="120"/>
      <c r="D40" s="121">
        <v>2500</v>
      </c>
      <c r="E40" s="121">
        <f t="shared" si="6"/>
        <v>810.4880274349224</v>
      </c>
      <c r="F40" s="121">
        <f>+SUMIF(Resumen_Base!$A$7:$A$69,'Budget Comparativo'!B40,Resumen_Base!$AD$7:$AD$69)</f>
        <v>810.4880274349224</v>
      </c>
      <c r="G40" s="121">
        <f t="shared" si="7"/>
        <v>0</v>
      </c>
      <c r="H40" s="223" t="s">
        <v>2185</v>
      </c>
      <c r="I40" s="206">
        <f>IF(ROUND(F40,0)=0,0,IF(D40=0,0,+F40/D40))</f>
        <v>0.32419521097396897</v>
      </c>
      <c r="J40" s="120"/>
      <c r="K40" s="142">
        <f>+SUMIF(Resumen_Base!$A$7:$A$69,'Budget Comparativo'!B40,Resumen_Base!$I$7:$I$69)-F40</f>
        <v>-717.22735350231574</v>
      </c>
      <c r="L40" s="121">
        <f>+'Budget Comparativo'!D40/'Budget Comparativo'!$L$8</f>
        <v>6.666666666666667</v>
      </c>
      <c r="M40" s="121">
        <f>+'Budget Comparativo'!F40/'Budget Comparativo'!$M$8</f>
        <v>2.6837351901818622</v>
      </c>
      <c r="N40" s="121">
        <f t="shared" si="5"/>
        <v>3.9829314764848047</v>
      </c>
      <c r="O40" s="120"/>
      <c r="P40" s="168">
        <v>5220</v>
      </c>
      <c r="Q40" s="168"/>
      <c r="R40" s="168"/>
      <c r="S40" s="168"/>
      <c r="T40" s="168"/>
      <c r="U40" s="168"/>
      <c r="V40" s="168"/>
      <c r="W40" s="168"/>
      <c r="X40" s="168"/>
      <c r="Y40" s="168"/>
    </row>
    <row r="41" spans="1:25" s="142" customFormat="1" ht="14">
      <c r="A41" s="162" t="s">
        <v>205</v>
      </c>
      <c r="B41" s="124" t="s">
        <v>194</v>
      </c>
      <c r="C41" s="120"/>
      <c r="D41" s="121">
        <v>0</v>
      </c>
      <c r="E41" s="121">
        <f t="shared" si="6"/>
        <v>0</v>
      </c>
      <c r="F41" s="121">
        <f>+SUMIF(Resumen_Base!$A$7:$A$69,'Budget Comparativo'!B41,Resumen_Base!$AD$7:$AD$69)</f>
        <v>0</v>
      </c>
      <c r="G41" s="121">
        <f t="shared" si="7"/>
        <v>0</v>
      </c>
      <c r="H41" s="223"/>
      <c r="I41" s="206">
        <f>IF(ROUND(F41,0)=0,0,IF(D41=0,0,+F41/D41))</f>
        <v>0</v>
      </c>
      <c r="J41" s="120"/>
      <c r="K41" s="142">
        <f>+SUMIF(Resumen_Base!$A$7:$A$69,'Budget Comparativo'!B41,Resumen_Base!$I$7:$I$69)-F41</f>
        <v>0</v>
      </c>
      <c r="L41" s="121">
        <f>+'Budget Comparativo'!D41/'Budget Comparativo'!$L$8</f>
        <v>0</v>
      </c>
      <c r="M41" s="121">
        <f>+'Budget Comparativo'!F41/'Budget Comparativo'!$M$8</f>
        <v>0</v>
      </c>
      <c r="N41" s="121">
        <f t="shared" si="5"/>
        <v>0</v>
      </c>
      <c r="O41" s="120"/>
      <c r="P41" s="168">
        <v>5221</v>
      </c>
      <c r="Q41" s="168">
        <v>5261</v>
      </c>
      <c r="R41" s="168"/>
      <c r="S41" s="168"/>
      <c r="T41" s="168"/>
      <c r="U41" s="168"/>
      <c r="V41" s="168"/>
      <c r="W41" s="168"/>
      <c r="X41" s="168"/>
      <c r="Y41" s="168"/>
    </row>
    <row r="42" spans="1:25" s="87" customFormat="1" ht="39.5" customHeight="1">
      <c r="A42" s="163"/>
      <c r="B42" s="190" t="s">
        <v>195</v>
      </c>
      <c r="C42" s="152"/>
      <c r="D42" s="144">
        <f t="shared" ref="D42:G42" si="11">+SUM(D43:D45)</f>
        <v>15000</v>
      </c>
      <c r="E42" s="144">
        <f t="shared" si="11"/>
        <v>15000</v>
      </c>
      <c r="F42" s="144">
        <f t="shared" si="11"/>
        <v>22927.608010373569</v>
      </c>
      <c r="G42" s="144">
        <f t="shared" si="11"/>
        <v>-7927.6080103735703</v>
      </c>
      <c r="H42" s="347" t="s">
        <v>2403</v>
      </c>
      <c r="I42" s="144"/>
      <c r="J42" s="152"/>
      <c r="K42" s="142"/>
      <c r="L42" s="144">
        <f>+'Budget Comparativo'!D42/'Budget Comparativo'!$L$8</f>
        <v>40</v>
      </c>
      <c r="M42" s="144">
        <f>+'Budget Comparativo'!F42/'Budget Comparativo'!$M$8</f>
        <v>75.91923182242904</v>
      </c>
      <c r="N42" s="144">
        <f t="shared" si="5"/>
        <v>-35.91923182242904</v>
      </c>
      <c r="O42" s="152"/>
      <c r="P42" s="168"/>
      <c r="Q42" s="168"/>
      <c r="R42" s="168"/>
      <c r="S42" s="168"/>
      <c r="T42" s="168"/>
      <c r="U42" s="168"/>
      <c r="V42" s="168"/>
      <c r="W42" s="168"/>
      <c r="X42" s="168"/>
      <c r="Y42" s="168"/>
    </row>
    <row r="43" spans="1:25" ht="14">
      <c r="A43" s="162" t="s">
        <v>205</v>
      </c>
      <c r="B43" s="150" t="s">
        <v>196</v>
      </c>
      <c r="C43" s="29"/>
      <c r="D43" s="121">
        <v>8000</v>
      </c>
      <c r="E43" s="121">
        <f t="shared" si="6"/>
        <v>8000</v>
      </c>
      <c r="F43" s="121">
        <f>+SUMIF(Resumen_Base!$A$7:$A$69,'Budget Comparativo'!B43,Resumen_Base!$AD$7:$AD$69)</f>
        <v>11026.493224139065</v>
      </c>
      <c r="G43" s="121">
        <f t="shared" si="7"/>
        <v>-3026.4932241390652</v>
      </c>
      <c r="H43" s="223"/>
      <c r="I43" s="206">
        <f>IF(ROUND(F43,0)=0,0,+F43/D43)</f>
        <v>1.3783116530173831</v>
      </c>
      <c r="J43" s="29"/>
      <c r="K43" s="142">
        <f>+SUMIF(Resumen_Base!$A$7:$A$69,'Budget Comparativo'!B43,Resumen_Base!$I$7:$I$69)-F43</f>
        <v>-8068.753151112378</v>
      </c>
      <c r="L43" s="121">
        <f>+'Budget Comparativo'!D43/'Budget Comparativo'!$L$8</f>
        <v>21.333333333333332</v>
      </c>
      <c r="M43" s="121">
        <f>+'Budget Comparativo'!F43/'Budget Comparativo'!$M$8</f>
        <v>36.511566967347896</v>
      </c>
      <c r="N43" s="121">
        <f t="shared" si="5"/>
        <v>-15.178233634014564</v>
      </c>
      <c r="O43" s="29"/>
      <c r="P43" s="168">
        <v>5252</v>
      </c>
      <c r="Q43" s="168"/>
      <c r="R43" s="168"/>
      <c r="S43" s="168"/>
      <c r="T43" s="168"/>
      <c r="U43" s="168"/>
      <c r="V43" s="168"/>
      <c r="W43" s="168"/>
      <c r="X43" s="168"/>
      <c r="Y43" s="168"/>
    </row>
    <row r="44" spans="1:25" ht="43" customHeight="1">
      <c r="A44" s="162" t="s">
        <v>205</v>
      </c>
      <c r="B44" s="150" t="s">
        <v>197</v>
      </c>
      <c r="C44" s="29"/>
      <c r="D44" s="121">
        <v>6000</v>
      </c>
      <c r="E44" s="121">
        <f t="shared" si="6"/>
        <v>6000</v>
      </c>
      <c r="F44" s="121">
        <f>+SUMIF(Resumen_Base!$A$7:$A$69,'Budget Comparativo'!B44,Resumen_Base!$AD$7:$AD$69)</f>
        <v>10616.259615006855</v>
      </c>
      <c r="G44" s="121">
        <f t="shared" si="7"/>
        <v>-4616.2596150068548</v>
      </c>
      <c r="H44" s="223" t="s">
        <v>2660</v>
      </c>
      <c r="I44" s="206">
        <f>IF(ROUND(F44,0)=0,0,IF(D44=0,0,+F44/D44))</f>
        <v>1.7693766025011424</v>
      </c>
      <c r="J44" s="229"/>
      <c r="K44" s="142">
        <f>+SUMIF(Resumen_Base!$A$7:$A$69,'Budget Comparativo'!B44,Resumen_Base!$I$7:$I$69)-F44</f>
        <v>-5709.3142810003037</v>
      </c>
      <c r="L44" s="121">
        <f>+'Budget Comparativo'!D44/'Budget Comparativo'!$L$8</f>
        <v>16</v>
      </c>
      <c r="M44" s="121">
        <f>+'Budget Comparativo'!F44/'Budget Comparativo'!$M$8</f>
        <v>35.153177533135278</v>
      </c>
      <c r="N44" s="121">
        <f t="shared" si="5"/>
        <v>-19.153177533135278</v>
      </c>
      <c r="O44" s="29"/>
      <c r="P44" s="168">
        <v>5253</v>
      </c>
      <c r="Q44" s="168"/>
      <c r="R44" s="168"/>
      <c r="S44" s="168"/>
      <c r="T44" s="168"/>
      <c r="U44" s="168"/>
      <c r="V44" s="168"/>
      <c r="W44" s="168"/>
      <c r="X44" s="168"/>
      <c r="Y44" s="168"/>
    </row>
    <row r="45" spans="1:25" ht="14">
      <c r="A45" s="162" t="s">
        <v>205</v>
      </c>
      <c r="B45" s="150" t="s">
        <v>198</v>
      </c>
      <c r="C45" s="29"/>
      <c r="D45" s="121">
        <v>1000</v>
      </c>
      <c r="E45" s="121">
        <f t="shared" si="6"/>
        <v>1000</v>
      </c>
      <c r="F45" s="121">
        <f>+SUMIF(Resumen_Base!$A$7:$A$69,'Budget Comparativo'!B45,Resumen_Base!$AD$7:$AD$69)</f>
        <v>1284.8551712276501</v>
      </c>
      <c r="G45" s="121">
        <f t="shared" si="7"/>
        <v>-284.85517122765009</v>
      </c>
      <c r="H45" s="223"/>
      <c r="I45" s="206">
        <f>IF(ROUND(F45,0)=0,0,IF(D45=0,0,+F45/D45))</f>
        <v>1.2848551712276501</v>
      </c>
      <c r="J45" s="29"/>
      <c r="K45" s="142">
        <f>+SUMIF(Resumen_Base!$A$7:$A$69,'Budget Comparativo'!B45,Resumen_Base!$I$7:$I$69)-F45</f>
        <v>-379.49451387637896</v>
      </c>
      <c r="L45" s="121">
        <f>+'Budget Comparativo'!D45/'Budget Comparativo'!$L$8</f>
        <v>2.6666666666666665</v>
      </c>
      <c r="M45" s="121">
        <f>+'Budget Comparativo'!F45/'Budget Comparativo'!$M$8</f>
        <v>4.2544873219458612</v>
      </c>
      <c r="N45" s="121">
        <f t="shared" si="5"/>
        <v>-1.5878206552791947</v>
      </c>
      <c r="O45" s="29"/>
      <c r="P45" s="168">
        <v>5254</v>
      </c>
      <c r="Q45" s="168"/>
      <c r="R45" s="168"/>
      <c r="S45" s="168"/>
      <c r="T45" s="168"/>
      <c r="U45" s="168"/>
      <c r="V45" s="168"/>
      <c r="W45" s="168"/>
      <c r="X45" s="168"/>
      <c r="Y45" s="168"/>
    </row>
    <row r="46" spans="1:25" s="142" customFormat="1" ht="14">
      <c r="A46" s="162" t="s">
        <v>205</v>
      </c>
      <c r="B46" s="141" t="s">
        <v>199</v>
      </c>
      <c r="C46" s="120"/>
      <c r="D46" s="121">
        <v>470</v>
      </c>
      <c r="E46" s="121">
        <f t="shared" si="6"/>
        <v>218.59999999999997</v>
      </c>
      <c r="F46" s="121">
        <f>+SUMIF(Resumen_Base!$A$7:$A$69,'Budget Comparativo'!B46,Resumen_Base!$AD$7:$AD$69)</f>
        <v>218.59999999999997</v>
      </c>
      <c r="G46" s="121">
        <f t="shared" si="7"/>
        <v>0</v>
      </c>
      <c r="H46" s="223"/>
      <c r="I46" s="206">
        <f>IF(ROUND(F46,0)=0,0,+F46/D46)</f>
        <v>0.46510638297872331</v>
      </c>
      <c r="J46" s="120"/>
      <c r="K46" s="142">
        <f>+SUMIF(Resumen_Base!$A$7:$A$69,'Budget Comparativo'!B46,Resumen_Base!$I$7:$I$69)-F46</f>
        <v>-121.85999999999997</v>
      </c>
      <c r="L46" s="121">
        <f>+'Budget Comparativo'!D46/'Budget Comparativo'!$L$8</f>
        <v>1.2533333333333334</v>
      </c>
      <c r="M46" s="121">
        <f>+'Budget Comparativo'!F46/'Budget Comparativo'!$M$8</f>
        <v>0.72384105960264888</v>
      </c>
      <c r="N46" s="121">
        <f t="shared" si="5"/>
        <v>0.52949227373068453</v>
      </c>
      <c r="O46" s="120"/>
      <c r="P46" s="168">
        <v>5209</v>
      </c>
      <c r="Q46" s="168">
        <v>5266</v>
      </c>
      <c r="R46" s="168">
        <v>5324</v>
      </c>
      <c r="S46" s="168">
        <v>5325</v>
      </c>
      <c r="T46" s="168">
        <v>5326</v>
      </c>
      <c r="U46" s="168"/>
      <c r="V46" s="168"/>
      <c r="W46" s="168"/>
      <c r="X46" s="168"/>
      <c r="Y46" s="168"/>
    </row>
    <row r="47" spans="1:25" s="142" customFormat="1" ht="14">
      <c r="A47" s="162" t="s">
        <v>205</v>
      </c>
      <c r="B47" s="138" t="s">
        <v>200</v>
      </c>
      <c r="C47" s="120"/>
      <c r="D47" s="121">
        <v>1500</v>
      </c>
      <c r="E47" s="121">
        <f t="shared" si="6"/>
        <v>0</v>
      </c>
      <c r="F47" s="121">
        <f>+SUMIF(Resumen_Base!$A$7:$A$69,'Budget Comparativo'!B47,Resumen_Base!$AD$7:$AD$69)</f>
        <v>0</v>
      </c>
      <c r="G47" s="121">
        <f t="shared" si="7"/>
        <v>0</v>
      </c>
      <c r="H47" s="223"/>
      <c r="I47" s="206">
        <f>IF(ROUND(F47,0)=0,0,IF(D47=0,0,+F47/D47))</f>
        <v>0</v>
      </c>
      <c r="J47" s="120"/>
      <c r="K47" s="142">
        <f>+SUMIF(Resumen_Base!$A$7:$A$69,'Budget Comparativo'!B47,Resumen_Base!$I$7:$I$69)-F47</f>
        <v>0</v>
      </c>
      <c r="L47" s="121">
        <f>+'Budget Comparativo'!D47/'Budget Comparativo'!$L$8</f>
        <v>4</v>
      </c>
      <c r="M47" s="121">
        <f>+'Budget Comparativo'!F47/'Budget Comparativo'!$M$8</f>
        <v>0</v>
      </c>
      <c r="N47" s="121">
        <f t="shared" si="5"/>
        <v>4</v>
      </c>
      <c r="O47" s="120"/>
      <c r="P47" s="168">
        <v>5215</v>
      </c>
      <c r="Q47" s="168">
        <v>5321</v>
      </c>
      <c r="R47" s="168"/>
      <c r="S47" s="168"/>
      <c r="T47" s="168"/>
      <c r="U47" s="168"/>
      <c r="V47" s="168"/>
      <c r="W47" s="168"/>
      <c r="X47" s="168"/>
      <c r="Y47" s="168"/>
    </row>
    <row r="48" spans="1:25" s="142" customFormat="1" ht="14">
      <c r="A48" s="162" t="s">
        <v>205</v>
      </c>
      <c r="B48" s="138" t="s">
        <v>275</v>
      </c>
      <c r="C48" s="120"/>
      <c r="D48" s="121">
        <v>2000</v>
      </c>
      <c r="E48" s="121">
        <f t="shared" si="6"/>
        <v>43.580678571428599</v>
      </c>
      <c r="F48" s="121">
        <f>+SUMIF(Resumen_Base!$A$7:$A$69,'Budget Comparativo'!B48,Resumen_Base!$AD$7:$AD$69)</f>
        <v>43.580678571428599</v>
      </c>
      <c r="G48" s="121">
        <f t="shared" si="7"/>
        <v>0</v>
      </c>
      <c r="H48" s="223"/>
      <c r="I48" s="206">
        <f>IF(ROUND(F48,0)=0,0,IF(D48=0,0,+F48/D48))</f>
        <v>2.1790339285714298E-2</v>
      </c>
      <c r="J48" s="120"/>
      <c r="K48" s="142">
        <f>+SUMIF(Resumen_Base!$A$7:$A$69,'Budget Comparativo'!B48,Resumen_Base!$I$7:$I$69)-F48</f>
        <v>0</v>
      </c>
      <c r="L48" s="121">
        <f>+'Budget Comparativo'!D48/'Budget Comparativo'!$L$8</f>
        <v>5.333333333333333</v>
      </c>
      <c r="M48" s="121">
        <f>+'Budget Comparativo'!F48/'Budget Comparativo'!$M$8</f>
        <v>0.14430688268684966</v>
      </c>
      <c r="N48" s="121">
        <f t="shared" si="5"/>
        <v>5.1890264506464838</v>
      </c>
      <c r="O48" s="120"/>
      <c r="P48" s="168">
        <v>5217</v>
      </c>
      <c r="Q48" s="168">
        <v>5260</v>
      </c>
      <c r="R48" s="168"/>
      <c r="S48" s="168"/>
      <c r="T48" s="168"/>
      <c r="U48" s="168"/>
      <c r="V48" s="168"/>
      <c r="W48" s="168"/>
      <c r="X48" s="168"/>
      <c r="Y48" s="168"/>
    </row>
    <row r="49" spans="1:25" s="142" customFormat="1" ht="14">
      <c r="A49" s="162" t="s">
        <v>205</v>
      </c>
      <c r="B49" s="141" t="s">
        <v>201</v>
      </c>
      <c r="C49" s="120"/>
      <c r="D49" s="121">
        <v>3812</v>
      </c>
      <c r="E49" s="121">
        <f t="shared" si="6"/>
        <v>3812</v>
      </c>
      <c r="F49" s="121">
        <f>+SUMIF(Resumen_Base!$A$7:$A$69,'Budget Comparativo'!B49,Resumen_Base!$AD$7:$AD$69)</f>
        <v>5835.5907834921363</v>
      </c>
      <c r="G49" s="121">
        <f t="shared" si="7"/>
        <v>-2023.5907834921363</v>
      </c>
      <c r="H49" s="223" t="s">
        <v>2834</v>
      </c>
      <c r="I49" s="206">
        <f>IF(ROUND(F49,0)=0,0,IF(D49=0,0,+F49/D49))</f>
        <v>1.5308475297723338</v>
      </c>
      <c r="J49" s="120"/>
      <c r="K49" s="142">
        <f>+SUMIF(Resumen_Base!$A$7:$A$69,'Budget Comparativo'!B49,Resumen_Base!$I$7:$I$69)-F49</f>
        <v>-4634.8572485646228</v>
      </c>
      <c r="L49" s="121">
        <f>+'Budget Comparativo'!D49/'Budget Comparativo'!$L$8</f>
        <v>10.165333333333333</v>
      </c>
      <c r="M49" s="121">
        <f>+'Budget Comparativo'!F49/'Budget Comparativo'!$M$8</f>
        <v>19.32314828970906</v>
      </c>
      <c r="N49" s="121">
        <f t="shared" si="5"/>
        <v>-9.1578149563757272</v>
      </c>
      <c r="O49" s="120"/>
      <c r="P49" s="168">
        <v>5219</v>
      </c>
      <c r="Q49" s="168">
        <v>5218</v>
      </c>
      <c r="R49" s="168">
        <v>5263</v>
      </c>
      <c r="S49" s="168">
        <v>5312</v>
      </c>
      <c r="T49" s="168">
        <v>5314</v>
      </c>
      <c r="U49" s="168">
        <v>5337</v>
      </c>
      <c r="V49" s="168"/>
      <c r="W49" s="168"/>
      <c r="X49" s="168"/>
      <c r="Y49" s="168"/>
    </row>
    <row r="50" spans="1:25" s="129" customFormat="1" ht="17" thickBot="1">
      <c r="A50" s="159"/>
      <c r="B50" s="126" t="s">
        <v>109</v>
      </c>
      <c r="C50" s="127"/>
      <c r="D50" s="128" t="s">
        <v>76</v>
      </c>
      <c r="E50" s="128"/>
      <c r="F50" s="208"/>
      <c r="G50" s="128"/>
      <c r="H50" s="224"/>
      <c r="I50" s="128"/>
      <c r="J50" s="127"/>
      <c r="K50" s="142">
        <f>+SUMIF(Resumen_Base!$A$7:$A$69,'Budget Comparativo'!B50,Resumen_Base!$I$7:$I$69)-F50</f>
        <v>0</v>
      </c>
      <c r="L50" s="128"/>
      <c r="M50" s="144">
        <f>+'Budget Comparativo'!F50/'Budget Comparativo'!$M$8</f>
        <v>0</v>
      </c>
      <c r="N50" s="144">
        <f t="shared" si="5"/>
        <v>0</v>
      </c>
      <c r="O50" s="127"/>
      <c r="P50" s="168"/>
      <c r="Q50" s="168"/>
      <c r="R50" s="168"/>
      <c r="S50" s="168"/>
      <c r="T50" s="168"/>
      <c r="U50" s="168"/>
      <c r="V50" s="168"/>
      <c r="W50" s="168"/>
      <c r="X50" s="168"/>
      <c r="Y50" s="168"/>
    </row>
    <row r="51" spans="1:25" s="142" customFormat="1" ht="15" thickBot="1">
      <c r="A51" s="162"/>
      <c r="B51" s="153" t="s">
        <v>202</v>
      </c>
      <c r="C51" s="120"/>
      <c r="D51" s="154">
        <f>SUM(D22:D50)-D23-D34-D27-D42</f>
        <v>189001</v>
      </c>
      <c r="E51" s="154">
        <f t="shared" ref="E51:F51" si="12">SUM(E22:E50)-E23-E34-E27-E42</f>
        <v>160425.01247898763</v>
      </c>
      <c r="F51" s="154">
        <f t="shared" si="12"/>
        <v>172884.91250366272</v>
      </c>
      <c r="G51" s="154">
        <f t="shared" ref="G51:G56" si="13">+E51-F51</f>
        <v>-12459.900024675095</v>
      </c>
      <c r="H51" s="227"/>
      <c r="I51" s="154"/>
      <c r="J51" s="120"/>
      <c r="L51" s="154">
        <f>SUM(L22:L50)-L23-L34-L27-L42</f>
        <v>504.00266666666653</v>
      </c>
      <c r="M51" s="154">
        <f>SUM(M22:M50)-M23-M34-M27-M42</f>
        <v>572.46659769424741</v>
      </c>
      <c r="N51" s="154">
        <f>SUM(N22:N50)-N23-N34-N27-N42</f>
        <v>-68.463931027580813</v>
      </c>
      <c r="O51" s="120"/>
      <c r="P51" s="168"/>
      <c r="Q51" s="168"/>
      <c r="R51" s="168"/>
      <c r="S51" s="168"/>
      <c r="T51" s="168"/>
      <c r="U51" s="168"/>
      <c r="V51" s="168"/>
      <c r="W51" s="168"/>
      <c r="X51" s="168"/>
      <c r="Y51" s="168"/>
    </row>
    <row r="52" spans="1:25" s="27" customFormat="1">
      <c r="A52" s="157"/>
      <c r="B52" s="134"/>
      <c r="C52" s="135"/>
      <c r="D52" s="26"/>
      <c r="E52" s="26"/>
      <c r="F52" s="26"/>
      <c r="G52" s="26"/>
      <c r="H52" s="226"/>
      <c r="I52" s="26"/>
      <c r="J52" s="135"/>
      <c r="K52" s="142">
        <f>+SUMIF(Resumen_Base!$A$7:$A$69,'Budget Comparativo'!B52,Resumen_Base!$I$7:$I$69)-F52</f>
        <v>0</v>
      </c>
      <c r="L52" s="211"/>
      <c r="M52" s="211"/>
      <c r="N52" s="211"/>
      <c r="O52" s="135"/>
      <c r="P52" s="210"/>
      <c r="Q52" s="210"/>
      <c r="R52" s="210"/>
      <c r="S52" s="210"/>
      <c r="T52" s="210"/>
      <c r="U52" s="210"/>
      <c r="V52" s="210"/>
      <c r="W52" s="210"/>
      <c r="X52" s="210"/>
      <c r="Y52" s="210"/>
    </row>
    <row r="53" spans="1:25" s="142" customFormat="1" ht="14">
      <c r="A53" s="162" t="s">
        <v>205</v>
      </c>
      <c r="B53" s="141" t="s">
        <v>218</v>
      </c>
      <c r="C53" s="120"/>
      <c r="D53" s="121">
        <f>+F53</f>
        <v>4678.6267605633802</v>
      </c>
      <c r="E53" s="121">
        <f t="shared" ref="E53:E56" si="14">IF(A53="Acumulado",IF(F53&gt;D53,D53,F53),IF(A53="BN",+(D53/$D$8*$E$8),"VER"))</f>
        <v>4678.6267605633802</v>
      </c>
      <c r="F53" s="121">
        <f>+SUMIF(Resumen_Base!$A$7:$A$69,'Budget Comparativo'!B53,Resumen_Base!$AD$7:$AD$69)</f>
        <v>4678.6267605633802</v>
      </c>
      <c r="G53" s="121">
        <f t="shared" si="13"/>
        <v>0</v>
      </c>
      <c r="H53" s="218"/>
      <c r="I53" s="206">
        <f>IF(ROUND(F53,0)=0,0,IF(D53=0,0,+F53/D53))</f>
        <v>1</v>
      </c>
      <c r="J53" s="120"/>
      <c r="K53" s="142">
        <f>+SUMIF(Resumen_Base!$A$7:$A$69,'Budget Comparativo'!B53,Resumen_Base!$I$7:$I$69)-F53</f>
        <v>-2967.605633802817</v>
      </c>
      <c r="L53" s="121">
        <f>+'Budget Comparativo'!D53/'Budget Comparativo'!$L$8</f>
        <v>12.476338028169014</v>
      </c>
      <c r="M53" s="121">
        <f>+'Budget Comparativo'!F53/'Budget Comparativo'!$M$8</f>
        <v>15.492141591269471</v>
      </c>
      <c r="N53" s="121">
        <f>+L53-M53</f>
        <v>-3.0158035631004569</v>
      </c>
      <c r="O53" s="120"/>
      <c r="P53" s="168">
        <v>12020401</v>
      </c>
      <c r="Q53" s="168">
        <v>12020701</v>
      </c>
      <c r="R53" s="168"/>
      <c r="S53" s="168"/>
      <c r="T53" s="168"/>
      <c r="U53" s="168"/>
      <c r="V53" s="168"/>
      <c r="W53" s="168"/>
      <c r="X53" s="168"/>
      <c r="Y53" s="168"/>
    </row>
    <row r="54" spans="1:25" s="142" customFormat="1" ht="14">
      <c r="A54" s="162" t="s">
        <v>205</v>
      </c>
      <c r="B54" s="141" t="s">
        <v>207</v>
      </c>
      <c r="C54" s="120"/>
      <c r="D54" s="121">
        <v>0</v>
      </c>
      <c r="E54" s="121">
        <f t="shared" si="14"/>
        <v>0</v>
      </c>
      <c r="F54" s="121">
        <f>+SUMIF(Resumen_Base!$A$7:$A$69,'Budget Comparativo'!B54,Resumen_Base!$AD$7:$AD$69)</f>
        <v>0</v>
      </c>
      <c r="G54" s="121">
        <f t="shared" si="13"/>
        <v>0</v>
      </c>
      <c r="H54" s="218"/>
      <c r="I54" s="206">
        <f>IF(ROUND(F54,0)=0,0,IF(D54=0,0,+F54/D54))</f>
        <v>0</v>
      </c>
      <c r="J54" s="120"/>
      <c r="K54" s="142">
        <f>+SUMIF(Resumen_Base!$A$7:$A$69,'Budget Comparativo'!B54,Resumen_Base!$I$7:$I$69)-F54</f>
        <v>0</v>
      </c>
      <c r="L54" s="121">
        <f>+'Budget Comparativo'!D54/'Budget Comparativo'!$L$8</f>
        <v>0</v>
      </c>
      <c r="M54" s="121">
        <f>+'Budget Comparativo'!F54/'Budget Comparativo'!$M$8</f>
        <v>0</v>
      </c>
      <c r="N54" s="121">
        <f>+L54-M54</f>
        <v>0</v>
      </c>
      <c r="O54" s="120"/>
      <c r="P54" s="168">
        <v>120211</v>
      </c>
      <c r="Q54" s="168"/>
      <c r="R54" s="168"/>
      <c r="S54" s="168"/>
      <c r="T54" s="168"/>
      <c r="U54" s="168"/>
      <c r="V54" s="168"/>
      <c r="W54" s="168"/>
      <c r="X54" s="168"/>
      <c r="Y54" s="168"/>
    </row>
    <row r="55" spans="1:25" s="142" customFormat="1" ht="14">
      <c r="A55" s="162" t="s">
        <v>205</v>
      </c>
      <c r="B55" s="141" t="s">
        <v>208</v>
      </c>
      <c r="C55" s="120"/>
      <c r="D55" s="121">
        <f>15000-D53-D56</f>
        <v>14321.37323943662</v>
      </c>
      <c r="E55" s="121">
        <f t="shared" si="14"/>
        <v>14321.37323943662</v>
      </c>
      <c r="F55" s="121">
        <f>+SUMIF(Resumen_Base!$A$7:$A$69,'Budget Comparativo'!B55,Resumen_Base!$AD$7:$AD$69)</f>
        <v>25420.685302241262</v>
      </c>
      <c r="G55" s="121">
        <f t="shared" si="13"/>
        <v>-11099.312062804642</v>
      </c>
      <c r="H55" s="218" t="s">
        <v>2659</v>
      </c>
      <c r="I55" s="206">
        <f>IF(ROUND(F55,0)=0,0,IF(D55=0,0,+F55/D55))</f>
        <v>1.7750173029664906</v>
      </c>
      <c r="J55" s="90">
        <v>22</v>
      </c>
      <c r="K55" s="142">
        <f>+SUMIF(Resumen_Base!$A$7:$A$69,'Budget Comparativo'!B55,Resumen_Base!$I$7:$I$69)-F55</f>
        <v>-5311.2184585461873</v>
      </c>
      <c r="L55" s="121">
        <f>+'Budget Comparativo'!D55/'Budget Comparativo'!$L$8</f>
        <v>38.190328638497654</v>
      </c>
      <c r="M55" s="121">
        <f>+'Budget Comparativo'!F55/'Budget Comparativo'!$M$8</f>
        <v>84.174454643182983</v>
      </c>
      <c r="N55" s="121">
        <f>+L55-M55</f>
        <v>-45.984126004685329</v>
      </c>
      <c r="O55" s="120"/>
      <c r="P55" s="168">
        <v>12020103</v>
      </c>
      <c r="Q55" s="168">
        <v>12020105</v>
      </c>
      <c r="R55" s="168">
        <v>12020201</v>
      </c>
      <c r="S55" s="168">
        <v>12020301</v>
      </c>
      <c r="T55" s="168">
        <v>12021001</v>
      </c>
      <c r="U55" s="168">
        <v>12020501</v>
      </c>
      <c r="V55" s="168">
        <v>12020601</v>
      </c>
      <c r="W55" s="168">
        <v>12020901</v>
      </c>
      <c r="X55" s="168"/>
      <c r="Y55" s="168"/>
    </row>
    <row r="56" spans="1:25" s="142" customFormat="1" ht="15" thickBot="1">
      <c r="A56" s="162" t="s">
        <v>205</v>
      </c>
      <c r="B56" s="141" t="s">
        <v>209</v>
      </c>
      <c r="C56" s="120"/>
      <c r="D56" s="121">
        <f>+F56</f>
        <v>-4000</v>
      </c>
      <c r="E56" s="121">
        <f t="shared" si="14"/>
        <v>-4000</v>
      </c>
      <c r="F56" s="121">
        <f>+SUMIF(Resumen_Base!$A$7:$A$69,'Budget Comparativo'!B56,Resumen_Base!$AD$7:$AD$69)</f>
        <v>-4000</v>
      </c>
      <c r="G56" s="121">
        <f t="shared" si="13"/>
        <v>0</v>
      </c>
      <c r="H56" s="218"/>
      <c r="I56" s="206">
        <f>IF(ROUND(F56,0)=0,0,IF(D56=0,0,+F56/D56))</f>
        <v>1</v>
      </c>
      <c r="J56" s="120"/>
      <c r="K56" s="142">
        <f>+SUMIF(Resumen_Base!$A$7:$A$69,'Budget Comparativo'!B56,Resumen_Base!$I$7:$I$69)-F56</f>
        <v>0</v>
      </c>
      <c r="L56" s="121">
        <f>+'Budget Comparativo'!D56/'Budget Comparativo'!$L$8</f>
        <v>-10.666666666666666</v>
      </c>
      <c r="M56" s="121">
        <f>+'Budget Comparativo'!F56/'Budget Comparativo'!$M$8</f>
        <v>-13.245033112582782</v>
      </c>
      <c r="N56" s="121">
        <f>+L56-M56</f>
        <v>2.5783664459161155</v>
      </c>
      <c r="O56" s="120"/>
      <c r="P56" s="168">
        <v>7102</v>
      </c>
      <c r="Q56" s="168"/>
      <c r="R56" s="168"/>
      <c r="S56" s="168"/>
      <c r="T56" s="168"/>
      <c r="U56" s="168"/>
      <c r="V56" s="168"/>
      <c r="W56" s="168"/>
      <c r="X56" s="168"/>
      <c r="Y56" s="168"/>
    </row>
    <row r="57" spans="1:25" s="142" customFormat="1" ht="15" thickBot="1">
      <c r="A57" s="162"/>
      <c r="B57" s="153" t="s">
        <v>210</v>
      </c>
      <c r="C57" s="120"/>
      <c r="D57" s="154">
        <f>+SUM(D53:D56)</f>
        <v>15000</v>
      </c>
      <c r="E57" s="154">
        <f t="shared" ref="E57:G57" si="15">+SUM(E53:E56)</f>
        <v>15000</v>
      </c>
      <c r="F57" s="154">
        <f t="shared" si="15"/>
        <v>26099.312062804642</v>
      </c>
      <c r="G57" s="154">
        <f t="shared" si="15"/>
        <v>-11099.312062804642</v>
      </c>
      <c r="H57" s="227"/>
      <c r="I57" s="154"/>
      <c r="J57" s="120"/>
      <c r="L57" s="154">
        <f>+'Budget Comparativo'!D57/'Budget Comparativo'!$L$8</f>
        <v>40</v>
      </c>
      <c r="M57" s="154">
        <f>+'Budget Comparativo'!F57/'Budget Comparativo'!$M$8</f>
        <v>86.421563121869681</v>
      </c>
      <c r="N57" s="154">
        <f>+L57-M57</f>
        <v>-46.421563121869681</v>
      </c>
      <c r="O57" s="120"/>
      <c r="P57" s="168"/>
      <c r="Q57" s="168"/>
      <c r="R57" s="168"/>
      <c r="S57" s="168"/>
      <c r="T57" s="168"/>
      <c r="U57" s="168"/>
      <c r="V57" s="168"/>
      <c r="W57" s="168"/>
      <c r="X57" s="168"/>
      <c r="Y57" s="168"/>
    </row>
    <row r="58" spans="1:25" s="27" customFormat="1">
      <c r="A58" s="157"/>
      <c r="B58" s="111"/>
      <c r="C58" s="30"/>
      <c r="H58" s="220"/>
      <c r="J58" s="30"/>
      <c r="K58" s="30"/>
      <c r="L58" s="14"/>
      <c r="M58" s="14"/>
      <c r="N58" s="14"/>
      <c r="O58" s="30"/>
      <c r="P58" s="142"/>
      <c r="Q58" s="142"/>
      <c r="R58" s="142"/>
      <c r="S58" s="142"/>
      <c r="T58" s="142"/>
      <c r="U58" s="142"/>
      <c r="V58" s="142"/>
      <c r="W58" s="142"/>
      <c r="X58" s="142"/>
      <c r="Y58" s="142"/>
    </row>
    <row r="59" spans="1:25">
      <c r="P59" s="142"/>
      <c r="Q59" s="142"/>
      <c r="R59" s="142"/>
      <c r="S59" s="142"/>
      <c r="T59" s="142"/>
      <c r="U59" s="142"/>
      <c r="V59" s="142"/>
      <c r="W59" s="142"/>
      <c r="X59" s="142"/>
      <c r="Y59" s="142"/>
    </row>
    <row r="60" spans="1:25" s="90" customFormat="1" ht="14">
      <c r="A60" s="166"/>
      <c r="B60" s="155" t="s">
        <v>206</v>
      </c>
      <c r="C60" s="89"/>
      <c r="D60" s="167">
        <v>205501</v>
      </c>
      <c r="F60" s="167">
        <f>+F56+F55+F54+F53+F49+F48+F47+F46+F45+F44+F43+F41+F40+F39+F38+F37+F36+F35+F33+F31+F30+F29+F28-F15-F14-F16+F24+F25+F26</f>
        <v>197351.22456646737</v>
      </c>
      <c r="G60" s="90">
        <v>22</v>
      </c>
      <c r="H60" s="228"/>
      <c r="J60" s="89"/>
      <c r="K60" s="89"/>
      <c r="L60" s="14"/>
      <c r="M60" s="14"/>
      <c r="N60" s="14"/>
      <c r="O60" s="89"/>
      <c r="P60" s="142"/>
      <c r="Q60" s="142"/>
      <c r="R60" s="142"/>
      <c r="S60" s="142"/>
      <c r="T60" s="142"/>
      <c r="U60" s="142"/>
      <c r="V60" s="142"/>
      <c r="W60" s="142"/>
      <c r="X60" s="142"/>
      <c r="Y60" s="142"/>
    </row>
    <row r="61" spans="1:25" ht="14">
      <c r="A61" s="166"/>
      <c r="B61" s="31" t="s">
        <v>19</v>
      </c>
      <c r="C61" s="14"/>
      <c r="D61" s="40">
        <f>ROUND(+D18+D51+D57-D60,0)</f>
        <v>0</v>
      </c>
      <c r="F61" s="40">
        <f>+F60-Resumen_Base!AD5-'Stock - Deudas'!F11</f>
        <v>-3.1377567211166024E-11</v>
      </c>
      <c r="G61" s="14">
        <f>+G60-J55</f>
        <v>0</v>
      </c>
      <c r="J61" s="14"/>
      <c r="K61" s="14"/>
      <c r="O61" s="14"/>
      <c r="P61" s="142"/>
      <c r="Q61" s="142"/>
      <c r="R61" s="142"/>
      <c r="S61" s="142"/>
      <c r="T61" s="142"/>
      <c r="U61" s="142"/>
      <c r="V61" s="142"/>
      <c r="W61" s="142"/>
      <c r="X61" s="142"/>
      <c r="Y61" s="142"/>
    </row>
    <row r="62" spans="1:25">
      <c r="F62" s="40"/>
    </row>
  </sheetData>
  <autoFilter ref="A7:I61" xr:uid="{00000000-0009-0000-0000-000009000000}"/>
  <mergeCells count="4">
    <mergeCell ref="D5:I5"/>
    <mergeCell ref="D6:I6"/>
    <mergeCell ref="L5:N5"/>
    <mergeCell ref="L6:N6"/>
  </mergeCells>
  <conditionalFormatting sqref="B5">
    <cfRule type="cellIs" dxfId="20" priority="30" stopIfTrue="1" operator="notEqual">
      <formula>"ok"</formula>
    </cfRule>
  </conditionalFormatting>
  <conditionalFormatting sqref="G14:G18">
    <cfRule type="cellIs" dxfId="19" priority="3" operator="lessThan">
      <formula>0</formula>
    </cfRule>
  </conditionalFormatting>
  <conditionalFormatting sqref="G23:G57">
    <cfRule type="cellIs" dxfId="18" priority="4" operator="lessThan">
      <formula>0</formula>
    </cfRule>
  </conditionalFormatting>
  <conditionalFormatting sqref="I24:I31 I38:I41 I43:I49 I53:I56">
    <cfRule type="cellIs" dxfId="17" priority="32" operator="greaterThan">
      <formula>#REF!</formula>
    </cfRule>
  </conditionalFormatting>
  <conditionalFormatting sqref="I24:I56">
    <cfRule type="cellIs" dxfId="16" priority="2" operator="greaterThan">
      <formula>$I$10</formula>
    </cfRule>
  </conditionalFormatting>
  <conditionalFormatting sqref="N14:N57">
    <cfRule type="cellIs" dxfId="15" priority="1" operator="lessThan">
      <formula>0</formula>
    </cfRule>
  </conditionalFormatting>
  <printOptions horizontalCentered="1"/>
  <pageMargins left="0" right="0" top="0.39370078740157483" bottom="0.39370078740157483" header="0" footer="0"/>
  <pageSetup scale="39" fitToHeight="4" orientation="landscape" horizontalDpi="300" r:id="rId1"/>
  <headerFooter alignWithMargins="0">
    <oddFooter>Página &amp;P de &amp;N</oddFooter>
  </headerFooter>
  <ignoredErrors>
    <ignoredError sqref="G27 G42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81"/>
  <sheetViews>
    <sheetView zoomScale="85" zoomScaleNormal="85" workbookViewId="0">
      <pane xSplit="2" ySplit="9" topLeftCell="C11" activePane="bottomRight" state="frozen"/>
      <selection pane="topRight" activeCell="C1" sqref="C1"/>
      <selection pane="bottomLeft" activeCell="A10" sqref="A10"/>
      <selection pane="bottomRight" activeCell="G12" sqref="G12"/>
    </sheetView>
  </sheetViews>
  <sheetFormatPr baseColWidth="10" defaultColWidth="11.33203125" defaultRowHeight="15"/>
  <cols>
    <col min="1" max="1" width="25.5" style="290" bestFit="1" customWidth="1"/>
    <col min="2" max="2" width="23.6640625" style="290" bestFit="1" customWidth="1"/>
    <col min="3" max="3" width="8.1640625" style="290" bestFit="1" customWidth="1"/>
    <col min="4" max="4" width="13.33203125" style="290" bestFit="1" customWidth="1"/>
    <col min="5" max="6" width="13.33203125" style="290" customWidth="1"/>
    <col min="7" max="7" width="7" style="290" bestFit="1" customWidth="1"/>
    <col min="8" max="8" width="7.6640625" style="290" bestFit="1" customWidth="1"/>
    <col min="9" max="9" width="5.1640625" style="290" bestFit="1" customWidth="1"/>
    <col min="10" max="10" width="9.83203125" style="290" bestFit="1" customWidth="1"/>
    <col min="11" max="11" width="5.33203125" style="290" bestFit="1" customWidth="1"/>
    <col min="12" max="12" width="6.5" style="290" bestFit="1" customWidth="1"/>
    <col min="13" max="13" width="75.5" style="290" bestFit="1" customWidth="1"/>
    <col min="14" max="14" width="9.33203125" style="290" bestFit="1" customWidth="1"/>
    <col min="15" max="15" width="12.1640625" style="290" bestFit="1" customWidth="1"/>
    <col min="16" max="16" width="13" style="290" bestFit="1" customWidth="1"/>
    <col min="17" max="17" width="11.6640625" style="290" bestFit="1" customWidth="1"/>
    <col min="18" max="18" width="13.5" style="290" bestFit="1" customWidth="1"/>
    <col min="19" max="19" width="8.33203125" style="290" bestFit="1" customWidth="1"/>
    <col min="20" max="20" width="9.33203125" style="290" bestFit="1" customWidth="1"/>
    <col min="21" max="21" width="7.83203125" style="290" bestFit="1" customWidth="1"/>
    <col min="22" max="22" width="11.83203125" style="290" bestFit="1" customWidth="1"/>
    <col min="23" max="23" width="9.33203125" style="290" bestFit="1" customWidth="1"/>
    <col min="24" max="24" width="10" style="290" bestFit="1" customWidth="1"/>
    <col min="25" max="16384" width="11.33203125" style="290"/>
  </cols>
  <sheetData>
    <row r="1" spans="1:28" s="236" customFormat="1" ht="19.5" customHeight="1" thickBot="1">
      <c r="A1" s="230"/>
      <c r="B1" s="231" t="s">
        <v>337</v>
      </c>
      <c r="C1" s="232"/>
      <c r="D1" s="233"/>
      <c r="E1" s="233"/>
      <c r="F1" s="233"/>
      <c r="G1" s="234">
        <v>0</v>
      </c>
      <c r="H1" s="234">
        <v>0</v>
      </c>
      <c r="I1" s="234">
        <v>0</v>
      </c>
      <c r="J1" s="234">
        <v>0</v>
      </c>
      <c r="K1" s="234">
        <v>0</v>
      </c>
      <c r="L1" s="234">
        <v>0</v>
      </c>
      <c r="M1" s="230"/>
      <c r="N1" s="235">
        <v>0</v>
      </c>
      <c r="O1" s="235">
        <v>0</v>
      </c>
      <c r="P1" s="235">
        <v>0</v>
      </c>
      <c r="Q1" s="235">
        <v>0</v>
      </c>
      <c r="R1" s="235">
        <v>0</v>
      </c>
      <c r="S1" s="235">
        <v>0</v>
      </c>
      <c r="T1" s="235">
        <v>0</v>
      </c>
      <c r="U1" s="235">
        <v>0</v>
      </c>
      <c r="V1" s="235">
        <v>0</v>
      </c>
      <c r="W1" s="235">
        <v>0</v>
      </c>
    </row>
    <row r="2" spans="1:28" s="241" customFormat="1" ht="24.75" hidden="1" customHeight="1">
      <c r="A2" s="230"/>
      <c r="B2" s="237"/>
      <c r="C2" s="230"/>
      <c r="D2" s="230"/>
      <c r="E2" s="230"/>
      <c r="F2" s="230"/>
      <c r="G2" s="230">
        <v>1</v>
      </c>
      <c r="H2" s="230"/>
      <c r="I2" s="230"/>
      <c r="J2" s="230"/>
      <c r="K2" s="230"/>
      <c r="L2" s="230"/>
      <c r="M2" s="230"/>
      <c r="N2" s="238"/>
      <c r="O2" s="238" t="e">
        <v>#REF!</v>
      </c>
      <c r="P2" s="239"/>
      <c r="Q2" s="239"/>
      <c r="R2" s="240"/>
      <c r="S2" s="230">
        <v>0</v>
      </c>
      <c r="T2" s="230"/>
      <c r="U2" s="230"/>
      <c r="V2" s="230"/>
      <c r="W2" s="230"/>
    </row>
    <row r="3" spans="1:28" s="241" customFormat="1" ht="24.75" customHeight="1" thickBot="1">
      <c r="A3" s="242" t="s">
        <v>338</v>
      </c>
      <c r="B3" s="243" t="s">
        <v>339</v>
      </c>
      <c r="C3" s="244"/>
      <c r="D3" s="245" t="s">
        <v>326</v>
      </c>
      <c r="E3" s="246"/>
      <c r="F3" s="246"/>
      <c r="G3" s="246"/>
      <c r="H3" s="246"/>
      <c r="I3" s="246"/>
      <c r="J3" s="246"/>
      <c r="K3" s="246"/>
      <c r="L3" s="247"/>
      <c r="M3" s="248" t="s">
        <v>340</v>
      </c>
      <c r="N3" s="249"/>
      <c r="O3" s="250"/>
      <c r="P3" s="239"/>
      <c r="Q3" s="239"/>
      <c r="R3" s="240"/>
      <c r="S3" s="230"/>
      <c r="T3" s="230"/>
      <c r="U3" s="230"/>
      <c r="V3" s="230"/>
      <c r="W3" s="230"/>
    </row>
    <row r="4" spans="1:28" s="260" customFormat="1" ht="41.25" customHeight="1" thickBot="1">
      <c r="A4" s="251" t="s">
        <v>341</v>
      </c>
      <c r="B4" s="251" t="s">
        <v>342</v>
      </c>
      <c r="C4" s="252"/>
      <c r="D4" s="253"/>
      <c r="E4" s="253"/>
      <c r="F4" s="253"/>
      <c r="G4" s="254" t="s">
        <v>343</v>
      </c>
      <c r="H4" s="254" t="s">
        <v>344</v>
      </c>
      <c r="I4" s="254" t="s">
        <v>345</v>
      </c>
      <c r="J4" s="254" t="s">
        <v>346</v>
      </c>
      <c r="K4" s="254" t="s">
        <v>347</v>
      </c>
      <c r="L4" s="254" t="s">
        <v>348</v>
      </c>
      <c r="M4" s="255" t="s">
        <v>349</v>
      </c>
      <c r="N4" s="256" t="s">
        <v>350</v>
      </c>
      <c r="O4" s="256" t="s">
        <v>351</v>
      </c>
      <c r="P4" s="257" t="s">
        <v>352</v>
      </c>
      <c r="Q4" s="258" t="s">
        <v>353</v>
      </c>
      <c r="R4" s="258" t="s">
        <v>354</v>
      </c>
      <c r="S4" s="258" t="s">
        <v>355</v>
      </c>
      <c r="T4" s="258" t="s">
        <v>356</v>
      </c>
      <c r="U4" s="258" t="s">
        <v>357</v>
      </c>
      <c r="V4" s="258" t="s">
        <v>358</v>
      </c>
      <c r="W4" s="258" t="s">
        <v>359</v>
      </c>
      <c r="X4" s="259" t="s">
        <v>360</v>
      </c>
    </row>
    <row r="5" spans="1:28" s="236" customFormat="1" ht="12.75" customHeight="1" thickBot="1">
      <c r="A5" s="261"/>
      <c r="B5" s="262"/>
      <c r="C5" s="263"/>
      <c r="D5" s="264" t="s">
        <v>74</v>
      </c>
      <c r="E5" s="265"/>
      <c r="F5" s="265"/>
      <c r="G5" s="265">
        <f t="shared" ref="G5:L5" si="0">SUM(G9:G81)</f>
        <v>189</v>
      </c>
      <c r="H5" s="265">
        <f t="shared" si="0"/>
        <v>190</v>
      </c>
      <c r="I5" s="265">
        <f t="shared" si="0"/>
        <v>1</v>
      </c>
      <c r="J5" s="265">
        <f t="shared" si="0"/>
        <v>302</v>
      </c>
      <c r="K5" s="265">
        <f t="shared" si="0"/>
        <v>305</v>
      </c>
      <c r="L5" s="265">
        <f t="shared" si="0"/>
        <v>-3</v>
      </c>
      <c r="M5" s="266" t="s">
        <v>361</v>
      </c>
      <c r="N5" s="267">
        <v>160</v>
      </c>
      <c r="O5" s="267">
        <v>700</v>
      </c>
      <c r="P5" s="267">
        <v>860</v>
      </c>
      <c r="Q5" s="267">
        <v>848.7</v>
      </c>
      <c r="R5" s="267">
        <v>-28.700000000000024</v>
      </c>
      <c r="S5" s="267">
        <v>40</v>
      </c>
      <c r="T5" s="267">
        <v>0</v>
      </c>
      <c r="U5" s="267">
        <v>0</v>
      </c>
      <c r="V5" s="267">
        <v>0</v>
      </c>
      <c r="W5" s="268">
        <v>860</v>
      </c>
      <c r="X5" s="269">
        <v>0</v>
      </c>
    </row>
    <row r="6" spans="1:28" s="236" customFormat="1" ht="23.25" customHeight="1" thickBot="1">
      <c r="A6" s="262"/>
      <c r="B6" s="262"/>
      <c r="C6" s="270"/>
      <c r="D6" s="264"/>
      <c r="E6" s="264"/>
      <c r="F6" s="264"/>
      <c r="G6" s="264"/>
      <c r="H6" s="264"/>
      <c r="I6" s="264"/>
      <c r="J6" s="264"/>
      <c r="K6" s="264"/>
      <c r="L6" s="264"/>
      <c r="M6" s="271" t="s">
        <v>362</v>
      </c>
      <c r="N6" s="272">
        <v>2.622950819672131</v>
      </c>
      <c r="O6" s="272">
        <v>11.475409836065573</v>
      </c>
      <c r="P6" s="272">
        <v>14.098360655737705</v>
      </c>
      <c r="Q6" s="272">
        <v>13.913114754098361</v>
      </c>
      <c r="R6" s="272">
        <v>-0.47049180327868895</v>
      </c>
      <c r="S6" s="272">
        <v>0.65573770491803274</v>
      </c>
      <c r="T6" s="272">
        <v>0</v>
      </c>
      <c r="U6" s="272">
        <v>0</v>
      </c>
      <c r="V6" s="272">
        <v>0</v>
      </c>
      <c r="W6" s="272">
        <v>14.098360655737705</v>
      </c>
      <c r="X6" s="273"/>
    </row>
    <row r="7" spans="1:28" s="236" customFormat="1" ht="23.25" customHeight="1" thickBot="1">
      <c r="A7" s="231" t="s">
        <v>363</v>
      </c>
      <c r="B7" s="274">
        <v>45998</v>
      </c>
      <c r="C7" s="270"/>
      <c r="D7" s="264"/>
      <c r="E7" s="264"/>
      <c r="F7" s="264"/>
      <c r="G7" s="264"/>
      <c r="H7" s="264"/>
      <c r="I7" s="264"/>
      <c r="J7" s="264"/>
      <c r="K7" s="264"/>
      <c r="L7" s="264"/>
      <c r="M7" s="275" t="s">
        <v>364</v>
      </c>
      <c r="N7" s="276"/>
      <c r="O7" s="272">
        <v>0</v>
      </c>
      <c r="P7" s="239"/>
      <c r="Q7" s="239"/>
      <c r="R7" s="273"/>
      <c r="S7" s="273"/>
      <c r="T7" s="239"/>
      <c r="U7" s="239"/>
      <c r="V7" s="239"/>
      <c r="W7" s="230"/>
      <c r="X7" s="273"/>
    </row>
    <row r="8" spans="1:28" s="236" customFormat="1" ht="23.25" customHeight="1" thickBot="1">
      <c r="A8" s="231" t="s">
        <v>365</v>
      </c>
      <c r="B8" s="274">
        <v>45996</v>
      </c>
      <c r="C8" s="270"/>
      <c r="D8" s="264"/>
      <c r="E8" s="264"/>
      <c r="F8" s="264"/>
      <c r="G8" s="264"/>
      <c r="H8" s="264"/>
      <c r="I8" s="264"/>
      <c r="J8" s="264"/>
      <c r="K8" s="264"/>
      <c r="L8" s="264"/>
      <c r="M8" s="277" t="s">
        <v>366</v>
      </c>
      <c r="N8" s="278"/>
      <c r="O8" s="278">
        <v>0</v>
      </c>
      <c r="P8" s="239"/>
      <c r="Q8" s="239"/>
      <c r="R8" s="273"/>
      <c r="S8" s="273"/>
      <c r="T8" s="239"/>
      <c r="U8" s="239"/>
      <c r="V8" s="239"/>
      <c r="W8" s="230"/>
      <c r="X8" s="273"/>
    </row>
    <row r="9" spans="1:28" s="260" customFormat="1" ht="41.25" customHeight="1" thickBot="1">
      <c r="A9" s="254" t="s">
        <v>327</v>
      </c>
      <c r="B9" s="254" t="s">
        <v>328</v>
      </c>
      <c r="C9" s="254" t="s">
        <v>2398</v>
      </c>
      <c r="D9" s="254" t="s">
        <v>2399</v>
      </c>
      <c r="E9" s="254" t="s">
        <v>2400</v>
      </c>
      <c r="F9" s="254" t="s">
        <v>2401</v>
      </c>
      <c r="G9" s="254" t="s">
        <v>343</v>
      </c>
      <c r="H9" s="254" t="s">
        <v>344</v>
      </c>
      <c r="I9" s="254" t="s">
        <v>345</v>
      </c>
      <c r="J9" s="254" t="s">
        <v>346</v>
      </c>
      <c r="K9" s="254" t="s">
        <v>367</v>
      </c>
      <c r="L9" s="254" t="s">
        <v>97</v>
      </c>
      <c r="M9" s="255" t="s">
        <v>349</v>
      </c>
      <c r="N9" s="256" t="s">
        <v>350</v>
      </c>
      <c r="O9" s="256" t="s">
        <v>351</v>
      </c>
      <c r="P9" s="257" t="s">
        <v>368</v>
      </c>
      <c r="Q9" s="258" t="s">
        <v>353</v>
      </c>
      <c r="R9" s="258" t="s">
        <v>354</v>
      </c>
      <c r="S9" s="258" t="s">
        <v>355</v>
      </c>
      <c r="T9" s="258" t="s">
        <v>356</v>
      </c>
      <c r="U9" s="258" t="s">
        <v>357</v>
      </c>
      <c r="V9" s="258" t="s">
        <v>358</v>
      </c>
      <c r="W9" s="258" t="s">
        <v>359</v>
      </c>
      <c r="X9" s="259" t="s">
        <v>360</v>
      </c>
    </row>
    <row r="10" spans="1:28" s="289" customFormat="1" ht="54" customHeight="1">
      <c r="A10" s="279"/>
      <c r="B10" s="287"/>
      <c r="C10" s="280"/>
      <c r="D10" s="280"/>
      <c r="E10" s="280"/>
      <c r="F10" s="280"/>
      <c r="G10" s="281"/>
      <c r="H10" s="281"/>
      <c r="I10" s="281"/>
      <c r="J10" s="282"/>
      <c r="K10" s="279"/>
      <c r="L10" s="279"/>
      <c r="M10" s="283"/>
      <c r="N10" s="284"/>
      <c r="O10" s="284"/>
      <c r="P10" s="284"/>
      <c r="Q10" s="285"/>
      <c r="R10" s="286"/>
      <c r="S10" s="286"/>
      <c r="T10" s="286"/>
      <c r="U10" s="286"/>
      <c r="V10" s="286"/>
      <c r="W10" s="286"/>
      <c r="X10" s="288"/>
    </row>
    <row r="11" spans="1:28" s="241" customFormat="1" ht="14" thickBot="1">
      <c r="A11" s="279" t="s">
        <v>369</v>
      </c>
      <c r="B11" s="337" t="s">
        <v>370</v>
      </c>
      <c r="C11" s="280">
        <v>45926</v>
      </c>
      <c r="D11" s="280">
        <v>45928</v>
      </c>
      <c r="E11" s="280">
        <v>45926</v>
      </c>
      <c r="F11" s="280">
        <v>45928</v>
      </c>
      <c r="G11" s="281">
        <v>4</v>
      </c>
      <c r="H11" s="281">
        <v>4</v>
      </c>
      <c r="I11" s="281">
        <v>0</v>
      </c>
      <c r="J11" s="282">
        <v>8</v>
      </c>
      <c r="K11" s="279">
        <v>8</v>
      </c>
      <c r="L11" s="279">
        <v>0</v>
      </c>
      <c r="M11" s="283"/>
      <c r="N11" s="284"/>
      <c r="O11" s="284"/>
      <c r="P11" s="284"/>
      <c r="Q11" s="284"/>
      <c r="R11" s="284"/>
      <c r="S11" s="284"/>
      <c r="T11" s="284"/>
      <c r="U11" s="285"/>
      <c r="V11" s="286"/>
      <c r="W11" s="286"/>
      <c r="X11" s="286"/>
      <c r="Y11" s="286"/>
      <c r="Z11" s="286"/>
      <c r="AA11" s="286"/>
      <c r="AB11" s="338"/>
    </row>
    <row r="12" spans="1:28" s="340" customFormat="1" ht="13">
      <c r="A12" s="279" t="s">
        <v>371</v>
      </c>
      <c r="B12" s="339" t="s">
        <v>372</v>
      </c>
      <c r="C12" s="280">
        <v>45936</v>
      </c>
      <c r="D12" s="280">
        <v>45936</v>
      </c>
      <c r="E12" s="280">
        <v>45936</v>
      </c>
      <c r="F12" s="280">
        <v>45936</v>
      </c>
      <c r="G12" s="281">
        <v>2</v>
      </c>
      <c r="H12" s="281">
        <v>2</v>
      </c>
      <c r="I12" s="281">
        <v>0</v>
      </c>
      <c r="J12" s="282">
        <v>0</v>
      </c>
      <c r="K12" s="279">
        <v>0</v>
      </c>
      <c r="L12" s="279">
        <v>0</v>
      </c>
      <c r="M12" s="283"/>
      <c r="N12" s="284"/>
      <c r="O12" s="284"/>
      <c r="P12" s="284"/>
      <c r="Q12" s="284"/>
      <c r="R12" s="284"/>
      <c r="S12" s="284"/>
      <c r="T12" s="284"/>
      <c r="U12" s="285"/>
      <c r="V12" s="286"/>
      <c r="W12" s="286"/>
      <c r="X12" s="286"/>
      <c r="Y12" s="286"/>
      <c r="Z12" s="286"/>
      <c r="AA12" s="286"/>
      <c r="AB12" s="288"/>
    </row>
    <row r="13" spans="1:28" s="340" customFormat="1" ht="13">
      <c r="A13" s="279" t="s">
        <v>1172</v>
      </c>
      <c r="B13" s="339" t="s">
        <v>373</v>
      </c>
      <c r="C13" s="280">
        <v>45934</v>
      </c>
      <c r="D13" s="280">
        <v>45936</v>
      </c>
      <c r="E13" s="280">
        <v>45934</v>
      </c>
      <c r="F13" s="280">
        <v>45936</v>
      </c>
      <c r="G13" s="281">
        <v>5</v>
      </c>
      <c r="H13" s="281">
        <v>5</v>
      </c>
      <c r="I13" s="281">
        <v>0</v>
      </c>
      <c r="J13" s="282">
        <v>10</v>
      </c>
      <c r="K13" s="279">
        <v>10</v>
      </c>
      <c r="L13" s="279">
        <v>0</v>
      </c>
      <c r="M13" s="283"/>
      <c r="N13" s="284"/>
      <c r="O13" s="284"/>
      <c r="P13" s="284"/>
      <c r="Q13" s="284"/>
      <c r="R13" s="284"/>
      <c r="S13" s="284"/>
      <c r="T13" s="284"/>
      <c r="U13" s="285"/>
      <c r="V13" s="286"/>
      <c r="W13" s="286"/>
      <c r="X13" s="286"/>
      <c r="Y13" s="286"/>
      <c r="Z13" s="286"/>
      <c r="AA13" s="286"/>
      <c r="AB13" s="288"/>
    </row>
    <row r="14" spans="1:28" s="340" customFormat="1" ht="13">
      <c r="A14" s="279" t="s">
        <v>1173</v>
      </c>
      <c r="B14" s="339" t="s">
        <v>374</v>
      </c>
      <c r="C14" s="280">
        <v>45939</v>
      </c>
      <c r="D14" s="280">
        <v>45940</v>
      </c>
      <c r="E14" s="280">
        <v>45939</v>
      </c>
      <c r="F14" s="280">
        <v>45940</v>
      </c>
      <c r="G14" s="281">
        <v>2</v>
      </c>
      <c r="H14" s="281">
        <v>2</v>
      </c>
      <c r="I14" s="281">
        <v>0</v>
      </c>
      <c r="J14" s="282">
        <v>2</v>
      </c>
      <c r="K14" s="279">
        <v>2</v>
      </c>
      <c r="L14" s="279">
        <v>0</v>
      </c>
      <c r="M14" s="283"/>
      <c r="N14" s="284"/>
      <c r="O14" s="284"/>
      <c r="P14" s="284"/>
      <c r="Q14" s="284"/>
      <c r="R14" s="284"/>
      <c r="S14" s="284"/>
      <c r="T14" s="284"/>
      <c r="U14" s="285"/>
      <c r="V14" s="286"/>
      <c r="W14" s="286"/>
      <c r="X14" s="286"/>
      <c r="Y14" s="286"/>
      <c r="Z14" s="286"/>
      <c r="AA14" s="286"/>
      <c r="AB14" s="288"/>
    </row>
    <row r="15" spans="1:28" s="340" customFormat="1" ht="13">
      <c r="A15" s="279" t="s">
        <v>1174</v>
      </c>
      <c r="B15" s="339" t="s">
        <v>375</v>
      </c>
      <c r="C15" s="280">
        <v>45941</v>
      </c>
      <c r="D15" s="280">
        <v>45943</v>
      </c>
      <c r="E15" s="280">
        <v>45941</v>
      </c>
      <c r="F15" s="280">
        <v>45943</v>
      </c>
      <c r="G15" s="281">
        <v>4</v>
      </c>
      <c r="H15" s="281">
        <v>4</v>
      </c>
      <c r="I15" s="281">
        <v>0</v>
      </c>
      <c r="J15" s="282">
        <v>8</v>
      </c>
      <c r="K15" s="279">
        <v>8</v>
      </c>
      <c r="L15" s="279">
        <v>0</v>
      </c>
      <c r="M15" s="283"/>
      <c r="N15" s="284"/>
      <c r="O15" s="284"/>
      <c r="P15" s="284"/>
      <c r="Q15" s="284"/>
      <c r="R15" s="284"/>
      <c r="S15" s="284"/>
      <c r="T15" s="284"/>
      <c r="U15" s="285"/>
      <c r="V15" s="286"/>
      <c r="W15" s="286"/>
      <c r="X15" s="286"/>
      <c r="Y15" s="286"/>
      <c r="Z15" s="286"/>
      <c r="AA15" s="286"/>
      <c r="AB15" s="288"/>
    </row>
    <row r="16" spans="1:28" s="340" customFormat="1" ht="13">
      <c r="A16" s="279" t="s">
        <v>1175</v>
      </c>
      <c r="B16" s="339" t="s">
        <v>376</v>
      </c>
      <c r="C16" s="280">
        <v>45943</v>
      </c>
      <c r="D16" s="280">
        <v>45945</v>
      </c>
      <c r="E16" s="280">
        <v>45943</v>
      </c>
      <c r="F16" s="280">
        <v>45945</v>
      </c>
      <c r="G16" s="281">
        <v>4</v>
      </c>
      <c r="H16" s="281">
        <v>4</v>
      </c>
      <c r="I16" s="281">
        <v>0</v>
      </c>
      <c r="J16" s="282">
        <v>8</v>
      </c>
      <c r="K16" s="279">
        <v>8</v>
      </c>
      <c r="L16" s="279">
        <v>0</v>
      </c>
      <c r="M16" s="283"/>
      <c r="N16" s="284"/>
      <c r="O16" s="284"/>
      <c r="P16" s="284"/>
      <c r="Q16" s="284"/>
      <c r="R16" s="284"/>
      <c r="S16" s="284"/>
      <c r="T16" s="284"/>
      <c r="U16" s="285"/>
      <c r="V16" s="286"/>
      <c r="W16" s="286"/>
      <c r="X16" s="286"/>
      <c r="Y16" s="286"/>
      <c r="Z16" s="286"/>
      <c r="AA16" s="286"/>
      <c r="AB16" s="288"/>
    </row>
    <row r="17" spans="1:28" s="340" customFormat="1" ht="13">
      <c r="A17" s="279" t="s">
        <v>1176</v>
      </c>
      <c r="B17" s="339" t="s">
        <v>377</v>
      </c>
      <c r="C17" s="280">
        <v>45945</v>
      </c>
      <c r="D17" s="280">
        <v>45947</v>
      </c>
      <c r="E17" s="280">
        <v>45945</v>
      </c>
      <c r="F17" s="280">
        <v>45947</v>
      </c>
      <c r="G17" s="281">
        <v>2</v>
      </c>
      <c r="H17" s="281">
        <v>2</v>
      </c>
      <c r="I17" s="281">
        <v>0</v>
      </c>
      <c r="J17" s="282">
        <v>4</v>
      </c>
      <c r="K17" s="279">
        <v>4</v>
      </c>
      <c r="L17" s="279">
        <v>0</v>
      </c>
      <c r="M17" s="283"/>
      <c r="N17" s="284"/>
      <c r="O17" s="284"/>
      <c r="P17" s="284"/>
      <c r="Q17" s="284"/>
      <c r="R17" s="284"/>
      <c r="S17" s="284"/>
      <c r="T17" s="284"/>
      <c r="U17" s="285"/>
      <c r="V17" s="286"/>
      <c r="W17" s="286"/>
      <c r="X17" s="286"/>
      <c r="Y17" s="286"/>
      <c r="Z17" s="286"/>
      <c r="AA17" s="286"/>
      <c r="AB17" s="288"/>
    </row>
    <row r="18" spans="1:28" s="340" customFormat="1" ht="13">
      <c r="A18" s="279" t="s">
        <v>1177</v>
      </c>
      <c r="B18" s="339" t="s">
        <v>378</v>
      </c>
      <c r="C18" s="280">
        <v>45950</v>
      </c>
      <c r="D18" s="280">
        <v>45952</v>
      </c>
      <c r="E18" s="280">
        <v>45950</v>
      </c>
      <c r="F18" s="280">
        <v>45952</v>
      </c>
      <c r="G18" s="281">
        <v>2</v>
      </c>
      <c r="H18" s="281">
        <v>2</v>
      </c>
      <c r="I18" s="281">
        <v>0</v>
      </c>
      <c r="J18" s="282">
        <v>4</v>
      </c>
      <c r="K18" s="279">
        <v>4</v>
      </c>
      <c r="L18" s="279">
        <v>0</v>
      </c>
      <c r="M18" s="283"/>
      <c r="N18" s="284"/>
      <c r="O18" s="284"/>
      <c r="P18" s="284"/>
      <c r="Q18" s="284"/>
      <c r="R18" s="284"/>
      <c r="S18" s="284"/>
      <c r="T18" s="284"/>
      <c r="U18" s="285"/>
      <c r="V18" s="286"/>
      <c r="W18" s="286"/>
      <c r="X18" s="286"/>
      <c r="Y18" s="286"/>
      <c r="Z18" s="286"/>
      <c r="AA18" s="286"/>
      <c r="AB18" s="288"/>
    </row>
    <row r="19" spans="1:28" s="340" customFormat="1" ht="13">
      <c r="A19" s="279" t="s">
        <v>1178</v>
      </c>
      <c r="B19" s="339" t="s">
        <v>379</v>
      </c>
      <c r="C19" s="280">
        <v>45953</v>
      </c>
      <c r="D19" s="280">
        <v>45955</v>
      </c>
      <c r="E19" s="280">
        <v>45953</v>
      </c>
      <c r="F19" s="280">
        <v>45955</v>
      </c>
      <c r="G19" s="281">
        <v>4</v>
      </c>
      <c r="H19" s="281">
        <v>4</v>
      </c>
      <c r="I19" s="281">
        <v>0</v>
      </c>
      <c r="J19" s="282">
        <v>8</v>
      </c>
      <c r="K19" s="279">
        <v>8</v>
      </c>
      <c r="L19" s="279">
        <v>0</v>
      </c>
      <c r="M19" s="283"/>
      <c r="N19" s="284"/>
      <c r="O19" s="284"/>
      <c r="P19" s="284"/>
      <c r="Q19" s="284"/>
      <c r="R19" s="284"/>
      <c r="S19" s="284"/>
      <c r="T19" s="284"/>
      <c r="U19" s="285"/>
      <c r="V19" s="286"/>
      <c r="W19" s="286"/>
      <c r="X19" s="286"/>
      <c r="Y19" s="286"/>
      <c r="Z19" s="286"/>
      <c r="AA19" s="286"/>
      <c r="AB19" s="288"/>
    </row>
    <row r="20" spans="1:28" s="340" customFormat="1" ht="13">
      <c r="A20" s="279" t="s">
        <v>380</v>
      </c>
      <c r="B20" s="339" t="s">
        <v>381</v>
      </c>
      <c r="C20" s="280">
        <v>45955</v>
      </c>
      <c r="D20" s="280">
        <v>45956</v>
      </c>
      <c r="E20" s="280">
        <v>45955</v>
      </c>
      <c r="F20" s="280">
        <v>45956</v>
      </c>
      <c r="G20" s="281">
        <v>1</v>
      </c>
      <c r="H20" s="281">
        <v>1</v>
      </c>
      <c r="I20" s="281">
        <v>0</v>
      </c>
      <c r="J20" s="282">
        <v>1</v>
      </c>
      <c r="K20" s="279">
        <v>1</v>
      </c>
      <c r="L20" s="279">
        <v>0</v>
      </c>
      <c r="M20" s="283"/>
      <c r="N20" s="284"/>
      <c r="O20" s="284"/>
      <c r="P20" s="284"/>
      <c r="Q20" s="284"/>
      <c r="R20" s="284"/>
      <c r="S20" s="284"/>
      <c r="T20" s="284"/>
      <c r="U20" s="285"/>
      <c r="V20" s="286"/>
      <c r="W20" s="286"/>
      <c r="X20" s="286"/>
      <c r="Y20" s="286"/>
      <c r="Z20" s="286"/>
      <c r="AA20" s="286"/>
      <c r="AB20" s="288"/>
    </row>
    <row r="21" spans="1:28" s="340" customFormat="1" ht="13">
      <c r="A21" s="279" t="s">
        <v>1179</v>
      </c>
      <c r="B21" s="339" t="s">
        <v>1180</v>
      </c>
      <c r="C21" s="280">
        <v>45992</v>
      </c>
      <c r="D21" s="280">
        <v>45992</v>
      </c>
      <c r="E21" s="280">
        <v>45992</v>
      </c>
      <c r="F21" s="280">
        <v>45992</v>
      </c>
      <c r="G21" s="281">
        <v>2</v>
      </c>
      <c r="H21" s="281">
        <v>2</v>
      </c>
      <c r="I21" s="281">
        <v>0</v>
      </c>
      <c r="J21" s="282">
        <v>0</v>
      </c>
      <c r="K21" s="279">
        <v>0</v>
      </c>
      <c r="L21" s="279">
        <v>0</v>
      </c>
      <c r="M21" s="283"/>
      <c r="N21" s="284"/>
      <c r="O21" s="284"/>
      <c r="P21" s="284"/>
      <c r="Q21" s="284"/>
      <c r="R21" s="284"/>
      <c r="S21" s="284"/>
      <c r="T21" s="284"/>
      <c r="U21" s="285"/>
      <c r="V21" s="286"/>
      <c r="W21" s="286"/>
      <c r="X21" s="286"/>
      <c r="Y21" s="286"/>
      <c r="Z21" s="286"/>
      <c r="AA21" s="286"/>
      <c r="AB21" s="288"/>
    </row>
    <row r="22" spans="1:28" s="340" customFormat="1" ht="13">
      <c r="A22" s="279" t="s">
        <v>2365</v>
      </c>
      <c r="B22" s="339" t="s">
        <v>2366</v>
      </c>
      <c r="C22" s="280">
        <v>45990</v>
      </c>
      <c r="D22" s="280">
        <v>45994</v>
      </c>
      <c r="E22" s="280">
        <v>45990</v>
      </c>
      <c r="F22" s="280">
        <v>45994</v>
      </c>
      <c r="G22" s="281">
        <v>1</v>
      </c>
      <c r="H22" s="281">
        <v>1</v>
      </c>
      <c r="I22" s="281">
        <v>0</v>
      </c>
      <c r="J22" s="282">
        <v>4</v>
      </c>
      <c r="K22" s="279">
        <v>4</v>
      </c>
      <c r="L22" s="279">
        <v>0</v>
      </c>
      <c r="M22" s="283"/>
      <c r="N22" s="284"/>
      <c r="O22" s="284"/>
      <c r="P22" s="284"/>
      <c r="Q22" s="284"/>
      <c r="R22" s="284"/>
      <c r="S22" s="284"/>
      <c r="T22" s="284"/>
      <c r="U22" s="302"/>
      <c r="V22" s="303"/>
      <c r="W22" s="286"/>
      <c r="X22" s="286"/>
      <c r="Y22" s="286"/>
      <c r="Z22" s="286"/>
      <c r="AA22" s="303"/>
      <c r="AB22" s="304"/>
    </row>
    <row r="23" spans="1:28" s="340" customFormat="1" ht="13">
      <c r="A23" s="279" t="s">
        <v>1181</v>
      </c>
      <c r="B23" s="339" t="s">
        <v>1182</v>
      </c>
      <c r="C23" s="280">
        <v>45993</v>
      </c>
      <c r="D23" s="280">
        <v>45995</v>
      </c>
      <c r="E23" s="280">
        <v>45993</v>
      </c>
      <c r="F23" s="280">
        <v>45995</v>
      </c>
      <c r="G23" s="281">
        <v>2</v>
      </c>
      <c r="H23" s="281">
        <v>2</v>
      </c>
      <c r="I23" s="281">
        <v>0</v>
      </c>
      <c r="J23" s="282">
        <v>4</v>
      </c>
      <c r="K23" s="279">
        <v>4</v>
      </c>
      <c r="L23" s="279">
        <v>0</v>
      </c>
      <c r="M23" s="283"/>
      <c r="N23" s="284"/>
      <c r="O23" s="284"/>
      <c r="P23" s="284"/>
      <c r="Q23" s="284"/>
      <c r="R23" s="284"/>
      <c r="S23" s="284"/>
      <c r="T23" s="284"/>
      <c r="U23" s="302"/>
      <c r="V23" s="303"/>
      <c r="W23" s="303"/>
      <c r="X23" s="286"/>
      <c r="Y23" s="286"/>
      <c r="Z23" s="286"/>
      <c r="AA23" s="303"/>
      <c r="AB23" s="304"/>
    </row>
    <row r="24" spans="1:28" s="340" customFormat="1" ht="13">
      <c r="A24" s="279" t="s">
        <v>1183</v>
      </c>
      <c r="B24" s="339" t="s">
        <v>1184</v>
      </c>
      <c r="C24" s="280">
        <v>45996</v>
      </c>
      <c r="D24" s="280">
        <v>45998</v>
      </c>
      <c r="E24" s="280">
        <v>45996</v>
      </c>
      <c r="F24" s="280">
        <v>45998</v>
      </c>
      <c r="G24" s="281">
        <v>2</v>
      </c>
      <c r="H24" s="281">
        <v>2</v>
      </c>
      <c r="I24" s="281">
        <v>0</v>
      </c>
      <c r="J24" s="282">
        <v>4</v>
      </c>
      <c r="K24" s="279">
        <v>4</v>
      </c>
      <c r="L24" s="279">
        <v>0</v>
      </c>
      <c r="M24" s="283"/>
      <c r="N24" s="284"/>
      <c r="O24" s="284"/>
      <c r="P24" s="284"/>
      <c r="Q24" s="284"/>
      <c r="R24" s="284"/>
      <c r="S24" s="284"/>
      <c r="T24" s="284"/>
      <c r="U24" s="302"/>
      <c r="V24" s="303"/>
      <c r="W24" s="303"/>
      <c r="X24" s="286"/>
      <c r="Y24" s="286"/>
      <c r="Z24" s="286"/>
      <c r="AA24" s="303"/>
      <c r="AB24" s="304"/>
    </row>
    <row r="25" spans="1:28" s="340" customFormat="1" ht="13">
      <c r="A25" s="279" t="s">
        <v>1185</v>
      </c>
      <c r="B25" s="339" t="s">
        <v>1186</v>
      </c>
      <c r="C25" s="280">
        <v>45997</v>
      </c>
      <c r="D25" s="280">
        <v>45999</v>
      </c>
      <c r="E25" s="280">
        <v>45997</v>
      </c>
      <c r="F25" s="280">
        <v>45999</v>
      </c>
      <c r="G25" s="281">
        <v>2</v>
      </c>
      <c r="H25" s="281">
        <v>2</v>
      </c>
      <c r="I25" s="281">
        <v>0</v>
      </c>
      <c r="J25" s="282">
        <v>4</v>
      </c>
      <c r="K25" s="279">
        <v>4</v>
      </c>
      <c r="L25" s="279">
        <v>0</v>
      </c>
      <c r="M25" s="283"/>
      <c r="N25" s="284"/>
      <c r="O25" s="284"/>
      <c r="P25" s="284"/>
      <c r="Q25" s="284"/>
      <c r="R25" s="284"/>
      <c r="S25" s="284"/>
      <c r="T25" s="284"/>
      <c r="U25" s="285"/>
      <c r="V25" s="286"/>
      <c r="W25" s="286"/>
      <c r="X25" s="286"/>
      <c r="Y25" s="286"/>
      <c r="Z25" s="286"/>
      <c r="AA25" s="286"/>
      <c r="AB25" s="288"/>
    </row>
    <row r="26" spans="1:28" s="340" customFormat="1" ht="13">
      <c r="A26" s="279" t="s">
        <v>1187</v>
      </c>
      <c r="B26" s="339" t="s">
        <v>1188</v>
      </c>
      <c r="C26" s="280">
        <v>46001</v>
      </c>
      <c r="D26" s="280">
        <v>46002</v>
      </c>
      <c r="E26" s="280">
        <v>46001</v>
      </c>
      <c r="F26" s="280">
        <v>46002</v>
      </c>
      <c r="G26" s="281">
        <v>8</v>
      </c>
      <c r="H26" s="281">
        <v>8</v>
      </c>
      <c r="I26" s="281">
        <v>0</v>
      </c>
      <c r="J26" s="282">
        <v>8</v>
      </c>
      <c r="K26" s="279">
        <v>8</v>
      </c>
      <c r="L26" s="279">
        <v>0</v>
      </c>
      <c r="M26" s="283"/>
      <c r="N26" s="284"/>
      <c r="O26" s="284"/>
      <c r="P26" s="284"/>
      <c r="Q26" s="284"/>
      <c r="R26" s="284"/>
      <c r="S26" s="284"/>
      <c r="T26" s="284"/>
      <c r="U26" s="285"/>
      <c r="V26" s="286"/>
      <c r="W26" s="286"/>
      <c r="X26" s="286"/>
      <c r="Y26" s="286"/>
      <c r="Z26" s="286"/>
      <c r="AA26" s="286"/>
      <c r="AB26" s="288"/>
    </row>
    <row r="27" spans="1:28" s="340" customFormat="1" ht="13">
      <c r="A27" s="279" t="s">
        <v>1189</v>
      </c>
      <c r="B27" s="339" t="s">
        <v>1190</v>
      </c>
      <c r="C27" s="280">
        <v>46002</v>
      </c>
      <c r="D27" s="280">
        <v>46004</v>
      </c>
      <c r="E27" s="280">
        <v>46002</v>
      </c>
      <c r="F27" s="280">
        <v>46004</v>
      </c>
      <c r="G27" s="281">
        <v>4</v>
      </c>
      <c r="H27" s="281">
        <v>4</v>
      </c>
      <c r="I27" s="281">
        <v>0</v>
      </c>
      <c r="J27" s="282">
        <v>8</v>
      </c>
      <c r="K27" s="279">
        <v>8</v>
      </c>
      <c r="L27" s="279">
        <v>0</v>
      </c>
      <c r="M27" s="283"/>
      <c r="N27" s="284"/>
      <c r="O27" s="284"/>
      <c r="P27" s="284"/>
      <c r="Q27" s="284"/>
      <c r="R27" s="284"/>
      <c r="S27" s="284"/>
      <c r="T27" s="284"/>
      <c r="U27" s="285"/>
      <c r="V27" s="286"/>
      <c r="W27" s="286"/>
      <c r="X27" s="286"/>
      <c r="Y27" s="286"/>
      <c r="Z27" s="286"/>
      <c r="AA27" s="286"/>
      <c r="AB27" s="288"/>
    </row>
    <row r="28" spans="1:28" s="340" customFormat="1" ht="13">
      <c r="A28" s="279" t="s">
        <v>1191</v>
      </c>
      <c r="B28" s="339" t="s">
        <v>1192</v>
      </c>
      <c r="C28" s="280">
        <v>46018</v>
      </c>
      <c r="D28" s="280">
        <v>46019</v>
      </c>
      <c r="E28" s="280">
        <v>46018</v>
      </c>
      <c r="F28" s="280">
        <v>46019</v>
      </c>
      <c r="G28" s="281">
        <v>4</v>
      </c>
      <c r="H28" s="281">
        <v>4</v>
      </c>
      <c r="I28" s="281">
        <v>0</v>
      </c>
      <c r="J28" s="282">
        <v>4</v>
      </c>
      <c r="K28" s="279">
        <v>4</v>
      </c>
      <c r="L28" s="279">
        <v>0</v>
      </c>
      <c r="M28" s="283"/>
      <c r="N28" s="284"/>
      <c r="O28" s="284"/>
      <c r="P28" s="284"/>
      <c r="Q28" s="284"/>
      <c r="R28" s="284"/>
      <c r="S28" s="284"/>
      <c r="T28" s="284"/>
      <c r="U28" s="302"/>
      <c r="V28" s="303"/>
      <c r="W28" s="286"/>
      <c r="X28" s="286"/>
      <c r="Y28" s="286"/>
      <c r="Z28" s="286"/>
      <c r="AA28" s="303"/>
      <c r="AB28" s="304"/>
    </row>
    <row r="29" spans="1:28" s="340" customFormat="1" ht="13">
      <c r="A29" s="279" t="s">
        <v>1193</v>
      </c>
      <c r="B29" s="339" t="s">
        <v>1194</v>
      </c>
      <c r="C29" s="280">
        <v>46019</v>
      </c>
      <c r="D29" s="280">
        <v>46050</v>
      </c>
      <c r="E29" s="280">
        <v>46018</v>
      </c>
      <c r="F29" s="280">
        <v>46019</v>
      </c>
      <c r="G29" s="281">
        <v>4</v>
      </c>
      <c r="H29" s="281">
        <v>4</v>
      </c>
      <c r="I29" s="281">
        <v>0</v>
      </c>
      <c r="J29" s="282">
        <v>3</v>
      </c>
      <c r="K29" s="279">
        <v>4</v>
      </c>
      <c r="L29" s="279">
        <v>-1</v>
      </c>
      <c r="M29" s="283"/>
      <c r="N29" s="284"/>
      <c r="O29" s="284"/>
      <c r="P29" s="284"/>
      <c r="Q29" s="284"/>
      <c r="R29" s="284"/>
      <c r="S29" s="284"/>
      <c r="T29" s="284"/>
      <c r="U29" s="285"/>
      <c r="V29" s="286"/>
      <c r="W29" s="286"/>
      <c r="X29" s="286"/>
      <c r="Y29" s="286"/>
      <c r="Z29" s="286"/>
      <c r="AA29" s="286"/>
      <c r="AB29" s="288"/>
    </row>
    <row r="30" spans="1:28" s="340" customFormat="1" ht="13">
      <c r="A30" s="279" t="s">
        <v>1195</v>
      </c>
      <c r="B30" s="339" t="s">
        <v>1196</v>
      </c>
      <c r="C30" s="280">
        <v>46020</v>
      </c>
      <c r="D30" s="280">
        <v>46022</v>
      </c>
      <c r="E30" s="280">
        <v>46020</v>
      </c>
      <c r="F30" s="280">
        <v>46022</v>
      </c>
      <c r="G30" s="281">
        <v>2</v>
      </c>
      <c r="H30" s="281">
        <v>2</v>
      </c>
      <c r="I30" s="281">
        <v>0</v>
      </c>
      <c r="J30" s="282">
        <v>4</v>
      </c>
      <c r="K30" s="279">
        <v>4</v>
      </c>
      <c r="L30" s="279">
        <v>0</v>
      </c>
      <c r="M30" s="283"/>
      <c r="N30" s="284"/>
      <c r="O30" s="284"/>
      <c r="P30" s="284"/>
      <c r="Q30" s="284"/>
      <c r="R30" s="284"/>
      <c r="S30" s="284"/>
      <c r="T30" s="284"/>
      <c r="U30" s="285"/>
      <c r="V30" s="286"/>
      <c r="W30" s="286"/>
      <c r="X30" s="286"/>
      <c r="Y30" s="286"/>
      <c r="Z30" s="286"/>
      <c r="AA30" s="286"/>
      <c r="AB30" s="288"/>
    </row>
    <row r="31" spans="1:28" s="340" customFormat="1" ht="13">
      <c r="A31" s="279" t="s">
        <v>1834</v>
      </c>
      <c r="B31" s="339" t="s">
        <v>1835</v>
      </c>
      <c r="C31" s="280">
        <v>46029</v>
      </c>
      <c r="D31" s="280">
        <v>46030</v>
      </c>
      <c r="E31" s="280">
        <v>46029</v>
      </c>
      <c r="F31" s="280">
        <v>46030</v>
      </c>
      <c r="G31" s="281">
        <v>1</v>
      </c>
      <c r="H31" s="281">
        <v>1</v>
      </c>
      <c r="I31" s="281">
        <v>0</v>
      </c>
      <c r="J31" s="282">
        <v>1</v>
      </c>
      <c r="K31" s="279">
        <v>1</v>
      </c>
      <c r="L31" s="279">
        <v>0</v>
      </c>
      <c r="M31" s="283"/>
      <c r="N31" s="284"/>
      <c r="O31" s="284"/>
      <c r="P31" s="284"/>
      <c r="Q31" s="284"/>
      <c r="R31" s="284"/>
      <c r="S31" s="284"/>
      <c r="T31" s="284"/>
      <c r="U31" s="302"/>
      <c r="V31" s="303"/>
      <c r="W31" s="303"/>
      <c r="X31" s="286"/>
      <c r="Y31" s="286"/>
      <c r="Z31" s="286"/>
      <c r="AA31" s="303"/>
      <c r="AB31" s="304"/>
    </row>
    <row r="32" spans="1:28" s="340" customFormat="1" ht="13">
      <c r="A32" s="279" t="s">
        <v>1836</v>
      </c>
      <c r="B32" s="339" t="s">
        <v>1837</v>
      </c>
      <c r="C32" s="280">
        <v>46034</v>
      </c>
      <c r="D32" s="280">
        <v>46036</v>
      </c>
      <c r="E32" s="280">
        <v>46034</v>
      </c>
      <c r="F32" s="280">
        <v>46036</v>
      </c>
      <c r="G32" s="281">
        <v>2</v>
      </c>
      <c r="H32" s="281">
        <v>2</v>
      </c>
      <c r="I32" s="281">
        <v>0</v>
      </c>
      <c r="J32" s="282">
        <v>4</v>
      </c>
      <c r="K32" s="279">
        <v>4</v>
      </c>
      <c r="L32" s="279">
        <v>0</v>
      </c>
      <c r="M32" s="283"/>
      <c r="N32" s="284"/>
      <c r="O32" s="284"/>
      <c r="P32" s="284"/>
      <c r="Q32" s="284"/>
      <c r="R32" s="284"/>
      <c r="S32" s="284"/>
      <c r="T32" s="284"/>
      <c r="U32" s="302"/>
      <c r="V32" s="303"/>
      <c r="W32" s="286"/>
      <c r="X32" s="286"/>
      <c r="Y32" s="286"/>
      <c r="Z32" s="286"/>
      <c r="AA32" s="303"/>
      <c r="AB32" s="304"/>
    </row>
    <row r="33" spans="1:28" s="340" customFormat="1" ht="13">
      <c r="A33" s="279" t="s">
        <v>1838</v>
      </c>
      <c r="B33" s="339" t="s">
        <v>1839</v>
      </c>
      <c r="C33" s="280">
        <v>46034</v>
      </c>
      <c r="D33" s="280">
        <v>46036</v>
      </c>
      <c r="E33" s="280">
        <v>46034</v>
      </c>
      <c r="F33" s="280">
        <v>46036</v>
      </c>
      <c r="G33" s="281">
        <v>4</v>
      </c>
      <c r="H33" s="281">
        <v>4</v>
      </c>
      <c r="I33" s="281">
        <v>0</v>
      </c>
      <c r="J33" s="282">
        <v>8</v>
      </c>
      <c r="K33" s="279">
        <v>8</v>
      </c>
      <c r="L33" s="279">
        <v>0</v>
      </c>
      <c r="M33" s="283"/>
      <c r="N33" s="284"/>
      <c r="O33" s="284"/>
      <c r="P33" s="284"/>
      <c r="Q33" s="284"/>
      <c r="R33" s="284"/>
      <c r="S33" s="284"/>
      <c r="T33" s="284"/>
      <c r="U33" s="285"/>
      <c r="V33" s="286"/>
      <c r="W33" s="303"/>
      <c r="X33" s="286"/>
      <c r="Y33" s="286"/>
      <c r="Z33" s="286"/>
      <c r="AA33" s="303"/>
      <c r="AB33" s="304"/>
    </row>
    <row r="34" spans="1:28" s="340" customFormat="1" ht="13">
      <c r="A34" s="279" t="s">
        <v>1840</v>
      </c>
      <c r="B34" s="339" t="s">
        <v>1841</v>
      </c>
      <c r="C34" s="280">
        <v>46036</v>
      </c>
      <c r="D34" s="280">
        <v>46037</v>
      </c>
      <c r="E34" s="280">
        <v>46036</v>
      </c>
      <c r="F34" s="280">
        <v>46037</v>
      </c>
      <c r="G34" s="281">
        <v>3</v>
      </c>
      <c r="H34" s="281">
        <v>3</v>
      </c>
      <c r="I34" s="281">
        <v>0</v>
      </c>
      <c r="J34" s="282">
        <v>3</v>
      </c>
      <c r="K34" s="279">
        <v>3</v>
      </c>
      <c r="L34" s="279">
        <v>0</v>
      </c>
      <c r="M34" s="283"/>
      <c r="N34" s="284"/>
      <c r="O34" s="284"/>
      <c r="P34" s="284"/>
      <c r="Q34" s="284"/>
      <c r="R34" s="284"/>
      <c r="S34" s="284"/>
      <c r="T34" s="284"/>
      <c r="U34" s="285"/>
      <c r="V34" s="286"/>
      <c r="W34" s="286"/>
      <c r="X34" s="286"/>
      <c r="Y34" s="286"/>
      <c r="Z34" s="286"/>
      <c r="AA34" s="286"/>
      <c r="AB34" s="288"/>
    </row>
    <row r="35" spans="1:28" s="340" customFormat="1" ht="13">
      <c r="A35" s="279" t="s">
        <v>1842</v>
      </c>
      <c r="B35" s="339" t="s">
        <v>1843</v>
      </c>
      <c r="C35" s="280">
        <v>46037</v>
      </c>
      <c r="D35" s="280">
        <v>46038</v>
      </c>
      <c r="E35" s="280">
        <v>46037</v>
      </c>
      <c r="F35" s="280">
        <v>46038</v>
      </c>
      <c r="G35" s="281">
        <v>2</v>
      </c>
      <c r="H35" s="281">
        <v>2</v>
      </c>
      <c r="I35" s="281">
        <v>0</v>
      </c>
      <c r="J35" s="282">
        <v>2</v>
      </c>
      <c r="K35" s="279">
        <v>2</v>
      </c>
      <c r="L35" s="279">
        <v>0</v>
      </c>
      <c r="M35" s="283"/>
      <c r="N35" s="284"/>
      <c r="O35" s="284"/>
      <c r="P35" s="284"/>
      <c r="Q35" s="284"/>
      <c r="R35" s="284"/>
      <c r="S35" s="284"/>
      <c r="T35" s="284"/>
      <c r="U35" s="285"/>
      <c r="V35" s="286"/>
      <c r="W35" s="286"/>
      <c r="X35" s="286"/>
      <c r="Y35" s="286"/>
      <c r="Z35" s="286"/>
      <c r="AA35" s="286"/>
      <c r="AB35" s="288"/>
    </row>
    <row r="36" spans="1:28" s="340" customFormat="1" ht="13">
      <c r="A36" s="279" t="s">
        <v>1844</v>
      </c>
      <c r="B36" s="339" t="s">
        <v>1845</v>
      </c>
      <c r="C36" s="280">
        <v>46037</v>
      </c>
      <c r="D36" s="280">
        <v>46038</v>
      </c>
      <c r="E36" s="280">
        <v>46037</v>
      </c>
      <c r="F36" s="280">
        <v>46038</v>
      </c>
      <c r="G36" s="281">
        <v>4</v>
      </c>
      <c r="H36" s="281">
        <v>4</v>
      </c>
      <c r="I36" s="281">
        <v>0</v>
      </c>
      <c r="J36" s="282">
        <v>4</v>
      </c>
      <c r="K36" s="279">
        <v>4</v>
      </c>
      <c r="L36" s="279">
        <v>0</v>
      </c>
      <c r="M36" s="283"/>
      <c r="N36" s="284"/>
      <c r="O36" s="284"/>
      <c r="P36" s="284"/>
      <c r="Q36" s="284"/>
      <c r="R36" s="284"/>
      <c r="S36" s="284"/>
      <c r="T36" s="284"/>
      <c r="U36" s="302"/>
      <c r="V36" s="303"/>
      <c r="W36" s="286"/>
      <c r="X36" s="286"/>
      <c r="Y36" s="286"/>
      <c r="Z36" s="286"/>
      <c r="AA36" s="303"/>
      <c r="AB36" s="304"/>
    </row>
    <row r="37" spans="1:28" s="340" customFormat="1" ht="13">
      <c r="A37" s="279" t="s">
        <v>1846</v>
      </c>
      <c r="B37" s="339" t="s">
        <v>1847</v>
      </c>
      <c r="C37" s="280">
        <v>46043</v>
      </c>
      <c r="D37" s="280">
        <v>46045</v>
      </c>
      <c r="E37" s="280">
        <v>46043</v>
      </c>
      <c r="F37" s="280">
        <v>46045</v>
      </c>
      <c r="G37" s="281">
        <v>2</v>
      </c>
      <c r="H37" s="281">
        <v>2</v>
      </c>
      <c r="I37" s="281">
        <v>0</v>
      </c>
      <c r="J37" s="282">
        <v>4</v>
      </c>
      <c r="K37" s="279">
        <v>4</v>
      </c>
      <c r="L37" s="279">
        <v>0</v>
      </c>
      <c r="M37" s="283"/>
      <c r="N37" s="284"/>
      <c r="O37" s="284"/>
      <c r="P37" s="284"/>
      <c r="Q37" s="284"/>
      <c r="R37" s="284"/>
      <c r="S37" s="284"/>
      <c r="T37" s="284"/>
      <c r="U37" s="285"/>
      <c r="V37" s="286"/>
      <c r="W37" s="286"/>
      <c r="X37" s="286"/>
      <c r="Y37" s="286"/>
      <c r="Z37" s="286"/>
      <c r="AA37" s="286"/>
      <c r="AB37" s="288"/>
    </row>
    <row r="38" spans="1:28" s="340" customFormat="1" ht="13">
      <c r="A38" s="279" t="s">
        <v>1848</v>
      </c>
      <c r="B38" s="339" t="s">
        <v>1849</v>
      </c>
      <c r="C38" s="280">
        <v>46045</v>
      </c>
      <c r="D38" s="280">
        <v>46047</v>
      </c>
      <c r="E38" s="280">
        <v>46045</v>
      </c>
      <c r="F38" s="280">
        <v>46047</v>
      </c>
      <c r="G38" s="281">
        <v>4</v>
      </c>
      <c r="H38" s="281">
        <v>4</v>
      </c>
      <c r="I38" s="281">
        <v>0</v>
      </c>
      <c r="J38" s="282">
        <v>8</v>
      </c>
      <c r="K38" s="279">
        <v>8</v>
      </c>
      <c r="L38" s="279">
        <v>0</v>
      </c>
      <c r="M38" s="283"/>
      <c r="N38" s="284"/>
      <c r="O38" s="284"/>
      <c r="P38" s="284"/>
      <c r="Q38" s="284"/>
      <c r="R38" s="284"/>
      <c r="S38" s="284"/>
      <c r="T38" s="284"/>
      <c r="U38" s="285"/>
      <c r="V38" s="286"/>
      <c r="W38" s="286"/>
      <c r="X38" s="286"/>
      <c r="Y38" s="286"/>
      <c r="Z38" s="286"/>
      <c r="AA38" s="286"/>
      <c r="AB38" s="288"/>
    </row>
    <row r="39" spans="1:28" s="340" customFormat="1" ht="13">
      <c r="A39" s="279" t="s">
        <v>1850</v>
      </c>
      <c r="B39" s="339" t="s">
        <v>1851</v>
      </c>
      <c r="C39" s="280">
        <v>46048</v>
      </c>
      <c r="D39" s="280">
        <v>46050</v>
      </c>
      <c r="E39" s="280">
        <v>46048</v>
      </c>
      <c r="F39" s="280">
        <v>46050</v>
      </c>
      <c r="G39" s="281">
        <v>4</v>
      </c>
      <c r="H39" s="281">
        <v>4</v>
      </c>
      <c r="I39" s="281">
        <v>0</v>
      </c>
      <c r="J39" s="282">
        <v>8</v>
      </c>
      <c r="K39" s="279">
        <v>8</v>
      </c>
      <c r="L39" s="279">
        <v>0</v>
      </c>
      <c r="M39" s="283"/>
      <c r="N39" s="284"/>
      <c r="O39" s="284"/>
      <c r="P39" s="284"/>
      <c r="Q39" s="284"/>
      <c r="R39" s="284"/>
      <c r="S39" s="284"/>
      <c r="T39" s="284"/>
      <c r="U39" s="285"/>
      <c r="V39" s="286"/>
      <c r="W39" s="303"/>
      <c r="X39" s="286"/>
      <c r="Y39" s="286"/>
      <c r="Z39" s="286"/>
      <c r="AA39" s="303"/>
      <c r="AB39" s="304"/>
    </row>
    <row r="40" spans="1:28" s="340" customFormat="1" ht="13">
      <c r="A40" s="279" t="s">
        <v>1852</v>
      </c>
      <c r="B40" s="339" t="s">
        <v>1853</v>
      </c>
      <c r="C40" s="280">
        <v>46050</v>
      </c>
      <c r="D40" s="280">
        <v>46051</v>
      </c>
      <c r="E40" s="280">
        <v>46050</v>
      </c>
      <c r="F40" s="280">
        <v>46051</v>
      </c>
      <c r="G40" s="281">
        <v>2</v>
      </c>
      <c r="H40" s="281">
        <v>2</v>
      </c>
      <c r="I40" s="281">
        <v>0</v>
      </c>
      <c r="J40" s="282">
        <v>2</v>
      </c>
      <c r="K40" s="279">
        <v>2</v>
      </c>
      <c r="L40" s="279">
        <v>0</v>
      </c>
      <c r="M40" s="283"/>
      <c r="N40" s="284"/>
      <c r="O40" s="284"/>
      <c r="P40" s="284"/>
      <c r="Q40" s="284"/>
      <c r="R40" s="284"/>
      <c r="S40" s="284"/>
      <c r="T40" s="284"/>
      <c r="U40" s="302"/>
      <c r="V40" s="303"/>
      <c r="W40" s="286"/>
      <c r="X40" s="286"/>
      <c r="Y40" s="286"/>
      <c r="Z40" s="286"/>
      <c r="AA40" s="303"/>
      <c r="AB40" s="304"/>
    </row>
    <row r="41" spans="1:28" s="340" customFormat="1" ht="13">
      <c r="A41" s="279" t="s">
        <v>1854</v>
      </c>
      <c r="B41" s="339" t="s">
        <v>1855</v>
      </c>
      <c r="C41" s="280">
        <v>46051</v>
      </c>
      <c r="D41" s="280">
        <v>46052</v>
      </c>
      <c r="E41" s="280">
        <v>46051</v>
      </c>
      <c r="F41" s="280">
        <v>46052</v>
      </c>
      <c r="G41" s="281">
        <v>2</v>
      </c>
      <c r="H41" s="281">
        <v>2</v>
      </c>
      <c r="I41" s="281">
        <v>0</v>
      </c>
      <c r="J41" s="282">
        <v>2</v>
      </c>
      <c r="K41" s="279">
        <v>2</v>
      </c>
      <c r="L41" s="279">
        <v>0</v>
      </c>
      <c r="M41" s="283"/>
      <c r="N41" s="284"/>
      <c r="O41" s="284"/>
      <c r="P41" s="284"/>
      <c r="Q41" s="284"/>
      <c r="R41" s="284"/>
      <c r="S41" s="284"/>
      <c r="T41" s="284"/>
      <c r="U41" s="285"/>
      <c r="V41" s="286"/>
      <c r="W41" s="303"/>
      <c r="X41" s="286"/>
      <c r="Y41" s="286"/>
      <c r="Z41" s="286"/>
      <c r="AA41" s="303"/>
      <c r="AB41" s="304"/>
    </row>
    <row r="42" spans="1:28" s="340" customFormat="1" ht="13">
      <c r="A42" s="279" t="s">
        <v>1852</v>
      </c>
      <c r="B42" s="339" t="s">
        <v>1868</v>
      </c>
      <c r="C42" s="280">
        <v>46055</v>
      </c>
      <c r="D42" s="280">
        <v>46055</v>
      </c>
      <c r="E42" s="280">
        <v>46055</v>
      </c>
      <c r="F42" s="280">
        <v>46055</v>
      </c>
      <c r="G42" s="281">
        <v>2</v>
      </c>
      <c r="H42" s="281">
        <v>2</v>
      </c>
      <c r="I42" s="281">
        <v>0</v>
      </c>
      <c r="J42" s="282">
        <v>0</v>
      </c>
      <c r="K42" s="279">
        <v>0</v>
      </c>
      <c r="L42" s="279">
        <v>0</v>
      </c>
      <c r="M42" s="283"/>
      <c r="N42" s="284"/>
      <c r="O42" s="284"/>
      <c r="P42" s="284"/>
      <c r="Q42" s="284"/>
      <c r="R42" s="284"/>
      <c r="S42" s="284"/>
      <c r="T42" s="284"/>
      <c r="U42" s="285"/>
      <c r="V42" s="286"/>
      <c r="W42" s="303"/>
      <c r="X42" s="286"/>
      <c r="Y42" s="286"/>
      <c r="Z42" s="303"/>
      <c r="AA42" s="303"/>
      <c r="AB42" s="304"/>
    </row>
    <row r="43" spans="1:28" s="340" customFormat="1" ht="13">
      <c r="A43" s="279" t="s">
        <v>1869</v>
      </c>
      <c r="B43" s="339" t="s">
        <v>1870</v>
      </c>
      <c r="C43" s="280">
        <v>46056</v>
      </c>
      <c r="D43" s="280">
        <v>46056</v>
      </c>
      <c r="E43" s="280">
        <v>46056</v>
      </c>
      <c r="F43" s="280">
        <v>46056</v>
      </c>
      <c r="G43" s="281">
        <v>1</v>
      </c>
      <c r="H43" s="281">
        <v>2</v>
      </c>
      <c r="I43" s="281">
        <v>1</v>
      </c>
      <c r="J43" s="282">
        <v>0</v>
      </c>
      <c r="K43" s="279">
        <v>0</v>
      </c>
      <c r="L43" s="279">
        <v>0</v>
      </c>
      <c r="M43" s="283"/>
      <c r="N43" s="284"/>
      <c r="O43" s="284"/>
      <c r="P43" s="284"/>
      <c r="Q43" s="284"/>
      <c r="R43" s="284"/>
      <c r="S43" s="284"/>
      <c r="T43" s="284"/>
      <c r="U43" s="285"/>
      <c r="V43" s="286"/>
      <c r="W43" s="286"/>
      <c r="X43" s="286"/>
      <c r="Y43" s="286"/>
      <c r="Z43" s="286"/>
      <c r="AA43" s="286"/>
      <c r="AB43" s="288"/>
    </row>
    <row r="44" spans="1:28" s="340" customFormat="1" ht="13">
      <c r="A44" s="279" t="s">
        <v>1871</v>
      </c>
      <c r="B44" s="339" t="s">
        <v>1872</v>
      </c>
      <c r="C44" s="280">
        <v>46055</v>
      </c>
      <c r="D44" s="280">
        <v>46057</v>
      </c>
      <c r="E44" s="280">
        <v>46055</v>
      </c>
      <c r="F44" s="280">
        <v>46057</v>
      </c>
      <c r="G44" s="281">
        <v>5</v>
      </c>
      <c r="H44" s="281">
        <v>5</v>
      </c>
      <c r="I44" s="281">
        <v>0</v>
      </c>
      <c r="J44" s="282">
        <v>10</v>
      </c>
      <c r="K44" s="279">
        <v>10</v>
      </c>
      <c r="L44" s="279">
        <v>0</v>
      </c>
      <c r="M44" s="283"/>
      <c r="N44" s="284"/>
      <c r="O44" s="284"/>
      <c r="P44" s="284"/>
      <c r="Q44" s="284"/>
      <c r="R44" s="284"/>
      <c r="S44" s="284"/>
      <c r="T44" s="284"/>
      <c r="U44" s="285"/>
      <c r="V44" s="286"/>
      <c r="W44" s="286"/>
      <c r="X44" s="286"/>
      <c r="Y44" s="286"/>
      <c r="Z44" s="286"/>
      <c r="AA44" s="286"/>
      <c r="AB44" s="288"/>
    </row>
    <row r="45" spans="1:28" s="340" customFormat="1" ht="13">
      <c r="A45" s="279" t="s">
        <v>1873</v>
      </c>
      <c r="B45" s="339" t="s">
        <v>1874</v>
      </c>
      <c r="C45" s="280">
        <v>46058</v>
      </c>
      <c r="D45" s="280">
        <v>46059</v>
      </c>
      <c r="E45" s="280">
        <v>46058</v>
      </c>
      <c r="F45" s="280">
        <v>46059</v>
      </c>
      <c r="G45" s="281">
        <v>1</v>
      </c>
      <c r="H45" s="281">
        <v>1</v>
      </c>
      <c r="I45" s="281">
        <v>0</v>
      </c>
      <c r="J45" s="282">
        <v>1</v>
      </c>
      <c r="K45" s="279">
        <v>1</v>
      </c>
      <c r="L45" s="279">
        <v>0</v>
      </c>
      <c r="M45" s="283"/>
      <c r="N45" s="284"/>
      <c r="O45" s="284"/>
      <c r="P45" s="284"/>
      <c r="Q45" s="284"/>
      <c r="R45" s="284"/>
      <c r="S45" s="284"/>
      <c r="T45" s="284"/>
      <c r="U45" s="285"/>
      <c r="V45" s="286"/>
      <c r="W45" s="286"/>
      <c r="X45" s="286"/>
      <c r="Y45" s="286"/>
      <c r="Z45" s="286"/>
      <c r="AA45" s="286"/>
      <c r="AB45" s="288"/>
    </row>
    <row r="46" spans="1:28" s="340" customFormat="1" ht="13">
      <c r="A46" s="279" t="s">
        <v>1875</v>
      </c>
      <c r="B46" s="339" t="s">
        <v>1876</v>
      </c>
      <c r="C46" s="280">
        <v>46060</v>
      </c>
      <c r="D46" s="280">
        <v>46061</v>
      </c>
      <c r="E46" s="280">
        <v>46060</v>
      </c>
      <c r="F46" s="280">
        <v>46061</v>
      </c>
      <c r="G46" s="281">
        <v>1</v>
      </c>
      <c r="H46" s="281">
        <v>1</v>
      </c>
      <c r="I46" s="281">
        <v>0</v>
      </c>
      <c r="J46" s="282">
        <v>1</v>
      </c>
      <c r="K46" s="279">
        <v>1</v>
      </c>
      <c r="L46" s="279">
        <v>0</v>
      </c>
      <c r="M46" s="283"/>
      <c r="N46" s="284"/>
      <c r="O46" s="284"/>
      <c r="P46" s="284"/>
      <c r="Q46" s="284"/>
      <c r="R46" s="284"/>
      <c r="S46" s="284"/>
      <c r="T46" s="284"/>
      <c r="U46" s="302"/>
      <c r="V46" s="303"/>
      <c r="W46" s="286"/>
      <c r="X46" s="286"/>
      <c r="Y46" s="286"/>
      <c r="Z46" s="286"/>
      <c r="AA46" s="303"/>
      <c r="AB46" s="304"/>
    </row>
    <row r="47" spans="1:28" s="340" customFormat="1" ht="13">
      <c r="A47" s="279" t="s">
        <v>1877</v>
      </c>
      <c r="B47" s="339" t="s">
        <v>1878</v>
      </c>
      <c r="C47" s="280">
        <v>46060</v>
      </c>
      <c r="D47" s="280">
        <v>46064</v>
      </c>
      <c r="E47" s="280">
        <v>46060</v>
      </c>
      <c r="F47" s="280">
        <v>46064</v>
      </c>
      <c r="G47" s="281">
        <v>3</v>
      </c>
      <c r="H47" s="281">
        <v>3</v>
      </c>
      <c r="I47" s="281">
        <v>0</v>
      </c>
      <c r="J47" s="282">
        <v>12</v>
      </c>
      <c r="K47" s="279">
        <v>12</v>
      </c>
      <c r="L47" s="279">
        <v>0</v>
      </c>
      <c r="M47" s="283"/>
      <c r="N47" s="284"/>
      <c r="O47" s="284"/>
      <c r="P47" s="284"/>
      <c r="Q47" s="284"/>
      <c r="R47" s="284"/>
      <c r="S47" s="284"/>
      <c r="T47" s="284"/>
      <c r="U47" s="285"/>
      <c r="V47" s="286"/>
      <c r="W47" s="286"/>
      <c r="X47" s="286"/>
      <c r="Y47" s="286"/>
      <c r="Z47" s="286"/>
      <c r="AA47" s="286"/>
      <c r="AB47" s="288"/>
    </row>
    <row r="48" spans="1:28" s="340" customFormat="1" ht="13">
      <c r="A48" s="279" t="s">
        <v>1879</v>
      </c>
      <c r="B48" s="339" t="s">
        <v>1880</v>
      </c>
      <c r="C48" s="280">
        <v>46066</v>
      </c>
      <c r="D48" s="280">
        <v>46066</v>
      </c>
      <c r="E48" s="280">
        <v>46066</v>
      </c>
      <c r="F48" s="280">
        <v>46066</v>
      </c>
      <c r="G48" s="281">
        <v>2</v>
      </c>
      <c r="H48" s="281">
        <v>2</v>
      </c>
      <c r="I48" s="281">
        <v>0</v>
      </c>
      <c r="J48" s="282">
        <v>0</v>
      </c>
      <c r="K48" s="279">
        <v>0</v>
      </c>
      <c r="L48" s="279">
        <v>0</v>
      </c>
      <c r="M48" s="283"/>
      <c r="N48" s="284"/>
      <c r="O48" s="284"/>
      <c r="P48" s="284"/>
      <c r="Q48" s="284"/>
      <c r="R48" s="284"/>
      <c r="S48" s="284"/>
      <c r="T48" s="284"/>
      <c r="U48" s="302"/>
      <c r="V48" s="303"/>
      <c r="W48" s="286"/>
      <c r="X48" s="286"/>
      <c r="Y48" s="286"/>
      <c r="Z48" s="286"/>
      <c r="AA48" s="303"/>
      <c r="AB48" s="304"/>
    </row>
    <row r="49" spans="1:28" s="340" customFormat="1" ht="13">
      <c r="A49" s="279" t="s">
        <v>1881</v>
      </c>
      <c r="B49" s="339" t="s">
        <v>1882</v>
      </c>
      <c r="C49" s="280">
        <v>46067</v>
      </c>
      <c r="D49" s="280">
        <v>46069</v>
      </c>
      <c r="E49" s="280">
        <v>46067</v>
      </c>
      <c r="F49" s="280">
        <v>46069</v>
      </c>
      <c r="G49" s="281">
        <v>4</v>
      </c>
      <c r="H49" s="281">
        <v>4</v>
      </c>
      <c r="I49" s="281">
        <v>0</v>
      </c>
      <c r="J49" s="282">
        <v>8</v>
      </c>
      <c r="K49" s="279">
        <v>8</v>
      </c>
      <c r="L49" s="279">
        <v>0</v>
      </c>
      <c r="M49" s="283"/>
      <c r="N49" s="284"/>
      <c r="O49" s="284"/>
      <c r="P49" s="284"/>
      <c r="Q49" s="284"/>
      <c r="R49" s="284"/>
      <c r="S49" s="284"/>
      <c r="T49" s="284"/>
      <c r="U49" s="285"/>
      <c r="V49" s="286"/>
      <c r="W49" s="303"/>
      <c r="X49" s="286"/>
      <c r="Y49" s="286"/>
      <c r="Z49" s="286"/>
      <c r="AA49" s="303"/>
      <c r="AB49" s="304"/>
    </row>
    <row r="50" spans="1:28" s="340" customFormat="1" ht="13">
      <c r="A50" s="279" t="s">
        <v>1836</v>
      </c>
      <c r="B50" s="339" t="s">
        <v>1885</v>
      </c>
      <c r="C50" s="280">
        <v>46073</v>
      </c>
      <c r="D50" s="280">
        <v>46073</v>
      </c>
      <c r="E50" s="280">
        <v>46073</v>
      </c>
      <c r="F50" s="280">
        <v>46073</v>
      </c>
      <c r="G50" s="281">
        <v>2</v>
      </c>
      <c r="H50" s="281">
        <v>2</v>
      </c>
      <c r="I50" s="281">
        <v>0</v>
      </c>
      <c r="J50" s="282">
        <v>0</v>
      </c>
      <c r="K50" s="279">
        <v>0</v>
      </c>
      <c r="L50" s="279">
        <v>0</v>
      </c>
      <c r="M50" s="283"/>
      <c r="N50" s="284"/>
      <c r="O50" s="284"/>
      <c r="P50" s="284"/>
      <c r="Q50" s="284"/>
      <c r="R50" s="284"/>
      <c r="S50" s="284"/>
      <c r="T50" s="284"/>
      <c r="U50" s="285"/>
      <c r="V50" s="286"/>
      <c r="W50" s="286"/>
      <c r="X50" s="286"/>
      <c r="Y50" s="286"/>
      <c r="Z50" s="286"/>
      <c r="AA50" s="286"/>
      <c r="AB50" s="288"/>
    </row>
    <row r="51" spans="1:28" s="340" customFormat="1" ht="13">
      <c r="A51" s="279" t="s">
        <v>1883</v>
      </c>
      <c r="B51" s="339" t="s">
        <v>1884</v>
      </c>
      <c r="C51" s="280">
        <v>46069</v>
      </c>
      <c r="D51" s="280">
        <v>46073</v>
      </c>
      <c r="E51" s="280">
        <v>46069</v>
      </c>
      <c r="F51" s="280">
        <v>46073</v>
      </c>
      <c r="G51" s="281">
        <v>1</v>
      </c>
      <c r="H51" s="281">
        <v>1</v>
      </c>
      <c r="I51" s="281">
        <v>0</v>
      </c>
      <c r="J51" s="282">
        <v>4</v>
      </c>
      <c r="K51" s="279">
        <v>4</v>
      </c>
      <c r="L51" s="279">
        <v>0</v>
      </c>
      <c r="M51" s="283"/>
      <c r="N51" s="284"/>
      <c r="O51" s="284"/>
      <c r="P51" s="284"/>
      <c r="Q51" s="284"/>
      <c r="R51" s="284"/>
      <c r="S51" s="284"/>
      <c r="T51" s="284"/>
      <c r="U51" s="285"/>
      <c r="V51" s="286"/>
      <c r="W51" s="286"/>
      <c r="X51" s="286"/>
      <c r="Y51" s="286"/>
      <c r="Z51" s="286"/>
      <c r="AA51" s="286"/>
      <c r="AB51" s="288"/>
    </row>
    <row r="52" spans="1:28" s="340" customFormat="1" ht="13">
      <c r="A52" s="279" t="s">
        <v>1886</v>
      </c>
      <c r="B52" s="339" t="s">
        <v>1887</v>
      </c>
      <c r="C52" s="280">
        <v>46073</v>
      </c>
      <c r="D52" s="280">
        <v>46075</v>
      </c>
      <c r="E52" s="280">
        <v>46073</v>
      </c>
      <c r="F52" s="280">
        <v>46075</v>
      </c>
      <c r="G52" s="281">
        <v>3</v>
      </c>
      <c r="H52" s="281">
        <v>3</v>
      </c>
      <c r="I52" s="281">
        <v>0</v>
      </c>
      <c r="J52" s="282">
        <v>6</v>
      </c>
      <c r="K52" s="279">
        <v>6</v>
      </c>
      <c r="L52" s="279">
        <v>0</v>
      </c>
      <c r="M52" s="283"/>
      <c r="N52" s="284"/>
      <c r="O52" s="284"/>
      <c r="P52" s="284"/>
      <c r="Q52" s="284"/>
      <c r="R52" s="284"/>
      <c r="S52" s="284"/>
      <c r="T52" s="284"/>
      <c r="U52" s="285"/>
      <c r="V52" s="286"/>
      <c r="W52" s="286"/>
      <c r="X52" s="286"/>
      <c r="Y52" s="286"/>
      <c r="Z52" s="286"/>
      <c r="AA52" s="286"/>
      <c r="AB52" s="288"/>
    </row>
    <row r="53" spans="1:28" s="340" customFormat="1" ht="13">
      <c r="A53" s="279" t="s">
        <v>1888</v>
      </c>
      <c r="B53" s="339" t="s">
        <v>1889</v>
      </c>
      <c r="C53" s="280">
        <v>46074</v>
      </c>
      <c r="D53" s="280">
        <v>46075</v>
      </c>
      <c r="E53" s="280">
        <v>46074</v>
      </c>
      <c r="F53" s="280">
        <v>46075</v>
      </c>
      <c r="G53" s="281">
        <v>2</v>
      </c>
      <c r="H53" s="281">
        <v>2</v>
      </c>
      <c r="I53" s="281">
        <v>0</v>
      </c>
      <c r="J53" s="282">
        <v>2</v>
      </c>
      <c r="K53" s="279">
        <v>2</v>
      </c>
      <c r="L53" s="279">
        <v>0</v>
      </c>
      <c r="M53" s="283"/>
      <c r="N53" s="284"/>
      <c r="O53" s="284"/>
      <c r="P53" s="284"/>
      <c r="Q53" s="284"/>
      <c r="R53" s="284"/>
      <c r="S53" s="284"/>
      <c r="T53" s="284"/>
      <c r="U53" s="285"/>
      <c r="V53" s="286"/>
      <c r="W53" s="286"/>
      <c r="X53" s="286"/>
      <c r="Y53" s="286"/>
      <c r="Z53" s="286"/>
      <c r="AA53" s="286"/>
      <c r="AB53" s="288"/>
    </row>
    <row r="54" spans="1:28" s="340" customFormat="1" ht="13">
      <c r="A54" s="279" t="s">
        <v>1890</v>
      </c>
      <c r="B54" s="339" t="s">
        <v>1891</v>
      </c>
      <c r="C54" s="280">
        <v>46075</v>
      </c>
      <c r="D54" s="280">
        <v>46077</v>
      </c>
      <c r="E54" s="280">
        <v>46075</v>
      </c>
      <c r="F54" s="280">
        <v>46077</v>
      </c>
      <c r="G54" s="281">
        <v>1</v>
      </c>
      <c r="H54" s="281">
        <v>1</v>
      </c>
      <c r="I54" s="281">
        <v>0</v>
      </c>
      <c r="J54" s="282">
        <v>2</v>
      </c>
      <c r="K54" s="279">
        <v>2</v>
      </c>
      <c r="L54" s="279">
        <v>0</v>
      </c>
      <c r="M54" s="283"/>
      <c r="N54" s="284"/>
      <c r="O54" s="284"/>
      <c r="P54" s="284"/>
      <c r="Q54" s="284"/>
      <c r="R54" s="284"/>
      <c r="S54" s="284"/>
      <c r="T54" s="284"/>
      <c r="U54" s="285"/>
      <c r="V54" s="286"/>
      <c r="W54" s="286"/>
      <c r="X54" s="286"/>
      <c r="Y54" s="286"/>
      <c r="Z54" s="286"/>
      <c r="AA54" s="286"/>
      <c r="AB54" s="288"/>
    </row>
    <row r="55" spans="1:28" s="340" customFormat="1" ht="12.5">
      <c r="A55" s="279" t="s">
        <v>2367</v>
      </c>
      <c r="B55" s="339" t="s">
        <v>2368</v>
      </c>
      <c r="C55" s="280">
        <v>46082</v>
      </c>
      <c r="D55" s="280">
        <v>46084</v>
      </c>
      <c r="E55" s="280">
        <v>46082</v>
      </c>
      <c r="F55" s="280">
        <v>46084</v>
      </c>
      <c r="G55" s="281">
        <v>4</v>
      </c>
      <c r="H55" s="281">
        <v>4</v>
      </c>
      <c r="I55" s="281">
        <v>0</v>
      </c>
      <c r="J55" s="282">
        <v>8</v>
      </c>
      <c r="K55" s="279">
        <v>8</v>
      </c>
      <c r="L55" s="279">
        <v>0</v>
      </c>
      <c r="M55" s="283"/>
      <c r="N55" s="284"/>
      <c r="O55" s="284"/>
      <c r="P55" s="284"/>
      <c r="Q55" s="284"/>
      <c r="R55" s="284"/>
      <c r="S55" s="284"/>
      <c r="T55" s="284"/>
      <c r="U55" s="285"/>
      <c r="V55" s="286"/>
      <c r="W55" s="286"/>
      <c r="X55" s="286"/>
      <c r="Y55" s="286"/>
      <c r="Z55" s="286"/>
      <c r="AA55" s="286"/>
      <c r="AB55" s="288"/>
    </row>
    <row r="56" spans="1:28" s="340" customFormat="1" ht="12.5">
      <c r="A56" s="279" t="s">
        <v>2369</v>
      </c>
      <c r="B56" s="339" t="s">
        <v>2370</v>
      </c>
      <c r="C56" s="280">
        <v>46084</v>
      </c>
      <c r="D56" s="280">
        <v>46086</v>
      </c>
      <c r="E56" s="280">
        <v>46084</v>
      </c>
      <c r="F56" s="280">
        <v>46086</v>
      </c>
      <c r="G56" s="281">
        <v>4</v>
      </c>
      <c r="H56" s="281">
        <v>4</v>
      </c>
      <c r="I56" s="281">
        <v>0</v>
      </c>
      <c r="J56" s="282">
        <v>8</v>
      </c>
      <c r="K56" s="279">
        <v>8</v>
      </c>
      <c r="L56" s="279">
        <v>0</v>
      </c>
      <c r="M56" s="283"/>
      <c r="N56" s="284"/>
      <c r="O56" s="284"/>
      <c r="P56" s="284"/>
      <c r="Q56" s="284"/>
      <c r="R56" s="284"/>
      <c r="S56" s="284"/>
      <c r="T56" s="284"/>
      <c r="U56" s="285"/>
      <c r="V56" s="286"/>
      <c r="W56" s="286"/>
      <c r="X56" s="286"/>
      <c r="Y56" s="286"/>
      <c r="Z56" s="286"/>
      <c r="AA56" s="286"/>
      <c r="AB56" s="288"/>
    </row>
    <row r="57" spans="1:28" s="340" customFormat="1" ht="12.5">
      <c r="A57" s="279" t="s">
        <v>2371</v>
      </c>
      <c r="B57" s="339" t="s">
        <v>2372</v>
      </c>
      <c r="C57" s="280">
        <v>46084</v>
      </c>
      <c r="D57" s="280">
        <v>46086</v>
      </c>
      <c r="E57" s="280">
        <v>46084</v>
      </c>
      <c r="F57" s="280">
        <v>46086</v>
      </c>
      <c r="G57" s="281">
        <v>2</v>
      </c>
      <c r="H57" s="281">
        <v>2</v>
      </c>
      <c r="I57" s="281">
        <v>0</v>
      </c>
      <c r="J57" s="282">
        <v>4</v>
      </c>
      <c r="K57" s="279">
        <v>4</v>
      </c>
      <c r="L57" s="279">
        <v>0</v>
      </c>
      <c r="M57" s="283"/>
      <c r="N57" s="284"/>
      <c r="O57" s="284"/>
      <c r="P57" s="284"/>
      <c r="Q57" s="284"/>
      <c r="R57" s="284"/>
      <c r="S57" s="284"/>
      <c r="T57" s="284"/>
      <c r="U57" s="285"/>
      <c r="V57" s="286"/>
      <c r="W57" s="286"/>
      <c r="X57" s="286"/>
      <c r="Y57" s="286"/>
      <c r="Z57" s="286"/>
      <c r="AA57" s="286"/>
      <c r="AB57" s="288"/>
    </row>
    <row r="58" spans="1:28" s="340" customFormat="1" ht="12.5">
      <c r="A58" s="279" t="s">
        <v>2373</v>
      </c>
      <c r="B58" s="339" t="s">
        <v>2374</v>
      </c>
      <c r="C58" s="280">
        <v>46087</v>
      </c>
      <c r="D58" s="280">
        <v>46087</v>
      </c>
      <c r="E58" s="280">
        <v>46087</v>
      </c>
      <c r="F58" s="280">
        <v>46087</v>
      </c>
      <c r="G58" s="281">
        <v>2</v>
      </c>
      <c r="H58" s="281">
        <v>2</v>
      </c>
      <c r="I58" s="281">
        <v>0</v>
      </c>
      <c r="J58" s="282">
        <v>0</v>
      </c>
      <c r="K58" s="279">
        <v>0</v>
      </c>
      <c r="L58" s="279">
        <v>0</v>
      </c>
      <c r="M58" s="283"/>
      <c r="N58" s="284"/>
      <c r="O58" s="284"/>
      <c r="P58" s="284"/>
      <c r="Q58" s="284"/>
      <c r="R58" s="284"/>
      <c r="S58" s="284"/>
      <c r="T58" s="284"/>
      <c r="U58" s="285"/>
      <c r="V58" s="286"/>
      <c r="W58" s="286"/>
      <c r="X58" s="286"/>
      <c r="Y58" s="286"/>
      <c r="Z58" s="286"/>
      <c r="AA58" s="286"/>
      <c r="AB58" s="288"/>
    </row>
    <row r="59" spans="1:28" s="340" customFormat="1" ht="12.5">
      <c r="A59" s="279" t="s">
        <v>2375</v>
      </c>
      <c r="B59" s="339" t="s">
        <v>2376</v>
      </c>
      <c r="C59" s="280">
        <v>46089</v>
      </c>
      <c r="D59" s="280">
        <v>46091</v>
      </c>
      <c r="E59" s="280">
        <v>46089</v>
      </c>
      <c r="F59" s="280">
        <v>46091</v>
      </c>
      <c r="G59" s="281">
        <v>6</v>
      </c>
      <c r="H59" s="281">
        <v>6</v>
      </c>
      <c r="I59" s="281">
        <v>0</v>
      </c>
      <c r="J59" s="282">
        <v>12</v>
      </c>
      <c r="K59" s="279">
        <v>12</v>
      </c>
      <c r="L59" s="279">
        <v>0</v>
      </c>
      <c r="M59" s="283"/>
      <c r="N59" s="284"/>
      <c r="O59" s="284"/>
      <c r="P59" s="284"/>
      <c r="Q59" s="284"/>
      <c r="R59" s="284"/>
      <c r="S59" s="284"/>
      <c r="T59" s="284"/>
      <c r="U59" s="285"/>
      <c r="V59" s="286"/>
      <c r="W59" s="286"/>
      <c r="X59" s="286"/>
      <c r="Y59" s="286"/>
      <c r="Z59" s="286"/>
      <c r="AA59" s="286"/>
      <c r="AB59" s="288"/>
    </row>
    <row r="60" spans="1:28" s="340" customFormat="1" ht="12.5">
      <c r="A60" s="279" t="s">
        <v>2377</v>
      </c>
      <c r="B60" s="339" t="s">
        <v>2378</v>
      </c>
      <c r="C60" s="280">
        <v>46089</v>
      </c>
      <c r="D60" s="280">
        <v>46091</v>
      </c>
      <c r="E60" s="280">
        <v>46089</v>
      </c>
      <c r="F60" s="280">
        <v>46091</v>
      </c>
      <c r="G60" s="281">
        <v>2</v>
      </c>
      <c r="H60" s="281">
        <v>2</v>
      </c>
      <c r="I60" s="281">
        <v>0</v>
      </c>
      <c r="J60" s="282">
        <v>4</v>
      </c>
      <c r="K60" s="279">
        <v>4</v>
      </c>
      <c r="L60" s="279">
        <v>0</v>
      </c>
      <c r="M60" s="283"/>
      <c r="N60" s="284"/>
      <c r="O60" s="284"/>
      <c r="P60" s="284"/>
      <c r="Q60" s="284"/>
      <c r="R60" s="284"/>
      <c r="S60" s="284"/>
      <c r="T60" s="284"/>
      <c r="U60" s="285"/>
      <c r="V60" s="286"/>
      <c r="W60" s="286"/>
      <c r="X60" s="286"/>
      <c r="Y60" s="286"/>
      <c r="Z60" s="286"/>
      <c r="AA60" s="286"/>
      <c r="AB60" s="288"/>
    </row>
    <row r="61" spans="1:28" s="340" customFormat="1" ht="12.5">
      <c r="A61" s="279" t="s">
        <v>2379</v>
      </c>
      <c r="B61" s="339" t="s">
        <v>2380</v>
      </c>
      <c r="C61" s="280">
        <v>46093</v>
      </c>
      <c r="D61" s="280">
        <v>46094</v>
      </c>
      <c r="E61" s="280">
        <v>46093</v>
      </c>
      <c r="F61" s="280">
        <v>46094</v>
      </c>
      <c r="G61" s="281">
        <v>2</v>
      </c>
      <c r="H61" s="281">
        <v>2</v>
      </c>
      <c r="I61" s="281">
        <v>0</v>
      </c>
      <c r="J61" s="282">
        <v>2</v>
      </c>
      <c r="K61" s="279">
        <v>2</v>
      </c>
      <c r="L61" s="279">
        <v>0</v>
      </c>
      <c r="M61" s="283"/>
      <c r="N61" s="284"/>
      <c r="O61" s="284"/>
      <c r="P61" s="284"/>
      <c r="Q61" s="284"/>
      <c r="R61" s="284"/>
      <c r="S61" s="284"/>
      <c r="T61" s="284"/>
      <c r="U61" s="285"/>
      <c r="V61" s="286"/>
      <c r="W61" s="286"/>
      <c r="X61" s="286"/>
      <c r="Y61" s="286"/>
      <c r="Z61" s="286"/>
      <c r="AA61" s="286"/>
      <c r="AB61" s="288"/>
    </row>
    <row r="62" spans="1:28" s="340" customFormat="1" ht="12.5">
      <c r="A62" s="279" t="s">
        <v>2381</v>
      </c>
      <c r="B62" s="339" t="s">
        <v>2382</v>
      </c>
      <c r="C62" s="280">
        <v>46094</v>
      </c>
      <c r="D62" s="280">
        <v>46097</v>
      </c>
      <c r="E62" s="280">
        <v>46094</v>
      </c>
      <c r="F62" s="280">
        <v>46097</v>
      </c>
      <c r="G62" s="281">
        <v>2</v>
      </c>
      <c r="H62" s="281">
        <v>2</v>
      </c>
      <c r="I62" s="281">
        <v>0</v>
      </c>
      <c r="J62" s="282">
        <v>6</v>
      </c>
      <c r="K62" s="279">
        <v>6</v>
      </c>
      <c r="L62" s="279">
        <v>0</v>
      </c>
      <c r="M62" s="283"/>
      <c r="N62" s="284"/>
      <c r="O62" s="284"/>
      <c r="P62" s="284"/>
      <c r="Q62" s="284"/>
      <c r="R62" s="284"/>
      <c r="S62" s="284"/>
      <c r="T62" s="284"/>
      <c r="U62" s="285"/>
      <c r="V62" s="286"/>
      <c r="W62" s="286"/>
      <c r="X62" s="286"/>
      <c r="Y62" s="286"/>
      <c r="Z62" s="286"/>
      <c r="AA62" s="286"/>
      <c r="AB62" s="288"/>
    </row>
    <row r="63" spans="1:28" s="340" customFormat="1" ht="12.5">
      <c r="A63" s="279" t="s">
        <v>2383</v>
      </c>
      <c r="B63" s="339" t="s">
        <v>2384</v>
      </c>
      <c r="C63" s="280">
        <v>46095</v>
      </c>
      <c r="D63" s="280">
        <v>46098</v>
      </c>
      <c r="E63" s="280">
        <v>46095</v>
      </c>
      <c r="F63" s="280">
        <v>46098</v>
      </c>
      <c r="G63" s="281">
        <v>2</v>
      </c>
      <c r="H63" s="281">
        <v>2</v>
      </c>
      <c r="I63" s="281">
        <v>0</v>
      </c>
      <c r="J63" s="282">
        <v>6</v>
      </c>
      <c r="K63" s="279">
        <v>6</v>
      </c>
      <c r="L63" s="279">
        <v>0</v>
      </c>
      <c r="M63" s="283"/>
      <c r="N63" s="284"/>
      <c r="O63" s="284"/>
      <c r="P63" s="284"/>
      <c r="Q63" s="284"/>
      <c r="R63" s="284"/>
      <c r="S63" s="284"/>
      <c r="T63" s="284"/>
      <c r="U63" s="285"/>
      <c r="V63" s="286"/>
      <c r="W63" s="286"/>
      <c r="X63" s="286"/>
      <c r="Y63" s="286"/>
      <c r="Z63" s="286"/>
      <c r="AA63" s="286"/>
      <c r="AB63" s="288"/>
    </row>
    <row r="64" spans="1:28" s="340" customFormat="1" ht="12.5">
      <c r="A64" s="279" t="s">
        <v>2385</v>
      </c>
      <c r="B64" s="339" t="s">
        <v>2386</v>
      </c>
      <c r="C64" s="280">
        <v>46098</v>
      </c>
      <c r="D64" s="280">
        <v>46098</v>
      </c>
      <c r="E64" s="280">
        <v>46098</v>
      </c>
      <c r="F64" s="280">
        <v>46099</v>
      </c>
      <c r="G64" s="281">
        <v>2</v>
      </c>
      <c r="H64" s="281">
        <v>2</v>
      </c>
      <c r="I64" s="281">
        <v>0</v>
      </c>
      <c r="J64" s="282">
        <v>0</v>
      </c>
      <c r="K64" s="279">
        <v>2</v>
      </c>
      <c r="L64" s="279">
        <v>-2</v>
      </c>
      <c r="M64" s="283"/>
      <c r="N64" s="284"/>
      <c r="O64" s="284"/>
      <c r="P64" s="284"/>
      <c r="Q64" s="284"/>
      <c r="R64" s="284"/>
      <c r="S64" s="284"/>
      <c r="T64" s="284"/>
      <c r="U64" s="285"/>
      <c r="V64" s="286"/>
      <c r="W64" s="286"/>
      <c r="X64" s="286"/>
      <c r="Y64" s="286"/>
      <c r="Z64" s="286"/>
      <c r="AA64" s="286"/>
      <c r="AB64" s="288"/>
    </row>
    <row r="65" spans="1:29" s="340" customFormat="1" ht="12.5">
      <c r="A65" s="279" t="s">
        <v>2387</v>
      </c>
      <c r="B65" s="339" t="s">
        <v>2388</v>
      </c>
      <c r="C65" s="280">
        <v>46098</v>
      </c>
      <c r="D65" s="280">
        <v>46099</v>
      </c>
      <c r="E65" s="280">
        <v>46098</v>
      </c>
      <c r="F65" s="280">
        <v>46099</v>
      </c>
      <c r="G65" s="281">
        <v>5</v>
      </c>
      <c r="H65" s="281">
        <v>5</v>
      </c>
      <c r="I65" s="281">
        <v>0</v>
      </c>
      <c r="J65" s="282">
        <v>5</v>
      </c>
      <c r="K65" s="279">
        <v>5</v>
      </c>
      <c r="L65" s="279">
        <v>0</v>
      </c>
      <c r="M65" s="283"/>
      <c r="N65" s="284"/>
      <c r="O65" s="284"/>
      <c r="P65" s="284"/>
      <c r="Q65" s="284"/>
      <c r="R65" s="284"/>
      <c r="S65" s="284"/>
      <c r="T65" s="284"/>
      <c r="U65" s="285"/>
      <c r="V65" s="286"/>
      <c r="W65" s="286"/>
      <c r="X65" s="286"/>
      <c r="Y65" s="286"/>
      <c r="Z65" s="286"/>
      <c r="AA65" s="286"/>
      <c r="AB65" s="288"/>
    </row>
    <row r="66" spans="1:29" s="340" customFormat="1" ht="12.5">
      <c r="A66" s="279" t="s">
        <v>1173</v>
      </c>
      <c r="B66" s="339" t="s">
        <v>2389</v>
      </c>
      <c r="C66" s="280">
        <v>46101</v>
      </c>
      <c r="D66" s="280">
        <v>46101</v>
      </c>
      <c r="E66" s="280">
        <v>46101</v>
      </c>
      <c r="F66" s="280">
        <v>46101</v>
      </c>
      <c r="G66" s="281">
        <v>1</v>
      </c>
      <c r="H66" s="281">
        <v>1</v>
      </c>
      <c r="I66" s="281">
        <v>0</v>
      </c>
      <c r="J66" s="282">
        <v>0</v>
      </c>
      <c r="K66" s="279">
        <v>0</v>
      </c>
      <c r="L66" s="279">
        <v>0</v>
      </c>
      <c r="M66" s="283"/>
      <c r="N66" s="284"/>
      <c r="O66" s="284"/>
      <c r="P66" s="284"/>
      <c r="Q66" s="284"/>
      <c r="R66" s="284"/>
      <c r="S66" s="284"/>
      <c r="T66" s="284"/>
      <c r="U66" s="285"/>
      <c r="V66" s="286"/>
      <c r="W66" s="286"/>
      <c r="X66" s="286"/>
      <c r="Y66" s="286"/>
      <c r="Z66" s="286"/>
      <c r="AA66" s="286"/>
      <c r="AB66" s="288"/>
    </row>
    <row r="67" spans="1:29" s="340" customFormat="1" ht="12.5">
      <c r="A67" s="279" t="s">
        <v>2390</v>
      </c>
      <c r="B67" s="339" t="s">
        <v>2391</v>
      </c>
      <c r="C67" s="280">
        <v>46102</v>
      </c>
      <c r="D67" s="280">
        <v>46104</v>
      </c>
      <c r="E67" s="280">
        <v>46102</v>
      </c>
      <c r="F67" s="280">
        <v>46104</v>
      </c>
      <c r="G67" s="281">
        <v>3</v>
      </c>
      <c r="H67" s="281">
        <v>3</v>
      </c>
      <c r="I67" s="281">
        <v>0</v>
      </c>
      <c r="J67" s="282">
        <v>6</v>
      </c>
      <c r="K67" s="279">
        <v>6</v>
      </c>
      <c r="L67" s="279">
        <v>0</v>
      </c>
      <c r="M67" s="283"/>
      <c r="N67" s="284"/>
      <c r="O67" s="284"/>
      <c r="P67" s="284"/>
      <c r="Q67" s="284"/>
      <c r="R67" s="284"/>
      <c r="S67" s="284"/>
      <c r="T67" s="284"/>
      <c r="U67" s="285"/>
      <c r="V67" s="286"/>
      <c r="W67" s="286"/>
      <c r="X67" s="286"/>
      <c r="Y67" s="286"/>
      <c r="Z67" s="286"/>
      <c r="AA67" s="286"/>
      <c r="AB67" s="288"/>
    </row>
    <row r="68" spans="1:29" s="340" customFormat="1" ht="12.5">
      <c r="A68" s="279" t="s">
        <v>2392</v>
      </c>
      <c r="B68" s="339" t="s">
        <v>2393</v>
      </c>
      <c r="C68" s="280">
        <v>46106</v>
      </c>
      <c r="D68" s="280">
        <v>46108</v>
      </c>
      <c r="E68" s="280">
        <v>46106</v>
      </c>
      <c r="F68" s="280">
        <v>46108</v>
      </c>
      <c r="G68" s="281">
        <v>3</v>
      </c>
      <c r="H68" s="281">
        <v>3</v>
      </c>
      <c r="I68" s="281">
        <v>0</v>
      </c>
      <c r="J68" s="282">
        <v>6</v>
      </c>
      <c r="K68" s="279">
        <v>6</v>
      </c>
      <c r="L68" s="279">
        <v>0</v>
      </c>
      <c r="M68" s="283"/>
      <c r="N68" s="284"/>
      <c r="O68" s="284"/>
      <c r="P68" s="284"/>
      <c r="Q68" s="284"/>
      <c r="R68" s="284"/>
      <c r="S68" s="284"/>
      <c r="T68" s="284"/>
      <c r="U68" s="285"/>
      <c r="V68" s="286"/>
      <c r="W68" s="286"/>
      <c r="X68" s="286"/>
      <c r="Y68" s="286"/>
      <c r="Z68" s="286"/>
      <c r="AA68" s="286"/>
      <c r="AB68" s="288"/>
    </row>
    <row r="69" spans="1:29" s="340" customFormat="1" ht="12.5">
      <c r="A69" s="279" t="s">
        <v>2394</v>
      </c>
      <c r="B69" s="339" t="s">
        <v>2395</v>
      </c>
      <c r="C69" s="280">
        <v>46111</v>
      </c>
      <c r="D69" s="280">
        <v>46113</v>
      </c>
      <c r="E69" s="280">
        <v>46111</v>
      </c>
      <c r="F69" s="280">
        <v>46113</v>
      </c>
      <c r="G69" s="281">
        <v>4</v>
      </c>
      <c r="H69" s="281">
        <v>4</v>
      </c>
      <c r="I69" s="281">
        <v>0</v>
      </c>
      <c r="J69" s="282">
        <v>8</v>
      </c>
      <c r="K69" s="279">
        <v>8</v>
      </c>
      <c r="L69" s="279">
        <v>0</v>
      </c>
      <c r="M69" s="283"/>
      <c r="N69" s="284"/>
      <c r="O69" s="284"/>
      <c r="P69" s="284"/>
      <c r="Q69" s="284"/>
      <c r="R69" s="284"/>
      <c r="S69" s="284"/>
      <c r="T69" s="284"/>
      <c r="U69" s="285"/>
      <c r="V69" s="286"/>
      <c r="W69" s="286"/>
      <c r="X69" s="286"/>
      <c r="Y69" s="286"/>
      <c r="Z69" s="286"/>
      <c r="AA69" s="286"/>
      <c r="AB69" s="288"/>
    </row>
    <row r="70" spans="1:29" s="340" customFormat="1" ht="12.5">
      <c r="A70" s="279" t="s">
        <v>2396</v>
      </c>
      <c r="B70" s="339" t="s">
        <v>2397</v>
      </c>
      <c r="C70" s="280">
        <v>46112</v>
      </c>
      <c r="D70" s="280">
        <v>46113</v>
      </c>
      <c r="E70" s="280">
        <v>46112</v>
      </c>
      <c r="F70" s="280">
        <v>46113</v>
      </c>
      <c r="G70" s="281">
        <v>1</v>
      </c>
      <c r="H70" s="281">
        <v>1</v>
      </c>
      <c r="I70" s="281">
        <v>0</v>
      </c>
      <c r="J70" s="282">
        <v>1</v>
      </c>
      <c r="K70" s="279">
        <v>1</v>
      </c>
      <c r="L70" s="279">
        <v>0</v>
      </c>
      <c r="M70" s="283"/>
      <c r="N70" s="284"/>
      <c r="O70" s="284"/>
      <c r="P70" s="284"/>
      <c r="Q70" s="284"/>
      <c r="R70" s="284"/>
      <c r="S70" s="284"/>
      <c r="T70" s="284"/>
      <c r="U70" s="285"/>
      <c r="V70" s="286"/>
      <c r="W70" s="286"/>
      <c r="X70" s="286"/>
      <c r="Y70" s="286"/>
      <c r="Z70" s="286"/>
      <c r="AA70" s="286"/>
      <c r="AB70" s="288"/>
    </row>
    <row r="71" spans="1:29" s="340" customFormat="1" ht="12.5">
      <c r="A71" s="279" t="s">
        <v>2647</v>
      </c>
      <c r="B71" s="339" t="s">
        <v>2648</v>
      </c>
      <c r="C71" s="280">
        <v>46116</v>
      </c>
      <c r="D71" s="280">
        <v>46119</v>
      </c>
      <c r="E71" s="280">
        <v>46116</v>
      </c>
      <c r="F71" s="280">
        <v>46119</v>
      </c>
      <c r="G71" s="281">
        <v>2</v>
      </c>
      <c r="H71" s="281">
        <v>2</v>
      </c>
      <c r="I71" s="281">
        <v>0</v>
      </c>
      <c r="J71" s="282">
        <v>6</v>
      </c>
      <c r="K71" s="279">
        <v>6</v>
      </c>
      <c r="L71" s="279">
        <v>0</v>
      </c>
      <c r="M71" s="283"/>
      <c r="N71" s="284">
        <v>250</v>
      </c>
      <c r="O71" s="284"/>
      <c r="P71" s="284"/>
      <c r="Q71" s="284"/>
      <c r="R71" s="284"/>
      <c r="S71" s="284"/>
      <c r="T71" s="284"/>
      <c r="U71" s="285">
        <v>250</v>
      </c>
      <c r="V71" s="286"/>
      <c r="W71" s="286"/>
      <c r="X71" s="286">
        <v>250</v>
      </c>
      <c r="Y71" s="286"/>
      <c r="Z71" s="286"/>
      <c r="AA71" s="286"/>
      <c r="AB71" s="288">
        <v>250</v>
      </c>
      <c r="AC71" s="340">
        <v>0</v>
      </c>
    </row>
    <row r="72" spans="1:29" s="340" customFormat="1" ht="25">
      <c r="A72" s="279" t="s">
        <v>2649</v>
      </c>
      <c r="B72" s="339" t="s">
        <v>2650</v>
      </c>
      <c r="C72" s="280">
        <v>46123</v>
      </c>
      <c r="D72" s="280">
        <v>46124</v>
      </c>
      <c r="E72" s="280">
        <v>46123</v>
      </c>
      <c r="F72" s="280">
        <v>46124</v>
      </c>
      <c r="G72" s="281">
        <v>6</v>
      </c>
      <c r="H72" s="281">
        <v>6</v>
      </c>
      <c r="I72" s="281">
        <v>0</v>
      </c>
      <c r="J72" s="282">
        <v>6</v>
      </c>
      <c r="K72" s="279">
        <v>6</v>
      </c>
      <c r="L72" s="279">
        <v>0</v>
      </c>
      <c r="M72" s="283" t="s">
        <v>2651</v>
      </c>
      <c r="N72" s="284"/>
      <c r="O72" s="284"/>
      <c r="P72" s="284"/>
      <c r="Q72" s="284"/>
      <c r="R72" s="284"/>
      <c r="S72" s="284"/>
      <c r="T72" s="284"/>
      <c r="U72" s="285">
        <v>0</v>
      </c>
      <c r="V72" s="286"/>
      <c r="W72" s="286"/>
      <c r="X72" s="286"/>
      <c r="Y72" s="286"/>
      <c r="Z72" s="286"/>
      <c r="AA72" s="286"/>
      <c r="AB72" s="288"/>
    </row>
    <row r="73" spans="1:29" s="340" customFormat="1" ht="12.5">
      <c r="A73" s="279" t="s">
        <v>2652</v>
      </c>
      <c r="B73" s="339" t="s">
        <v>2653</v>
      </c>
      <c r="C73" s="280">
        <v>46124</v>
      </c>
      <c r="D73" s="280">
        <v>46125</v>
      </c>
      <c r="E73" s="280">
        <v>46124</v>
      </c>
      <c r="F73" s="280">
        <v>46125</v>
      </c>
      <c r="G73" s="281">
        <v>2</v>
      </c>
      <c r="H73" s="281">
        <v>2</v>
      </c>
      <c r="I73" s="281">
        <v>0</v>
      </c>
      <c r="J73" s="282">
        <v>2</v>
      </c>
      <c r="K73" s="279">
        <v>2</v>
      </c>
      <c r="L73" s="279">
        <v>0</v>
      </c>
      <c r="M73" s="283"/>
      <c r="N73" s="284"/>
      <c r="O73" s="284"/>
      <c r="P73" s="284"/>
      <c r="Q73" s="284"/>
      <c r="R73" s="284"/>
      <c r="S73" s="284">
        <v>500</v>
      </c>
      <c r="T73" s="284"/>
      <c r="U73" s="285">
        <v>500</v>
      </c>
      <c r="V73" s="286">
        <v>517.5</v>
      </c>
      <c r="W73" s="286">
        <v>-17.5</v>
      </c>
      <c r="X73" s="286"/>
      <c r="Y73" s="286"/>
      <c r="Z73" s="286"/>
      <c r="AA73" s="286"/>
      <c r="AB73" s="288">
        <v>500</v>
      </c>
      <c r="AC73" s="340">
        <v>0</v>
      </c>
    </row>
    <row r="74" spans="1:29" s="340" customFormat="1" ht="12.5">
      <c r="A74" s="279" t="s">
        <v>2654</v>
      </c>
      <c r="B74" s="339" t="s">
        <v>2655</v>
      </c>
      <c r="C74" s="280">
        <v>46132</v>
      </c>
      <c r="D74" s="280">
        <v>46134</v>
      </c>
      <c r="E74" s="280">
        <v>46132</v>
      </c>
      <c r="F74" s="280">
        <v>46134</v>
      </c>
      <c r="G74" s="281">
        <v>3</v>
      </c>
      <c r="H74" s="281">
        <v>3</v>
      </c>
      <c r="I74" s="281">
        <v>0</v>
      </c>
      <c r="J74" s="282">
        <v>6</v>
      </c>
      <c r="K74" s="279">
        <v>6</v>
      </c>
      <c r="L74" s="279">
        <v>0</v>
      </c>
      <c r="M74" s="283"/>
      <c r="N74" s="284"/>
      <c r="O74" s="284"/>
      <c r="P74" s="284"/>
      <c r="Q74" s="284"/>
      <c r="R74" s="284"/>
      <c r="S74" s="284"/>
      <c r="T74" s="284"/>
      <c r="U74" s="285">
        <v>0</v>
      </c>
      <c r="V74" s="286"/>
      <c r="W74" s="286"/>
      <c r="X74" s="286"/>
      <c r="Y74" s="286"/>
      <c r="Z74" s="286"/>
      <c r="AA74" s="286"/>
      <c r="AB74" s="288"/>
    </row>
    <row r="75" spans="1:29" s="340" customFormat="1" ht="12.5">
      <c r="A75" s="279" t="s">
        <v>2656</v>
      </c>
      <c r="B75" s="339" t="s">
        <v>2657</v>
      </c>
      <c r="C75" s="280">
        <v>46133</v>
      </c>
      <c r="D75" s="280">
        <v>46135</v>
      </c>
      <c r="E75" s="280">
        <v>46133</v>
      </c>
      <c r="F75" s="280">
        <v>46135</v>
      </c>
      <c r="G75" s="281">
        <v>2</v>
      </c>
      <c r="H75" s="281">
        <v>2</v>
      </c>
      <c r="I75" s="281">
        <v>0</v>
      </c>
      <c r="J75" s="282">
        <v>4</v>
      </c>
      <c r="K75" s="279">
        <v>4</v>
      </c>
      <c r="L75" s="279">
        <v>0</v>
      </c>
      <c r="M75" s="283"/>
      <c r="N75" s="284"/>
      <c r="O75" s="284"/>
      <c r="P75" s="284"/>
      <c r="Q75" s="284"/>
      <c r="R75" s="284"/>
      <c r="S75" s="284"/>
      <c r="T75" s="284"/>
      <c r="U75" s="285">
        <v>0</v>
      </c>
      <c r="V75" s="286"/>
      <c r="W75" s="286"/>
      <c r="X75" s="286"/>
      <c r="Y75" s="286"/>
      <c r="Z75" s="286"/>
      <c r="AA75" s="286"/>
      <c r="AB75" s="288"/>
    </row>
    <row r="76" spans="1:29">
      <c r="A76" s="279" t="s">
        <v>2816</v>
      </c>
      <c r="B76" s="339" t="s">
        <v>2817</v>
      </c>
      <c r="C76" s="350">
        <v>46143</v>
      </c>
      <c r="D76" s="280">
        <v>46144</v>
      </c>
      <c r="E76" s="280">
        <v>46143</v>
      </c>
      <c r="F76" s="280">
        <v>46144</v>
      </c>
      <c r="G76" s="281">
        <v>4</v>
      </c>
      <c r="H76" s="281">
        <v>4</v>
      </c>
      <c r="I76" s="351">
        <v>0</v>
      </c>
      <c r="J76" s="282">
        <v>4</v>
      </c>
      <c r="K76" s="279">
        <v>4</v>
      </c>
      <c r="L76" s="351">
        <v>0</v>
      </c>
      <c r="M76" s="283"/>
    </row>
    <row r="77" spans="1:29" ht="25">
      <c r="A77" s="279" t="s">
        <v>2818</v>
      </c>
      <c r="B77" s="339" t="s">
        <v>2819</v>
      </c>
      <c r="C77" s="350">
        <v>46152</v>
      </c>
      <c r="D77" s="280">
        <v>46153</v>
      </c>
      <c r="E77" s="280">
        <v>46152</v>
      </c>
      <c r="F77" s="280">
        <v>46153</v>
      </c>
      <c r="G77" s="281">
        <v>2</v>
      </c>
      <c r="H77" s="281">
        <v>2</v>
      </c>
      <c r="I77" s="351">
        <v>0</v>
      </c>
      <c r="J77" s="282">
        <v>2</v>
      </c>
      <c r="K77" s="279">
        <v>2</v>
      </c>
      <c r="L77" s="351">
        <v>0</v>
      </c>
      <c r="M77" s="283" t="s">
        <v>2820</v>
      </c>
    </row>
    <row r="78" spans="1:29">
      <c r="A78" s="279" t="s">
        <v>2821</v>
      </c>
      <c r="B78" s="339" t="s">
        <v>2822</v>
      </c>
      <c r="C78" s="350">
        <v>46151</v>
      </c>
      <c r="D78" s="280">
        <v>46153</v>
      </c>
      <c r="E78" s="280">
        <v>46151</v>
      </c>
      <c r="F78" s="280">
        <v>46153</v>
      </c>
      <c r="G78" s="281">
        <v>2</v>
      </c>
      <c r="H78" s="281">
        <v>2</v>
      </c>
      <c r="I78" s="351">
        <v>0</v>
      </c>
      <c r="J78" s="282">
        <v>4</v>
      </c>
      <c r="K78" s="279">
        <v>4</v>
      </c>
      <c r="L78" s="351">
        <v>0</v>
      </c>
      <c r="M78" s="283"/>
    </row>
    <row r="79" spans="1:29" ht="37.5">
      <c r="A79" s="279" t="s">
        <v>2823</v>
      </c>
      <c r="B79" s="339" t="s">
        <v>2824</v>
      </c>
      <c r="C79" s="350">
        <v>46153</v>
      </c>
      <c r="D79" s="280">
        <v>46155</v>
      </c>
      <c r="E79" s="280">
        <v>46153</v>
      </c>
      <c r="F79" s="280">
        <v>46155</v>
      </c>
      <c r="G79" s="281">
        <v>2</v>
      </c>
      <c r="H79" s="281">
        <v>2</v>
      </c>
      <c r="I79" s="351">
        <v>0</v>
      </c>
      <c r="J79" s="282">
        <v>4</v>
      </c>
      <c r="K79" s="279">
        <v>4</v>
      </c>
      <c r="L79" s="351">
        <v>0</v>
      </c>
      <c r="M79" s="283" t="s">
        <v>2825</v>
      </c>
    </row>
    <row r="80" spans="1:29" s="289" customFormat="1" ht="54" customHeight="1">
      <c r="A80" s="279"/>
      <c r="B80" s="287"/>
      <c r="C80" s="280"/>
      <c r="D80" s="280"/>
      <c r="E80" s="280"/>
      <c r="F80" s="280"/>
      <c r="G80" s="281"/>
      <c r="H80" s="281"/>
      <c r="I80" s="281"/>
      <c r="J80" s="282"/>
      <c r="K80" s="279"/>
      <c r="L80" s="279"/>
      <c r="M80" s="283"/>
      <c r="N80" s="284"/>
      <c r="O80" s="284"/>
      <c r="P80" s="284"/>
      <c r="Q80" s="285"/>
      <c r="R80" s="286"/>
      <c r="S80" s="286"/>
      <c r="T80" s="286"/>
      <c r="U80" s="286"/>
      <c r="V80" s="286"/>
      <c r="W80" s="286"/>
      <c r="X80" s="288"/>
    </row>
    <row r="81" spans="1:24" s="289" customFormat="1" ht="27.75" customHeight="1">
      <c r="A81" s="291" t="s">
        <v>75</v>
      </c>
      <c r="B81" s="291" t="s">
        <v>75</v>
      </c>
      <c r="C81" s="291" t="s">
        <v>75</v>
      </c>
      <c r="D81" s="291" t="s">
        <v>75</v>
      </c>
      <c r="E81" s="291"/>
      <c r="F81" s="291"/>
      <c r="G81" s="291" t="s">
        <v>75</v>
      </c>
      <c r="H81" s="291" t="s">
        <v>75</v>
      </c>
      <c r="I81" s="291" t="s">
        <v>75</v>
      </c>
      <c r="J81" s="291" t="s">
        <v>75</v>
      </c>
      <c r="K81" s="291" t="s">
        <v>75</v>
      </c>
      <c r="L81" s="291" t="s">
        <v>75</v>
      </c>
      <c r="M81" s="291" t="s">
        <v>75</v>
      </c>
      <c r="N81" s="291" t="s">
        <v>75</v>
      </c>
      <c r="O81" s="291" t="s">
        <v>75</v>
      </c>
      <c r="P81" s="291" t="s">
        <v>75</v>
      </c>
      <c r="Q81" s="291" t="s">
        <v>75</v>
      </c>
      <c r="R81" s="291" t="s">
        <v>75</v>
      </c>
      <c r="S81" s="291" t="s">
        <v>75</v>
      </c>
      <c r="T81" s="291" t="s">
        <v>75</v>
      </c>
      <c r="U81" s="291" t="s">
        <v>75</v>
      </c>
      <c r="V81" s="291" t="s">
        <v>75</v>
      </c>
      <c r="W81" s="291" t="s">
        <v>75</v>
      </c>
      <c r="X81" s="291" t="s">
        <v>75</v>
      </c>
    </row>
  </sheetData>
  <conditionalFormatting sqref="B10 B80:B81">
    <cfRule type="duplicateValues" dxfId="14" priority="22"/>
  </conditionalFormatting>
  <conditionalFormatting sqref="B11">
    <cfRule type="duplicateValues" dxfId="13" priority="9"/>
  </conditionalFormatting>
  <conditionalFormatting sqref="B11:B13">
    <cfRule type="duplicateValues" dxfId="12" priority="8"/>
  </conditionalFormatting>
  <conditionalFormatting sqref="B11:B75">
    <cfRule type="duplicateValues" dxfId="11" priority="7"/>
  </conditionalFormatting>
  <conditionalFormatting sqref="B76:B79">
    <cfRule type="duplicateValues" dxfId="10" priority="1"/>
  </conditionalFormatting>
  <conditionalFormatting sqref="C76:C79">
    <cfRule type="expression" dxfId="9" priority="6">
      <formula>AND(C76&lt;&gt;"",E76&lt;&gt;"",C76&lt;&gt;E76)</formula>
    </cfRule>
  </conditionalFormatting>
  <conditionalFormatting sqref="D76:D79">
    <cfRule type="expression" dxfId="8" priority="4">
      <formula>AND(D76&lt;&gt;"",F76&lt;&gt;"",D76&lt;&gt;F76)</formula>
    </cfRule>
  </conditionalFormatting>
  <conditionalFormatting sqref="E76:F79">
    <cfRule type="expression" dxfId="7" priority="5">
      <formula>AND(C76&lt;&gt;"",E76&lt;&gt;"",C76&lt;&gt;E76)</formula>
    </cfRule>
  </conditionalFormatting>
  <conditionalFormatting sqref="G1:W1">
    <cfRule type="cellIs" dxfId="6" priority="17" operator="notEqual">
      <formula>0</formula>
    </cfRule>
  </conditionalFormatting>
  <conditionalFormatting sqref="I76:I79 L76:L79">
    <cfRule type="cellIs" dxfId="5" priority="3" operator="notEqual">
      <formula>0</formula>
    </cfRule>
  </conditionalFormatting>
  <conditionalFormatting sqref="N8:O8">
    <cfRule type="cellIs" dxfId="4" priority="20" stopIfTrue="1" operator="lessThan">
      <formula>0</formula>
    </cfRule>
  </conditionalFormatting>
  <conditionalFormatting sqref="N1:W1">
    <cfRule type="cellIs" dxfId="3" priority="21" stopIfTrue="1" operator="equal">
      <formula>"Check"</formula>
    </cfRule>
  </conditionalFormatting>
  <dataValidations disablePrompts="1" count="2">
    <dataValidation type="list" allowBlank="1" showInputMessage="1" showErrorMessage="1" errorTitle="seleccione valor de lista" sqref="A4" xr:uid="{00000000-0002-0000-0A00-000000000000}">
      <formula1>T_LODGE</formula1>
    </dataValidation>
    <dataValidation type="list" allowBlank="1" showInputMessage="1" showErrorMessage="1" sqref="B4" xr:uid="{00000000-0002-0000-0A00-000001000000}">
      <formula1>T_TABLAS_TEMPORADAS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K11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6" sqref="E6"/>
    </sheetView>
  </sheetViews>
  <sheetFormatPr baseColWidth="10" defaultColWidth="11.5" defaultRowHeight="13"/>
  <cols>
    <col min="1" max="2" width="11.5" style="5"/>
    <col min="3" max="3" width="18.1640625" style="5" bestFit="1" customWidth="1"/>
    <col min="4" max="4" width="13.83203125" style="5" customWidth="1"/>
    <col min="5" max="5" width="16.5" style="5" customWidth="1"/>
    <col min="6" max="6" width="11.83203125" style="5" bestFit="1" customWidth="1"/>
    <col min="7" max="7" width="3.83203125" style="5" bestFit="1" customWidth="1"/>
    <col min="8" max="8" width="21.5" style="5" customWidth="1"/>
    <col min="9" max="11" width="13.5" style="5" bestFit="1" customWidth="1"/>
    <col min="12" max="12" width="15.1640625" style="5" bestFit="1" customWidth="1"/>
    <col min="13" max="13" width="12" style="5" bestFit="1" customWidth="1"/>
    <col min="14" max="14" width="18.83203125" style="5" customWidth="1"/>
    <col min="15" max="15" width="14.5" style="5" bestFit="1" customWidth="1"/>
    <col min="16" max="16384" width="11.5" style="5"/>
  </cols>
  <sheetData>
    <row r="2" spans="3:11">
      <c r="C2" s="196">
        <v>0</v>
      </c>
      <c r="D2" s="5" t="s">
        <v>272</v>
      </c>
    </row>
    <row r="3" spans="3:11" ht="14" thickBot="1">
      <c r="E3" s="36" t="s">
        <v>79</v>
      </c>
      <c r="F3" s="204">
        <f>+'Budget Comparativo'!$F$8</f>
        <v>302</v>
      </c>
    </row>
    <row r="4" spans="3:11">
      <c r="C4" s="362" t="s">
        <v>341</v>
      </c>
      <c r="D4" s="363"/>
      <c r="E4" s="363"/>
      <c r="F4" s="364"/>
    </row>
    <row r="5" spans="3:11" ht="70">
      <c r="C5" s="182" t="s">
        <v>72</v>
      </c>
      <c r="D5" s="181" t="s">
        <v>273</v>
      </c>
      <c r="E5" s="181" t="s">
        <v>274</v>
      </c>
      <c r="F5" s="183" t="s">
        <v>112</v>
      </c>
    </row>
    <row r="6" spans="3:11">
      <c r="C6" s="64" t="s">
        <v>186</v>
      </c>
      <c r="D6" s="196">
        <v>0</v>
      </c>
      <c r="E6" s="180">
        <v>3197.3136078716466</v>
      </c>
      <c r="F6" s="184">
        <f>+D6-E6</f>
        <v>-3197.3136078716466</v>
      </c>
      <c r="G6" s="204">
        <f>+'Budget Comparativo'!M33</f>
        <v>92.976131055626652</v>
      </c>
      <c r="H6" s="36" t="s">
        <v>2165</v>
      </c>
    </row>
    <row r="7" spans="3:11">
      <c r="C7" s="41"/>
      <c r="D7" s="39"/>
      <c r="E7" s="38"/>
      <c r="F7" s="185"/>
      <c r="G7" s="5">
        <f>+'Budget Comparativo'!L33</f>
        <v>100</v>
      </c>
      <c r="H7" s="36" t="s">
        <v>2166</v>
      </c>
    </row>
    <row r="8" spans="3:11">
      <c r="C8" s="64" t="s">
        <v>188</v>
      </c>
      <c r="D8" s="180">
        <v>0</v>
      </c>
      <c r="E8" s="180">
        <v>0</v>
      </c>
      <c r="F8" s="184">
        <f>+D8-E8</f>
        <v>0</v>
      </c>
    </row>
    <row r="9" spans="3:11">
      <c r="C9" s="41"/>
      <c r="D9" s="39"/>
      <c r="E9" s="39"/>
      <c r="F9" s="185"/>
    </row>
    <row r="10" spans="3:11" ht="14" thickBot="1">
      <c r="C10" s="213" t="s">
        <v>287</v>
      </c>
      <c r="D10" s="186">
        <v>0</v>
      </c>
      <c r="E10" s="186">
        <v>0</v>
      </c>
      <c r="F10" s="187">
        <f>+D10-E10</f>
        <v>0</v>
      </c>
    </row>
    <row r="11" spans="3:11">
      <c r="F11" s="207">
        <f>SUM(F6:F10)</f>
        <v>-3197.3136078716466</v>
      </c>
      <c r="K11" s="207"/>
    </row>
  </sheetData>
  <sortState xmlns:xlrd2="http://schemas.microsoft.com/office/spreadsheetml/2017/richdata2" ref="C29:K34">
    <sortCondition ref="D29"/>
  </sortState>
  <mergeCells count="1">
    <mergeCell ref="C4:F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B1:J10"/>
  <sheetViews>
    <sheetView workbookViewId="0">
      <selection activeCell="B2" sqref="B2:I2"/>
    </sheetView>
  </sheetViews>
  <sheetFormatPr baseColWidth="10" defaultColWidth="11.5" defaultRowHeight="13"/>
  <cols>
    <col min="2" max="2" width="21.5" bestFit="1" customWidth="1"/>
    <col min="3" max="4" width="10.5" bestFit="1" customWidth="1"/>
    <col min="5" max="5" width="10.5" customWidth="1"/>
    <col min="6" max="6" width="10.83203125" bestFit="1" customWidth="1"/>
    <col min="7" max="8" width="12.83203125" bestFit="1" customWidth="1"/>
    <col min="9" max="9" width="13.5" bestFit="1" customWidth="1"/>
    <col min="10" max="10" width="22.1640625" style="4" customWidth="1"/>
    <col min="11" max="11" width="4.5" bestFit="1" customWidth="1"/>
  </cols>
  <sheetData>
    <row r="1" spans="2:10" ht="14" thickBot="1"/>
    <row r="2" spans="2:10" ht="14" thickBot="1">
      <c r="B2" s="365" t="s">
        <v>288</v>
      </c>
      <c r="C2" s="366"/>
      <c r="D2" s="366"/>
      <c r="E2" s="366"/>
      <c r="F2" s="366"/>
      <c r="G2" s="366"/>
      <c r="H2" s="366"/>
      <c r="I2" s="367"/>
    </row>
    <row r="3" spans="2:10" ht="29" thickBot="1">
      <c r="B3" s="94" t="s">
        <v>92</v>
      </c>
      <c r="C3" s="95" t="s">
        <v>94</v>
      </c>
      <c r="D3" s="57" t="s">
        <v>93</v>
      </c>
      <c r="E3" s="57" t="s">
        <v>101</v>
      </c>
      <c r="F3" s="57" t="s">
        <v>97</v>
      </c>
      <c r="G3" s="57" t="s">
        <v>95</v>
      </c>
      <c r="H3" s="57" t="s">
        <v>96</v>
      </c>
      <c r="I3" s="53" t="s">
        <v>97</v>
      </c>
      <c r="J3" s="53" t="s">
        <v>102</v>
      </c>
    </row>
    <row r="4" spans="2:10" ht="42">
      <c r="B4" s="49" t="s">
        <v>100</v>
      </c>
      <c r="C4" s="50">
        <f>+'Budget Comparativo'!F8</f>
        <v>302</v>
      </c>
      <c r="D4" s="51">
        <v>0</v>
      </c>
      <c r="E4" s="42">
        <f t="shared" ref="E4:E9" si="0">IF(C4=0,0,+H4/C4)</f>
        <v>0</v>
      </c>
      <c r="F4" s="52">
        <f t="shared" ref="F4:F9" si="1">+E4-D4</f>
        <v>0</v>
      </c>
      <c r="G4" s="51">
        <f t="shared" ref="G4:G9" si="2">+C4*D4</f>
        <v>0</v>
      </c>
      <c r="H4" s="51">
        <v>0</v>
      </c>
      <c r="I4" s="97">
        <f t="shared" ref="I4:I10" si="3">+H4-G4</f>
        <v>0</v>
      </c>
      <c r="J4" s="92"/>
    </row>
    <row r="5" spans="2:10">
      <c r="B5" s="41" t="s">
        <v>98</v>
      </c>
      <c r="C5" s="47">
        <f>+C4</f>
        <v>302</v>
      </c>
      <c r="D5" s="42">
        <v>0</v>
      </c>
      <c r="E5" s="42">
        <f t="shared" si="0"/>
        <v>0</v>
      </c>
      <c r="F5" s="45">
        <f t="shared" si="1"/>
        <v>0</v>
      </c>
      <c r="G5" s="42">
        <f t="shared" si="2"/>
        <v>0</v>
      </c>
      <c r="H5" s="54">
        <v>0</v>
      </c>
      <c r="I5" s="98">
        <f t="shared" si="3"/>
        <v>0</v>
      </c>
      <c r="J5" s="92"/>
    </row>
    <row r="6" spans="2:10">
      <c r="B6" s="64" t="s">
        <v>108</v>
      </c>
      <c r="C6" s="47">
        <f>+C5</f>
        <v>302</v>
      </c>
      <c r="D6" s="42">
        <v>0</v>
      </c>
      <c r="E6" s="42">
        <f t="shared" si="0"/>
        <v>0</v>
      </c>
      <c r="F6" s="45">
        <f t="shared" si="1"/>
        <v>0</v>
      </c>
      <c r="G6" s="42">
        <f t="shared" si="2"/>
        <v>0</v>
      </c>
      <c r="H6" s="54">
        <v>0</v>
      </c>
      <c r="I6" s="98">
        <f t="shared" si="3"/>
        <v>0</v>
      </c>
      <c r="J6" s="92"/>
    </row>
    <row r="7" spans="2:10">
      <c r="B7" s="64" t="s">
        <v>122</v>
      </c>
      <c r="C7" s="47">
        <f>+C6</f>
        <v>302</v>
      </c>
      <c r="D7" s="42">
        <v>0</v>
      </c>
      <c r="E7" s="42">
        <f t="shared" si="0"/>
        <v>0</v>
      </c>
      <c r="F7" s="45">
        <f t="shared" si="1"/>
        <v>0</v>
      </c>
      <c r="G7" s="42">
        <f t="shared" si="2"/>
        <v>0</v>
      </c>
      <c r="H7" s="54">
        <v>0</v>
      </c>
      <c r="I7" s="98">
        <f t="shared" si="3"/>
        <v>0</v>
      </c>
      <c r="J7" s="93"/>
    </row>
    <row r="8" spans="2:10">
      <c r="B8" s="64" t="s">
        <v>123</v>
      </c>
      <c r="C8" s="47">
        <f>+C7</f>
        <v>302</v>
      </c>
      <c r="D8" s="42">
        <v>0</v>
      </c>
      <c r="E8" s="42">
        <f t="shared" ref="E8" si="4">IF(C8=0,0,+H8/C8)</f>
        <v>0</v>
      </c>
      <c r="F8" s="45">
        <f t="shared" si="1"/>
        <v>0</v>
      </c>
      <c r="G8" s="42">
        <f t="shared" si="2"/>
        <v>0</v>
      </c>
      <c r="H8" s="54">
        <v>0</v>
      </c>
      <c r="I8" s="98">
        <f t="shared" ref="I8" si="5">+H8-G8</f>
        <v>0</v>
      </c>
      <c r="J8" s="93"/>
    </row>
    <row r="9" spans="2:10" ht="14" thickBot="1">
      <c r="B9" s="43" t="s">
        <v>99</v>
      </c>
      <c r="C9" s="48">
        <f>+C8</f>
        <v>302</v>
      </c>
      <c r="D9" s="44">
        <v>0</v>
      </c>
      <c r="E9" s="44">
        <f t="shared" si="0"/>
        <v>0</v>
      </c>
      <c r="F9" s="46">
        <f t="shared" si="1"/>
        <v>0</v>
      </c>
      <c r="G9" s="44">
        <f t="shared" si="2"/>
        <v>0</v>
      </c>
      <c r="H9" s="55">
        <v>0</v>
      </c>
      <c r="I9" s="99">
        <f t="shared" si="3"/>
        <v>0</v>
      </c>
      <c r="J9" s="93"/>
    </row>
    <row r="10" spans="2:10" s="56" customFormat="1" ht="14" thickBot="1">
      <c r="B10" s="58" t="s">
        <v>103</v>
      </c>
      <c r="C10" s="59"/>
      <c r="D10" s="60"/>
      <c r="E10" s="60"/>
      <c r="F10" s="60"/>
      <c r="G10" s="60">
        <f>+SUM(G3:G9)</f>
        <v>0</v>
      </c>
      <c r="H10" s="60">
        <f>+SUM(H3:H9)</f>
        <v>0</v>
      </c>
      <c r="I10" s="96">
        <f t="shared" si="3"/>
        <v>0</v>
      </c>
      <c r="J10" s="67"/>
    </row>
  </sheetData>
  <mergeCells count="1">
    <mergeCell ref="B2:I2"/>
  </mergeCells>
  <conditionalFormatting sqref="F4:F9">
    <cfRule type="cellIs" dxfId="2" priority="4" stopIfTrue="1" operator="greaterThan">
      <formula>0.01</formula>
    </cfRule>
    <cfRule type="cellIs" dxfId="1" priority="5" stopIfTrue="1" operator="lessThan">
      <formula>1</formula>
    </cfRule>
  </conditionalFormatting>
  <conditionalFormatting sqref="I4:I10">
    <cfRule type="cellIs" dxfId="0" priority="6" stopIfTrue="1" operator="lessThan">
      <formula>1</formula>
    </cfRule>
  </conditionalFormatting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Mov_Analizados_Sept25 - Nov 25</vt:lpstr>
      <vt:lpstr>Mov_Analizados_Dic25</vt:lpstr>
      <vt:lpstr>Mov_Analizados_Ene26</vt:lpstr>
      <vt:lpstr>Mov_Analizados_Feb26</vt:lpstr>
      <vt:lpstr>Mov_Analizados_Mar26</vt:lpstr>
      <vt:lpstr>Mov_Analizados_Abr26</vt:lpstr>
      <vt:lpstr>Mov_Analizados_May26</vt:lpstr>
      <vt:lpstr>Resumen_Base</vt:lpstr>
      <vt:lpstr>Plan Cuentas Link Armado</vt:lpstr>
      <vt:lpstr>Budget Comparativo</vt:lpstr>
      <vt:lpstr>DELTA LODGE</vt:lpstr>
      <vt:lpstr>Stock - Deudas</vt:lpstr>
      <vt:lpstr>Comparativo_Extras DEL</vt:lpstr>
      <vt:lpstr>'Budget Comparativo'!Área_de_impresión</vt:lpstr>
      <vt:lpstr>'Comparativo_Extras DEL'!Área_de_impresión</vt:lpstr>
      <vt:lpstr>T_ACUMULADO_ESTANCIAS_BN_LODGE</vt:lpstr>
      <vt:lpstr>T_ACUMULADO_ESTANCIAS_BN_VENTAS</vt:lpstr>
      <vt:lpstr>T_ACUMULADO_ESTANCIAS_DATOS</vt:lpstr>
      <vt:lpstr>T_ACUMULADO_ESTANCIAS_FECHA_APP</vt:lpstr>
      <vt:lpstr>T_ACUMULADO_ESTANCIAS_LODGE_SELECCIONADO</vt:lpstr>
      <vt:lpstr>T_ACUMULADO_ESTANCIAS_LODGE_VENTAS_SELECCIONADO</vt:lpstr>
      <vt:lpstr>T_ACUMULADO_ESTANCIAS_PAX_LODGE</vt:lpstr>
      <vt:lpstr>T_ACUMULADO_ESTANCIAS_PAX_VENTAS</vt:lpstr>
      <vt:lpstr>T_ACUMULADO_ESTANCIAS_TEMPORADA</vt:lpstr>
      <vt:lpstr>'Budget Comparativo'!Títulos_a_imprimir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De Agostino</dc:creator>
  <cp:lastModifiedBy>Marina Soledad García</cp:lastModifiedBy>
  <cp:lastPrinted>2026-05-15T14:12:20Z</cp:lastPrinted>
  <dcterms:created xsi:type="dcterms:W3CDTF">2012-11-21T12:31:05Z</dcterms:created>
  <dcterms:modified xsi:type="dcterms:W3CDTF">2026-06-22T14:00:58Z</dcterms:modified>
</cp:coreProperties>
</file>
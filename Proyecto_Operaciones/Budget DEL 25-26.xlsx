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naGarcia/Documents/Budgets TKG 2026/Pesca/"/>
    </mc:Choice>
  </mc:AlternateContent>
  <xr:revisionPtr revIDLastSave="0" documentId="13_ncr:1_{B3D4974C-FF9A-2A4B-B0ED-EC85DF120C4B}" xr6:coauthVersionLast="47" xr6:coauthVersionMax="47" xr10:uidLastSave="{00000000-0000-0000-0000-000000000000}"/>
  <bookViews>
    <workbookView xWindow="0" yWindow="500" windowWidth="28800" windowHeight="16060" activeTab="1" xr2:uid="{A5155916-BC77-4E46-9CAD-32E40E0A6730}"/>
  </bookViews>
  <sheets>
    <sheet name="Real 2024" sheetId="8" state="hidden" r:id="rId1"/>
    <sheet name="Budget Del 25-26" sheetId="1" r:id="rId2"/>
    <sheet name="Sueldos" sheetId="9" r:id="rId3"/>
  </sheets>
  <definedNames>
    <definedName name="_Regression_X" localSheetId="0" hidden="1">#REF!</definedName>
    <definedName name="_Regression_X" hidden="1">#REF!</definedName>
    <definedName name="_Rt12" localSheetId="0">#REF!</definedName>
    <definedName name="_Rt12">#REF!</definedName>
    <definedName name="AJUSTES" localSheetId="0">#REF!</definedName>
    <definedName name="AJUSTES">#REF!</definedName>
    <definedName name="_xlnm.Print_Area" localSheetId="0">'Real 2024'!$B$1:$Q$140</definedName>
    <definedName name="Assumptions" localSheetId="0">#N/A</definedName>
    <definedName name="Assumptions">#REF!</definedName>
    <definedName name="Base">#REF!</definedName>
    <definedName name="_xlnm.Database" localSheetId="0">#REF!</definedName>
    <definedName name="_xlnm.Database">#REF!</definedName>
    <definedName name="BN_CY">#REF!</definedName>
    <definedName name="BN_LY">#REF!</definedName>
    <definedName name="BN_PY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>#REF!</definedName>
    <definedName name="BuiltIn_Print_Titles___0">#REF!</definedName>
    <definedName name="CASH_FLOW" localSheetId="0">#N/A</definedName>
    <definedName name="CASH_FLOW">#REF!</definedName>
    <definedName name="Costo" localSheetId="0">#REF!</definedName>
    <definedName name="Costo">#REF!</definedName>
    <definedName name="DAYS_CY">#REF!</definedName>
    <definedName name="DeltaLodgeTabla">'Real 2024'!$C$15:$P$139</definedName>
    <definedName name="Depreciation_Investment" localSheetId="0">#N/A</definedName>
    <definedName name="Depreciation_Investment">#REF!</definedName>
    <definedName name="EVOLUCION___0">#N/A</definedName>
    <definedName name="FC_CY">#REF!</definedName>
    <definedName name="FC_LY">#REF!</definedName>
    <definedName name="FC_PY">#REF!</definedName>
    <definedName name="FI_CY">#REF!</definedName>
    <definedName name="FI_LY">#REF!</definedName>
    <definedName name="FI_PY">#REF!</definedName>
    <definedName name="Futa" localSheetId="0" hidden="1">{"Informe de Gastos",#N/A,FALSE,"Informe Gastos"}</definedName>
    <definedName name="Futa" hidden="1">{"Informe de Gastos",#N/A,FALSE,"Informe Gastos"}</definedName>
    <definedName name="IBrutos" localSheetId="0">#REF!</definedName>
    <definedName name="IBrutos">#REF!</definedName>
    <definedName name="INCOME_STATEMENT" localSheetId="0">#N/A</definedName>
    <definedName name="INCOME_STATEMENT">#REF!</definedName>
    <definedName name="Intang" localSheetId="0">#REF!</definedName>
    <definedName name="Intang">#REF!</definedName>
    <definedName name="LCR_Real">#REF!</definedName>
    <definedName name="Macro1">#N/A</definedName>
    <definedName name="Monext" localSheetId="0">#REF!</definedName>
    <definedName name="Monext">#REF!</definedName>
    <definedName name="º" localSheetId="0" hidden="1">{#N/A,#N/A,FALSE,"11) Det. Balance"}</definedName>
    <definedName name="º" hidden="1">{#N/A,#N/A,FALSE,"11) Det. Balance"}</definedName>
    <definedName name="PAX_CY">#REF!</definedName>
    <definedName name="PAX_LY">#REF!</definedName>
    <definedName name="PAX_PY">#REF!</definedName>
    <definedName name="PERSONNEL" localSheetId="0">#N/A</definedName>
    <definedName name="PERSONNEL">#REF!</definedName>
    <definedName name="Real22">#REF!</definedName>
    <definedName name="Real23">#REF!</definedName>
    <definedName name="RealVM23">#REF!</definedName>
    <definedName name="res" localSheetId="0" hidden="1">{"Informe de Gastos",#N/A,FALSE,"Informe Gastos"}</definedName>
    <definedName name="res" hidden="1">{"Informe de Gastos",#N/A,FALSE,"Informe Gastos"}</definedName>
    <definedName name="Revenues_Expenses" localSheetId="0">#N/A</definedName>
    <definedName name="Revenues_Expenses">#REF!</definedName>
    <definedName name="Total_Sales__quantity" localSheetId="0">#N/A</definedName>
    <definedName name="Total_Sales__quantity">#REF!</definedName>
    <definedName name="Uniona" localSheetId="0">#REF!</definedName>
    <definedName name="Uniona">#REF!</definedName>
    <definedName name="wrn.balance._.detallado." localSheetId="0" hidden="1">{#N/A,#N/A,FALSE,"11) Det. Balance"}</definedName>
    <definedName name="wrn.balance._.detallado." hidden="1">{#N/A,#N/A,FALSE,"11) Det. Balance"}</definedName>
    <definedName name="wrn.Informe._.de._.Caja._.semanal." localSheetId="0" hidden="1">{"Informe de Caja",#N/A,FALSE,"Caja"}</definedName>
    <definedName name="wrn.Informe._.de._.Caja._.semanal." hidden="1">{"Informe de Caja",#N/A,FALSE,"Caja"}</definedName>
    <definedName name="wrn.Informe._.Presupuesto._.vs._.Real." localSheetId="0" hidden="1">{"Informe Presupuesto",#N/A,FALSE,"Presupuesto"}</definedName>
    <definedName name="wrn.Informe._.Presupuesto._.vs._.Real." hidden="1">{"Informe Presupuesto",#N/A,FALSE,"Presupuesto"}</definedName>
    <definedName name="wrn.Resumen._.de._.Gastos._.por._.semana." localSheetId="0" hidden="1">{"Informe de Gastos",#N/A,FALSE,"Informe Gastos"}</definedName>
    <definedName name="wrn.Resumen._.de._.Gastos._.por._.semana." hidden="1">{"Informe de Gastos",#N/A,FALSE,"Informe Gastos"}</definedName>
    <definedName name="wrn.Resumen._.de._.Ingresos._.por._.Semana." localSheetId="0" hidden="1">{"Resumen de Ingresos",#N/A,FALSE,"Informe Ingresos"}</definedName>
    <definedName name="wrn.Resumen._.de._.Ingresos._.por._.Semana." hidden="1">{"Resumen de Ingresos",#N/A,FALSE,"Informe Ingresos"}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9" i="1" l="1"/>
  <c r="D15" i="1"/>
  <c r="C1" i="9"/>
  <c r="F4" i="9" s="1"/>
  <c r="G4" i="9" s="1"/>
  <c r="H4" i="9" s="1"/>
  <c r="H6" i="9" s="1"/>
  <c r="D29" i="1" s="1"/>
  <c r="E13" i="9"/>
  <c r="D22" i="9"/>
  <c r="D19" i="9"/>
  <c r="D20" i="9"/>
  <c r="D21" i="9"/>
  <c r="E5" i="9"/>
  <c r="H5" i="9" s="1"/>
  <c r="E11" i="9"/>
  <c r="E12" i="9"/>
  <c r="E10" i="9"/>
  <c r="E4" i="9"/>
  <c r="F10" i="9" l="1"/>
  <c r="G10" i="9" s="1"/>
  <c r="H10" i="9" s="1"/>
  <c r="F13" i="9"/>
  <c r="G13" i="9" s="1"/>
  <c r="H13" i="9" s="1"/>
  <c r="F12" i="9"/>
  <c r="G12" i="9" s="1"/>
  <c r="H12" i="9" s="1"/>
  <c r="F11" i="9"/>
  <c r="G11" i="9" s="1"/>
  <c r="H11" i="9" s="1"/>
  <c r="B26" i="9"/>
  <c r="D23" i="9"/>
  <c r="D30" i="1" s="1"/>
  <c r="H14" i="9" l="1"/>
  <c r="D31" i="1" s="1"/>
  <c r="B27" i="9"/>
  <c r="B29" i="9" s="1"/>
  <c r="D32" i="1" s="1"/>
  <c r="D46" i="1"/>
  <c r="D33" i="1"/>
  <c r="D21" i="1"/>
  <c r="D14" i="1"/>
  <c r="D36" i="1" s="1"/>
  <c r="D28" i="1" l="1"/>
  <c r="G21" i="1"/>
  <c r="G33" i="1"/>
  <c r="G30" i="1"/>
  <c r="G36" i="1"/>
  <c r="G31" i="1"/>
  <c r="D18" i="1"/>
  <c r="G38" i="1"/>
  <c r="D42" i="1"/>
  <c r="G42" i="1" s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G49" i="1"/>
  <c r="G48" i="1"/>
  <c r="G47" i="1"/>
  <c r="G46" i="1"/>
  <c r="G45" i="1"/>
  <c r="G44" i="1"/>
  <c r="G43" i="1"/>
  <c r="G41" i="1"/>
  <c r="G40" i="1"/>
  <c r="G39" i="1"/>
  <c r="G37" i="1"/>
  <c r="G35" i="1"/>
  <c r="G32" i="1"/>
  <c r="G27" i="1"/>
  <c r="G24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3" i="1"/>
  <c r="H32" i="1"/>
  <c r="H31" i="1"/>
  <c r="H30" i="1"/>
  <c r="H29" i="1"/>
  <c r="H28" i="1"/>
  <c r="H27" i="1"/>
  <c r="H24" i="1"/>
  <c r="H23" i="1"/>
  <c r="H22" i="1"/>
  <c r="H21" i="1"/>
  <c r="E26" i="1"/>
  <c r="H26" i="1" s="1"/>
  <c r="H34" i="1" l="1"/>
  <c r="G29" i="1"/>
  <c r="D34" i="1"/>
  <c r="D26" i="1" s="1"/>
  <c r="G26" i="1" s="1"/>
  <c r="D22" i="1"/>
  <c r="G22" i="1" s="1"/>
  <c r="E20" i="1"/>
  <c r="H20" i="1" s="1"/>
  <c r="K69" i="8"/>
  <c r="K49" i="8" s="1"/>
  <c r="F69" i="8"/>
  <c r="F49" i="8" s="1"/>
  <c r="G68" i="8"/>
  <c r="D67" i="8"/>
  <c r="E67" i="8" s="1"/>
  <c r="G67" i="8" s="1"/>
  <c r="D66" i="8"/>
  <c r="E66" i="8" s="1"/>
  <c r="G66" i="8" s="1"/>
  <c r="D65" i="8"/>
  <c r="E65" i="8" s="1"/>
  <c r="G65" i="8" s="1"/>
  <c r="D64" i="8"/>
  <c r="E64" i="8" s="1"/>
  <c r="G64" i="8" s="1"/>
  <c r="D63" i="8"/>
  <c r="E63" i="8" s="1"/>
  <c r="G63" i="8" s="1"/>
  <c r="D62" i="8"/>
  <c r="E62" i="8" s="1"/>
  <c r="G62" i="8" s="1"/>
  <c r="D60" i="8"/>
  <c r="E60" i="8" s="1"/>
  <c r="G60" i="8" s="1"/>
  <c r="D59" i="8"/>
  <c r="D58" i="8"/>
  <c r="E58" i="8" s="1"/>
  <c r="G58" i="8" s="1"/>
  <c r="D57" i="8"/>
  <c r="E57" i="8" s="1"/>
  <c r="G57" i="8" s="1"/>
  <c r="D56" i="8"/>
  <c r="E52" i="8"/>
  <c r="G52" i="8" s="1"/>
  <c r="G50" i="8"/>
  <c r="D50" i="8"/>
  <c r="H45" i="8"/>
  <c r="H44" i="8"/>
  <c r="S43" i="8"/>
  <c r="T43" i="8" s="1"/>
  <c r="U43" i="8" s="1"/>
  <c r="H43" i="8"/>
  <c r="T42" i="8"/>
  <c r="U42" i="8" s="1"/>
  <c r="P42" i="8"/>
  <c r="N42" i="8"/>
  <c r="M42" i="8"/>
  <c r="O42" i="8" s="1"/>
  <c r="D41" i="8"/>
  <c r="T40" i="8"/>
  <c r="N40" i="8"/>
  <c r="D40" i="8"/>
  <c r="M40" i="8" s="1"/>
  <c r="O40" i="8" s="1"/>
  <c r="S39" i="8"/>
  <c r="T39" i="8" s="1"/>
  <c r="K38" i="8"/>
  <c r="F38" i="8"/>
  <c r="P37" i="8"/>
  <c r="N37" i="8"/>
  <c r="M37" i="8"/>
  <c r="O37" i="8" s="1"/>
  <c r="E37" i="8"/>
  <c r="G37" i="8" s="1"/>
  <c r="T35" i="8"/>
  <c r="U35" i="8" s="1"/>
  <c r="P35" i="8"/>
  <c r="N35" i="8"/>
  <c r="M35" i="8"/>
  <c r="P34" i="8"/>
  <c r="N34" i="8"/>
  <c r="D34" i="8"/>
  <c r="M34" i="8" s="1"/>
  <c r="O34" i="8" s="1"/>
  <c r="T33" i="8"/>
  <c r="P33" i="8"/>
  <c r="N33" i="8"/>
  <c r="E33" i="8"/>
  <c r="G33" i="8" s="1"/>
  <c r="D33" i="8"/>
  <c r="U33" i="8" s="1"/>
  <c r="S32" i="8"/>
  <c r="T32" i="8" s="1"/>
  <c r="P32" i="8"/>
  <c r="N32" i="8"/>
  <c r="D32" i="8"/>
  <c r="S31" i="8"/>
  <c r="T31" i="8" s="1"/>
  <c r="P31" i="8"/>
  <c r="N31" i="8"/>
  <c r="K30" i="8"/>
  <c r="P30" i="8" s="1"/>
  <c r="F30" i="8"/>
  <c r="N30" i="8" s="1"/>
  <c r="P29" i="8"/>
  <c r="N29" i="8"/>
  <c r="D29" i="8"/>
  <c r="M29" i="8" s="1"/>
  <c r="T28" i="8"/>
  <c r="D28" i="8"/>
  <c r="S27" i="8"/>
  <c r="T27" i="8" s="1"/>
  <c r="S26" i="8"/>
  <c r="T26" i="8" s="1"/>
  <c r="U26" i="8" s="1"/>
  <c r="P26" i="8"/>
  <c r="N26" i="8"/>
  <c r="M26" i="8"/>
  <c r="O26" i="8" s="1"/>
  <c r="R26" i="8" s="1"/>
  <c r="E26" i="8"/>
  <c r="G26" i="8" s="1"/>
  <c r="K24" i="8"/>
  <c r="F24" i="8"/>
  <c r="S23" i="8"/>
  <c r="T23" i="8" s="1"/>
  <c r="U23" i="8" s="1"/>
  <c r="P23" i="8"/>
  <c r="N23" i="8"/>
  <c r="M23" i="8"/>
  <c r="K20" i="8"/>
  <c r="F20" i="8"/>
  <c r="P18" i="8"/>
  <c r="N18" i="8"/>
  <c r="M18" i="8"/>
  <c r="E18" i="8"/>
  <c r="G18" i="8" s="1"/>
  <c r="P17" i="8"/>
  <c r="N17" i="8"/>
  <c r="M17" i="8"/>
  <c r="E17" i="8"/>
  <c r="G17" i="8" s="1"/>
  <c r="G16" i="8"/>
  <c r="H15" i="8"/>
  <c r="D15" i="8"/>
  <c r="P14" i="8"/>
  <c r="N14" i="8"/>
  <c r="D14" i="8"/>
  <c r="P11" i="8"/>
  <c r="N11" i="8"/>
  <c r="M11" i="8"/>
  <c r="F11" i="8"/>
  <c r="E11" i="8"/>
  <c r="D11" i="8"/>
  <c r="K7" i="8"/>
  <c r="K8" i="8" s="1"/>
  <c r="E7" i="8"/>
  <c r="E8" i="8" s="1"/>
  <c r="B6" i="8"/>
  <c r="P5" i="8"/>
  <c r="G5" i="8"/>
  <c r="F5" i="8"/>
  <c r="F7" i="8" s="1"/>
  <c r="B5" i="8"/>
  <c r="E4" i="8"/>
  <c r="G4" i="8" s="1"/>
  <c r="E3" i="8"/>
  <c r="G3" i="8" s="1"/>
  <c r="G2" i="8"/>
  <c r="O18" i="8" l="1"/>
  <c r="H34" i="8"/>
  <c r="G28" i="1"/>
  <c r="G34" i="1"/>
  <c r="D23" i="1"/>
  <c r="G23" i="1" s="1"/>
  <c r="M33" i="8"/>
  <c r="O33" i="8" s="1"/>
  <c r="D69" i="8"/>
  <c r="D49" i="8" s="1"/>
  <c r="O23" i="8"/>
  <c r="E25" i="8"/>
  <c r="U28" i="8"/>
  <c r="D31" i="8"/>
  <c r="M31" i="8" s="1"/>
  <c r="O31" i="8" s="1"/>
  <c r="G7" i="8"/>
  <c r="E34" i="8" s="1"/>
  <c r="G34" i="8" s="1"/>
  <c r="F8" i="8"/>
  <c r="G8" i="8" s="1"/>
  <c r="S11" i="8"/>
  <c r="O35" i="8"/>
  <c r="F47" i="8"/>
  <c r="F72" i="8" s="1"/>
  <c r="B4" i="8" s="1"/>
  <c r="E41" i="8"/>
  <c r="G41" i="8" s="1"/>
  <c r="U40" i="8"/>
  <c r="K47" i="8"/>
  <c r="K72" i="8" s="1"/>
  <c r="B7" i="8" s="1"/>
  <c r="D61" i="8"/>
  <c r="E61" i="8" s="1"/>
  <c r="G61" i="8" s="1"/>
  <c r="O17" i="8"/>
  <c r="T49" i="8"/>
  <c r="U49" i="8" s="1"/>
  <c r="H49" i="8"/>
  <c r="O29" i="8"/>
  <c r="R29" i="8" s="1"/>
  <c r="E29" i="8"/>
  <c r="G29" i="8" s="1"/>
  <c r="E32" i="8"/>
  <c r="G32" i="8" s="1"/>
  <c r="U32" i="8"/>
  <c r="D30" i="8"/>
  <c r="M30" i="8" s="1"/>
  <c r="O30" i="8" s="1"/>
  <c r="D39" i="8"/>
  <c r="G25" i="8"/>
  <c r="E14" i="8"/>
  <c r="D16" i="8"/>
  <c r="D20" i="8" s="1"/>
  <c r="M14" i="8"/>
  <c r="O14" i="8" s="1"/>
  <c r="M32" i="8"/>
  <c r="O32" i="8" s="1"/>
  <c r="E56" i="8"/>
  <c r="D27" i="8"/>
  <c r="E43" i="8" l="1"/>
  <c r="G43" i="8" s="1"/>
  <c r="E42" i="8"/>
  <c r="G42" i="8" s="1"/>
  <c r="E35" i="8"/>
  <c r="G35" i="8" s="1"/>
  <c r="E23" i="8"/>
  <c r="G23" i="8" s="1"/>
  <c r="E31" i="8"/>
  <c r="U31" i="8" s="1"/>
  <c r="E45" i="8"/>
  <c r="G45" i="8" s="1"/>
  <c r="E44" i="8"/>
  <c r="G44" i="8" s="1"/>
  <c r="E36" i="8"/>
  <c r="G36" i="8" s="1"/>
  <c r="E40" i="8"/>
  <c r="G40" i="8" s="1"/>
  <c r="E28" i="8"/>
  <c r="G28" i="8" s="1"/>
  <c r="E59" i="8"/>
  <c r="G59" i="8" s="1"/>
  <c r="D38" i="8"/>
  <c r="U39" i="8"/>
  <c r="G56" i="8"/>
  <c r="E69" i="8"/>
  <c r="G31" i="8"/>
  <c r="G30" i="8" s="1"/>
  <c r="D24" i="8"/>
  <c r="U27" i="8"/>
  <c r="E15" i="8"/>
  <c r="G14" i="8" s="1"/>
  <c r="G20" i="8" s="1"/>
  <c r="E27" i="8"/>
  <c r="E39" i="8"/>
  <c r="E30" i="8" l="1"/>
  <c r="E49" i="8"/>
  <c r="G49" i="8" s="1"/>
  <c r="G69" i="8"/>
  <c r="E38" i="8"/>
  <c r="G39" i="8"/>
  <c r="G38" i="8" s="1"/>
  <c r="G27" i="8"/>
  <c r="G24" i="8" s="1"/>
  <c r="E24" i="8"/>
  <c r="E20" i="8"/>
  <c r="H38" i="8"/>
  <c r="D47" i="8"/>
  <c r="D72" i="8" s="1"/>
  <c r="B2" i="8" s="1"/>
  <c r="H20" i="8" l="1"/>
  <c r="E47" i="8"/>
  <c r="G47" i="8" s="1"/>
  <c r="E72" i="8" l="1"/>
  <c r="B3" i="8" s="1"/>
  <c r="D53" i="1" l="1"/>
  <c r="G53" i="1" s="1"/>
  <c r="G1" i="1"/>
  <c r="G8" i="1"/>
  <c r="G9" i="1"/>
  <c r="F1" i="1"/>
  <c r="F8" i="1"/>
  <c r="F9" i="1"/>
  <c r="K67" i="1" l="1"/>
  <c r="J67" i="1"/>
  <c r="K54" i="1" l="1"/>
  <c r="K63" i="1"/>
  <c r="J46" i="1"/>
  <c r="J27" i="1"/>
  <c r="J24" i="1"/>
  <c r="K64" i="1"/>
  <c r="K57" i="1"/>
  <c r="K41" i="1"/>
  <c r="K61" i="1"/>
  <c r="K60" i="1"/>
  <c r="J57" i="1"/>
  <c r="J65" i="1"/>
  <c r="J41" i="1"/>
  <c r="J60" i="1"/>
  <c r="K31" i="1"/>
  <c r="K32" i="1"/>
  <c r="K59" i="1"/>
  <c r="K45" i="1"/>
  <c r="K24" i="1"/>
  <c r="J32" i="1"/>
  <c r="J56" i="1"/>
  <c r="J64" i="1"/>
  <c r="J36" i="1"/>
  <c r="K27" i="1"/>
  <c r="K46" i="1"/>
  <c r="J29" i="1"/>
  <c r="J40" i="1"/>
  <c r="J59" i="1"/>
  <c r="J23" i="1"/>
  <c r="J44" i="1"/>
  <c r="K47" i="1"/>
  <c r="K48" i="1"/>
  <c r="K36" i="1"/>
  <c r="J61" i="1"/>
  <c r="J49" i="1"/>
  <c r="K40" i="1"/>
  <c r="J48" i="1"/>
  <c r="J55" i="1"/>
  <c r="K44" i="1"/>
  <c r="J37" i="1"/>
  <c r="J62" i="1"/>
  <c r="K65" i="1"/>
  <c r="K66" i="1"/>
  <c r="K35" i="1"/>
  <c r="K49" i="1"/>
  <c r="K55" i="1"/>
  <c r="J47" i="1"/>
  <c r="K30" i="1"/>
  <c r="K39" i="1"/>
  <c r="J63" i="1"/>
  <c r="J35" i="1"/>
  <c r="K58" i="1"/>
  <c r="J58" i="1"/>
  <c r="J43" i="1"/>
  <c r="J45" i="1"/>
  <c r="J39" i="1"/>
  <c r="J66" i="1"/>
  <c r="J30" i="1"/>
  <c r="J54" i="1"/>
  <c r="K29" i="1"/>
  <c r="K56" i="1"/>
  <c r="K37" i="1"/>
  <c r="K43" i="1"/>
  <c r="K62" i="1"/>
  <c r="K53" i="1"/>
  <c r="E53" i="1"/>
  <c r="K42" i="1"/>
  <c r="J42" i="1"/>
  <c r="J53" i="1" l="1"/>
  <c r="H53" i="1"/>
  <c r="K38" i="1"/>
  <c r="J38" i="1"/>
  <c r="D20" i="1"/>
  <c r="G20" i="1" s="1"/>
  <c r="K28" i="1"/>
  <c r="J33" i="1"/>
  <c r="J28" i="1"/>
  <c r="J21" i="1"/>
  <c r="J31" i="1"/>
  <c r="K33" i="1"/>
  <c r="F2" i="1"/>
  <c r="K23" i="1"/>
  <c r="K21" i="1"/>
  <c r="K20" i="1" l="1"/>
  <c r="J20" i="1"/>
  <c r="K34" i="1"/>
  <c r="J34" i="1"/>
  <c r="J22" i="1"/>
  <c r="K22" i="1"/>
  <c r="J26" i="1" l="1"/>
  <c r="G2" i="1"/>
  <c r="K2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dafonso</author>
  </authors>
  <commentList>
    <comment ref="D23" authorId="0" shapeId="0" xr:uid="{4B20B4FF-8A7F-AE4F-A906-21ACB5E9BB35}">
      <text>
        <r>
          <rPr>
            <b/>
            <sz val="9"/>
            <color rgb="FF000000"/>
            <rFont val="Tahoma"/>
            <family val="2"/>
          </rPr>
          <t>US$ 175 x mes</t>
        </r>
      </text>
    </comment>
  </commentList>
</comments>
</file>

<file path=xl/sharedStrings.xml><?xml version="1.0" encoding="utf-8"?>
<sst xmlns="http://schemas.openxmlformats.org/spreadsheetml/2006/main" count="220" uniqueCount="143">
  <si>
    <t>TOTAL</t>
  </si>
  <si>
    <t>Insert</t>
  </si>
  <si>
    <t>Marcas y Patentes</t>
  </si>
  <si>
    <t>Armas</t>
  </si>
  <si>
    <t>Vajillas</t>
  </si>
  <si>
    <t>Lanchas y Botes</t>
  </si>
  <si>
    <t>Ropa Blanca</t>
  </si>
  <si>
    <t>Equipos de Computación</t>
  </si>
  <si>
    <t>Rodados</t>
  </si>
  <si>
    <t>Muebles y útiles y Equipos</t>
  </si>
  <si>
    <t xml:space="preserve">Instalaciones </t>
  </si>
  <si>
    <t>Mejoras de Inmueb y Terrenos</t>
  </si>
  <si>
    <t>Inmuebles</t>
  </si>
  <si>
    <t xml:space="preserve">Terrenos </t>
  </si>
  <si>
    <t>Pago Bienes de Uso (Inversiones)</t>
  </si>
  <si>
    <t>Total Gastos Operativos</t>
  </si>
  <si>
    <t>Patentes</t>
  </si>
  <si>
    <t>Seguros</t>
  </si>
  <si>
    <t>Comunicaciones</t>
  </si>
  <si>
    <t>Equipos</t>
  </si>
  <si>
    <t>Vehiculos</t>
  </si>
  <si>
    <t>Lodge</t>
  </si>
  <si>
    <t>Mantenimiento/Reposiciones</t>
  </si>
  <si>
    <t>Pax</t>
  </si>
  <si>
    <t>Uniformes</t>
  </si>
  <si>
    <t>Traslado Aerop/Lodge/Alq Vehiculos</t>
  </si>
  <si>
    <t>Gas</t>
  </si>
  <si>
    <t>Vehiculos/Botes</t>
  </si>
  <si>
    <t>Electricidad</t>
  </si>
  <si>
    <t>BN</t>
  </si>
  <si>
    <t>Combustible</t>
  </si>
  <si>
    <t>Cargas Sociales</t>
  </si>
  <si>
    <t>Servicio</t>
  </si>
  <si>
    <t>Guias</t>
  </si>
  <si>
    <t>Managers</t>
  </si>
  <si>
    <t>Sueldos</t>
  </si>
  <si>
    <t>Gastos Operativos</t>
  </si>
  <si>
    <t>Total Otros Ingresos</t>
  </si>
  <si>
    <t>(Comisiones Ventas Shop)</t>
  </si>
  <si>
    <t>(CMV) Shop</t>
  </si>
  <si>
    <t>Shop</t>
  </si>
  <si>
    <t>Otros Ingresos</t>
  </si>
  <si>
    <t>Observaciones</t>
  </si>
  <si>
    <t>Real 
Acumulado</t>
  </si>
  <si>
    <t>Cierre:</t>
  </si>
  <si>
    <t>Inicio:</t>
  </si>
  <si>
    <t>Budget</t>
  </si>
  <si>
    <t>Parametros</t>
  </si>
  <si>
    <t>En Dolares x temporada</t>
  </si>
  <si>
    <t>En Dolares x bednight</t>
  </si>
  <si>
    <t>Varianzas</t>
  </si>
  <si>
    <t>Dias</t>
  </si>
  <si>
    <t>Fecha Cierre</t>
  </si>
  <si>
    <t>Fecha Inicio</t>
  </si>
  <si>
    <t>Vs 22-23</t>
  </si>
  <si>
    <t>Inversiones</t>
  </si>
  <si>
    <t>Apertura Compra Bienes de Uso</t>
  </si>
  <si>
    <t>Cobro Vta Bienes de Uso</t>
  </si>
  <si>
    <t>Detalle Abajo</t>
  </si>
  <si>
    <t>Varios</t>
  </si>
  <si>
    <t>Permisos de Caza</t>
  </si>
  <si>
    <t>Viaticos y Movilidad Personal</t>
  </si>
  <si>
    <t>Comida / Vinos</t>
  </si>
  <si>
    <t>Canon Lodge</t>
  </si>
  <si>
    <t>Extras (Net)</t>
  </si>
  <si>
    <t>(Comisiones ventas shop)</t>
  </si>
  <si>
    <t>Budget a hoy
vs Real</t>
  </si>
  <si>
    <t>Variable
Real</t>
  </si>
  <si>
    <t>Variable
Desvío</t>
  </si>
  <si>
    <t>Variable
Budget Total</t>
  </si>
  <si>
    <t>Desvío</t>
  </si>
  <si>
    <t>Comparativo Presupuestado/Real</t>
  </si>
  <si>
    <t>Semanas:</t>
  </si>
  <si>
    <t>Días:</t>
  </si>
  <si>
    <t>REAL 2023</t>
  </si>
  <si>
    <t>Extras (NET)</t>
  </si>
  <si>
    <t>ok</t>
  </si>
  <si>
    <t>DELTA DAY TRIPS</t>
  </si>
  <si>
    <t>FD</t>
  </si>
  <si>
    <t>Budget
Total</t>
  </si>
  <si>
    <t>Budget
s/BN devengadas</t>
  </si>
  <si>
    <t>Vs. Budget
Total</t>
  </si>
  <si>
    <t>Gastos Estimados Cierre Temporada</t>
  </si>
  <si>
    <t>Rubro/Ítem</t>
  </si>
  <si>
    <t>Ingresos por Tips</t>
  </si>
  <si>
    <t>Apenas Pasados</t>
  </si>
  <si>
    <t>Resta Mantenimiento y Limpieza dos meses</t>
  </si>
  <si>
    <t>Permisos de Caza/Pesca</t>
  </si>
  <si>
    <t>Stock Shop Al Cierre</t>
  </si>
  <si>
    <t>Control</t>
  </si>
  <si>
    <t>Total</t>
  </si>
  <si>
    <t>Budget Delta Lodge</t>
  </si>
  <si>
    <t>Lanchas y botes</t>
  </si>
  <si>
    <t>Por Diego</t>
  </si>
  <si>
    <t>Vs 23-24</t>
  </si>
  <si>
    <t>2024</t>
  </si>
  <si>
    <t>REAL 2024</t>
  </si>
  <si>
    <t>Real pasados</t>
  </si>
  <si>
    <t>Ver Fees Noel como queda</t>
  </si>
  <si>
    <t>Pasados hay que ver cuanto mas se pasará</t>
  </si>
  <si>
    <t>Pasados Real mínimos</t>
  </si>
  <si>
    <t>pasados Real se logro asegurar el Lodge.</t>
  </si>
  <si>
    <t>Stock Estimado Falta Stock Real</t>
  </si>
  <si>
    <t>Hay 20k a Rendir Caja Lodge y Noel seguramente todo Obra</t>
  </si>
  <si>
    <t>Fijo para Control</t>
  </si>
  <si>
    <t>Budget 25-26</t>
  </si>
  <si>
    <t>Real 23-24</t>
  </si>
  <si>
    <t>Real 24-25</t>
  </si>
  <si>
    <t>Temporada 2025-26</t>
  </si>
  <si>
    <t>Se vende la lancha de Alan por ende es un año de Labaie y solo dos meses de guarderia extra (Septiembre y lo que tarden en retirar la lancha de octubre)</t>
  </si>
  <si>
    <t>Vamos a trabajar en mejorar los costos a traves de compras en mayoristas. Tomando un escenario estable, y haciendo el esfuerzo de comprar mejor lo dejo en usd 100 x BN</t>
  </si>
  <si>
    <t>Aun no renegociamos pero vamos a tener una lancha menos 10 meses del año</t>
  </si>
  <si>
    <t>$56800 mes x 12 meses</t>
  </si>
  <si>
    <t>TC</t>
  </si>
  <si>
    <t>Info ya revisada con FDC</t>
  </si>
  <si>
    <t xml:space="preserve">Este numero debe bajar considerablemente respecto al real 2025, teniendo en cuenta que se dejen de usar </t>
  </si>
  <si>
    <t>Tomando unos 192 botes (La mitad de los FD mas un 15% que suponemos va solo en el bote) temporada, son 40 litros combustible promedio por  dia completo guiada, da un total de combustible guias de unos usd 8400. A esto se le suman las cargas de combustible para ir y venir a La Baie. Estimo un total de 10K. Da bastante mas que año pasado porque quedaron en sueldos guias, las guiadas de pablo que incluyen tambien el combustible. Este año vamos a dejar bien imputado sueldo guias y combustible aparte</t>
  </si>
  <si>
    <t>Manager</t>
  </si>
  <si>
    <t>Alejandro</t>
  </si>
  <si>
    <t>Andres Cocinero</t>
  </si>
  <si>
    <t>Alexis Mantenimiento</t>
  </si>
  <si>
    <t>Karina Mucama</t>
  </si>
  <si>
    <t>Guías</t>
  </si>
  <si>
    <t>Noel</t>
  </si>
  <si>
    <t>Pablo</t>
  </si>
  <si>
    <t>Matías</t>
  </si>
  <si>
    <t>Pago Diario Meses Low Season</t>
  </si>
  <si>
    <t>Pago Mensual Ene-Feb-Mar</t>
  </si>
  <si>
    <t>Dias estimados con clientes apertura y cierre</t>
  </si>
  <si>
    <t xml:space="preserve">Total sueldo estimado </t>
  </si>
  <si>
    <t>Costo Nomina 25%</t>
  </si>
  <si>
    <t>Pago Diario</t>
  </si>
  <si>
    <t>Dias estimados de guiada</t>
  </si>
  <si>
    <t>Dias Noel francos Casero</t>
  </si>
  <si>
    <t>Dias Noel Apertura y Cierre grupos</t>
  </si>
  <si>
    <t>guiadas Ale</t>
  </si>
  <si>
    <t xml:space="preserve">Total </t>
  </si>
  <si>
    <t>Sueldo Nomina</t>
  </si>
  <si>
    <t>Costo total</t>
  </si>
  <si>
    <t>Total Cargas</t>
  </si>
  <si>
    <t>Saldo Laguna</t>
  </si>
  <si>
    <t>Baterías sistema renovable</t>
  </si>
  <si>
    <t>Este año se nos suman preocupacionales de staff que vamoa a dar de alta y los caps de regalo que pasan de MKT a Varios usd 7 x pax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</si>
</sst>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(&quot;$&quot;\ * #,##0.00_);_(&quot;$&quot;\ * \(#,##0.00\);_(&quot;$&quot;\ * &quot;-&quot;??_);_(@_)"/>
    <numFmt numFmtId="43" formatCode="_(* #,##0.00_);_(* \(#,##0.00\);_(* &quot;-&quot;??_);_(@_)"/>
    <numFmt numFmtId="164" formatCode="#,##0_ ;\(#,##0\)"/>
    <numFmt numFmtId="165" formatCode="#,##0_ ;[Red]\(#,##0\)"/>
    <numFmt numFmtId="166" formatCode="#,##0.0_ ;\(#,##0.0\)"/>
    <numFmt numFmtId="167" formatCode="_ * #,##0.00_ ;_ * \-#,##0.00_ ;_ * &quot;-&quot;??_ ;_ @_ "/>
    <numFmt numFmtId="168" formatCode="_(* #,##0_);_(* \(#,##0\);_(* &quot;-&quot;??_);_(@_)"/>
    <numFmt numFmtId="169" formatCode="dd/mm/yy;@"/>
    <numFmt numFmtId="170" formatCode="#,##0.00_ ;\(#,##0.00\)"/>
    <numFmt numFmtId="171" formatCode="yyyy"/>
    <numFmt numFmtId="172" formatCode="_-* #,##0.00\ _€_-;\-* #,##0.00\ _€_-;_-* &quot;-&quot;??\ _€_-;_-@_-"/>
    <numFmt numFmtId="173" formatCode="_-* #,##0\ _€_-;\-* #,##0\ _€_-;_-* &quot;-&quot;??\ _€_-;_-@_-"/>
    <numFmt numFmtId="174" formatCode="_-* #,##0_-;\-* #,##0_-;_-* &quot;-&quot;??_-;_-@_-"/>
  </numFmts>
  <fonts count="36">
    <font>
      <sz val="12"/>
      <color theme="1"/>
      <name val="Helvetica"/>
      <family val="2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sz val="40"/>
      <name val="Helvetica Neue Thin"/>
    </font>
    <font>
      <sz val="20"/>
      <name val="Helvetica Neue Thin"/>
    </font>
    <font>
      <i/>
      <sz val="13"/>
      <name val="Helvetica Neue Thin"/>
    </font>
    <font>
      <sz val="10"/>
      <name val="Times New Roman"/>
      <family val="1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u/>
      <sz val="10"/>
      <name val="Arial"/>
      <family val="2"/>
    </font>
    <font>
      <sz val="10"/>
      <color indexed="10"/>
      <name val="Arial"/>
      <family val="2"/>
    </font>
    <font>
      <u/>
      <sz val="10"/>
      <name val="Arial"/>
      <family val="2"/>
    </font>
    <font>
      <sz val="1"/>
      <name val="Arial"/>
      <family val="2"/>
    </font>
    <font>
      <sz val="8"/>
      <name val="Arial"/>
      <family val="2"/>
    </font>
    <font>
      <sz val="8"/>
      <color indexed="10"/>
      <name val="Arial"/>
      <family val="2"/>
    </font>
    <font>
      <sz val="8"/>
      <color rgb="FFFF0000"/>
      <name val="Arial"/>
      <family val="2"/>
    </font>
    <font>
      <b/>
      <sz val="14"/>
      <color theme="1"/>
      <name val="Helvetica"/>
      <family val="2"/>
    </font>
    <font>
      <sz val="10"/>
      <color theme="1"/>
      <name val="Helvetica"/>
      <family val="2"/>
    </font>
    <font>
      <sz val="14"/>
      <color theme="1"/>
      <name val="Helvetica Neue Condensed Bold"/>
    </font>
    <font>
      <sz val="1"/>
      <color rgb="FFFF0000"/>
      <name val="Arial"/>
      <family val="2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b/>
      <u/>
      <sz val="12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indexed="10"/>
      <name val="Arial"/>
      <family val="2"/>
    </font>
    <font>
      <sz val="6"/>
      <color rgb="FFFF0000"/>
      <name val="Arial"/>
      <family val="2"/>
    </font>
    <font>
      <b/>
      <sz val="6"/>
      <name val="Arial"/>
      <family val="2"/>
    </font>
    <font>
      <sz val="6"/>
      <name val="Arial"/>
      <family val="2"/>
    </font>
    <font>
      <sz val="6"/>
      <color indexed="10"/>
      <name val="Arial"/>
      <family val="2"/>
    </font>
    <font>
      <sz val="1"/>
      <color rgb="FF00B050"/>
      <name val="Arial"/>
      <family val="2"/>
    </font>
    <font>
      <sz val="10"/>
      <color rgb="FF00B050"/>
      <name val="HelveticaNeue-LightExt"/>
    </font>
    <font>
      <sz val="12"/>
      <color rgb="FFFF0000"/>
      <name val="Arial"/>
      <family val="2"/>
    </font>
    <font>
      <b/>
      <sz val="9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C00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6" fillId="0" borderId="0"/>
    <xf numFmtId="0" fontId="6" fillId="0" borderId="0"/>
    <xf numFmtId="172" fontId="7" fillId="0" borderId="0" applyFont="0" applyFill="0" applyBorder="0" applyAlignment="0" applyProtection="0"/>
    <xf numFmtId="0" fontId="7" fillId="0" borderId="0"/>
    <xf numFmtId="44" fontId="1" fillId="0" borderId="0" applyFont="0" applyFill="0" applyBorder="0" applyAlignment="0" applyProtection="0"/>
  </cellStyleXfs>
  <cellXfs count="279">
    <xf numFmtId="0" fontId="0" fillId="0" borderId="0" xfId="0"/>
    <xf numFmtId="165" fontId="7" fillId="0" borderId="0" xfId="4" applyNumberFormat="1" applyFont="1" applyAlignment="1">
      <alignment vertical="center"/>
    </xf>
    <xf numFmtId="165" fontId="9" fillId="0" borderId="0" xfId="4" applyNumberFormat="1" applyFont="1" applyAlignment="1">
      <alignment vertical="center"/>
    </xf>
    <xf numFmtId="165" fontId="7" fillId="0" borderId="0" xfId="5" applyNumberFormat="1" applyFont="1" applyAlignment="1">
      <alignment vertical="center"/>
    </xf>
    <xf numFmtId="165" fontId="9" fillId="0" borderId="0" xfId="5" applyNumberFormat="1" applyFont="1" applyAlignment="1">
      <alignment vertical="center"/>
    </xf>
    <xf numFmtId="9" fontId="7" fillId="0" borderId="0" xfId="6" applyFont="1" applyAlignment="1">
      <alignment vertical="center"/>
    </xf>
    <xf numFmtId="9" fontId="15" fillId="0" borderId="0" xfId="6" applyFont="1" applyAlignment="1">
      <alignment horizontal="left" vertical="center"/>
    </xf>
    <xf numFmtId="164" fontId="15" fillId="0" borderId="0" xfId="4" applyNumberFormat="1" applyFont="1" applyAlignment="1">
      <alignment horizontal="center" vertical="center"/>
    </xf>
    <xf numFmtId="164" fontId="15" fillId="0" borderId="0" xfId="4" applyNumberFormat="1" applyFont="1" applyAlignment="1">
      <alignment horizontal="right" vertical="center"/>
    </xf>
    <xf numFmtId="164" fontId="7" fillId="0" borderId="0" xfId="4" applyNumberFormat="1" applyFont="1" applyAlignment="1">
      <alignment horizontal="center" vertical="center"/>
    </xf>
    <xf numFmtId="164" fontId="7" fillId="0" borderId="0" xfId="4" applyNumberFormat="1" applyFont="1" applyAlignment="1">
      <alignment horizontal="right" vertical="center"/>
    </xf>
    <xf numFmtId="164" fontId="7" fillId="0" borderId="0" xfId="4" applyNumberFormat="1" applyFont="1" applyAlignment="1">
      <alignment vertical="center"/>
    </xf>
    <xf numFmtId="164" fontId="9" fillId="0" borderId="2" xfId="4" applyNumberFormat="1" applyFont="1" applyBorder="1" applyAlignment="1">
      <alignment horizontal="center" vertical="center"/>
    </xf>
    <xf numFmtId="0" fontId="2" fillId="0" borderId="0" xfId="0" applyFont="1"/>
    <xf numFmtId="168" fontId="0" fillId="0" borderId="0" xfId="1" applyNumberFormat="1" applyFont="1"/>
    <xf numFmtId="168" fontId="0" fillId="0" borderId="0" xfId="1" applyNumberFormat="1" applyFont="1" applyBorder="1"/>
    <xf numFmtId="168" fontId="19" fillId="0" borderId="0" xfId="1" applyNumberFormat="1" applyFont="1" applyBorder="1"/>
    <xf numFmtId="168" fontId="18" fillId="5" borderId="3" xfId="1" applyNumberFormat="1" applyFont="1" applyFill="1" applyBorder="1"/>
    <xf numFmtId="0" fontId="0" fillId="6" borderId="3" xfId="0" applyFill="1" applyBorder="1"/>
    <xf numFmtId="0" fontId="0" fillId="5" borderId="3" xfId="0" applyFill="1" applyBorder="1"/>
    <xf numFmtId="0" fontId="0" fillId="0" borderId="12" xfId="0" applyBorder="1"/>
    <xf numFmtId="168" fontId="0" fillId="0" borderId="12" xfId="1" applyNumberFormat="1" applyFont="1" applyBorder="1"/>
    <xf numFmtId="168" fontId="18" fillId="5" borderId="10" xfId="1" applyNumberFormat="1" applyFont="1" applyFill="1" applyBorder="1"/>
    <xf numFmtId="168" fontId="19" fillId="0" borderId="12" xfId="1" applyNumberFormat="1" applyFont="1" applyBorder="1"/>
    <xf numFmtId="0" fontId="0" fillId="0" borderId="15" xfId="0" applyBorder="1"/>
    <xf numFmtId="168" fontId="18" fillId="5" borderId="13" xfId="1" applyNumberFormat="1" applyFont="1" applyFill="1" applyBorder="1"/>
    <xf numFmtId="168" fontId="0" fillId="0" borderId="15" xfId="1" applyNumberFormat="1" applyFont="1" applyBorder="1"/>
    <xf numFmtId="168" fontId="19" fillId="0" borderId="15" xfId="1" applyNumberFormat="1" applyFont="1" applyBorder="1"/>
    <xf numFmtId="168" fontId="18" fillId="6" borderId="10" xfId="1" applyNumberFormat="1" applyFont="1" applyFill="1" applyBorder="1"/>
    <xf numFmtId="168" fontId="18" fillId="6" borderId="3" xfId="1" applyNumberFormat="1" applyFont="1" applyFill="1" applyBorder="1"/>
    <xf numFmtId="168" fontId="18" fillId="6" borderId="13" xfId="1" applyNumberFormat="1" applyFont="1" applyFill="1" applyBorder="1"/>
    <xf numFmtId="0" fontId="20" fillId="7" borderId="11" xfId="0" applyFont="1" applyFill="1" applyBorder="1" applyAlignment="1">
      <alignment horizontal="center"/>
    </xf>
    <xf numFmtId="0" fontId="20" fillId="7" borderId="8" xfId="0" applyFont="1" applyFill="1" applyBorder="1" applyAlignment="1">
      <alignment horizontal="center"/>
    </xf>
    <xf numFmtId="0" fontId="20" fillId="7" borderId="14" xfId="0" applyFont="1" applyFill="1" applyBorder="1" applyAlignment="1">
      <alignment horizontal="center"/>
    </xf>
    <xf numFmtId="169" fontId="0" fillId="0" borderId="12" xfId="0" applyNumberFormat="1" applyBorder="1"/>
    <xf numFmtId="168" fontId="0" fillId="0" borderId="16" xfId="1" applyNumberFormat="1" applyFont="1" applyBorder="1"/>
    <xf numFmtId="0" fontId="0" fillId="0" borderId="7" xfId="0" applyBorder="1"/>
    <xf numFmtId="168" fontId="19" fillId="0" borderId="17" xfId="1" applyNumberFormat="1" applyFont="1" applyBorder="1"/>
    <xf numFmtId="168" fontId="19" fillId="0" borderId="7" xfId="1" applyNumberFormat="1" applyFont="1" applyBorder="1"/>
    <xf numFmtId="168" fontId="19" fillId="0" borderId="16" xfId="1" applyNumberFormat="1" applyFont="1" applyBorder="1"/>
    <xf numFmtId="168" fontId="0" fillId="0" borderId="17" xfId="1" applyNumberFormat="1" applyFont="1" applyBorder="1"/>
    <xf numFmtId="168" fontId="0" fillId="0" borderId="7" xfId="1" applyNumberFormat="1" applyFont="1" applyBorder="1"/>
    <xf numFmtId="168" fontId="18" fillId="8" borderId="18" xfId="1" applyNumberFormat="1" applyFont="1" applyFill="1" applyBorder="1"/>
    <xf numFmtId="168" fontId="18" fillId="8" borderId="19" xfId="1" applyNumberFormat="1" applyFont="1" applyFill="1" applyBorder="1"/>
    <xf numFmtId="168" fontId="18" fillId="8" borderId="20" xfId="1" applyNumberFormat="1" applyFont="1" applyFill="1" applyBorder="1"/>
    <xf numFmtId="0" fontId="0" fillId="8" borderId="19" xfId="0" applyFill="1" applyBorder="1"/>
    <xf numFmtId="168" fontId="0" fillId="8" borderId="19" xfId="1" applyNumberFormat="1" applyFont="1" applyFill="1" applyBorder="1"/>
    <xf numFmtId="9" fontId="0" fillId="5" borderId="10" xfId="2" applyFont="1" applyFill="1" applyBorder="1"/>
    <xf numFmtId="9" fontId="0" fillId="5" borderId="13" xfId="2" applyFont="1" applyFill="1" applyBorder="1"/>
    <xf numFmtId="9" fontId="0" fillId="0" borderId="12" xfId="2" applyFont="1" applyBorder="1"/>
    <xf numFmtId="9" fontId="0" fillId="0" borderId="15" xfId="2" applyFont="1" applyBorder="1"/>
    <xf numFmtId="9" fontId="0" fillId="6" borderId="10" xfId="2" applyFont="1" applyFill="1" applyBorder="1"/>
    <xf numFmtId="9" fontId="0" fillId="6" borderId="13" xfId="2" applyFont="1" applyFill="1" applyBorder="1"/>
    <xf numFmtId="9" fontId="0" fillId="0" borderId="17" xfId="2" applyFont="1" applyBorder="1"/>
    <xf numFmtId="9" fontId="0" fillId="0" borderId="16" xfId="2" applyFont="1" applyBorder="1"/>
    <xf numFmtId="9" fontId="0" fillId="0" borderId="0" xfId="2" applyFont="1"/>
    <xf numFmtId="9" fontId="0" fillId="8" borderId="18" xfId="2" applyFont="1" applyFill="1" applyBorder="1"/>
    <xf numFmtId="9" fontId="0" fillId="8" borderId="20" xfId="2" applyFont="1" applyFill="1" applyBorder="1"/>
    <xf numFmtId="165" fontId="9" fillId="2" borderId="21" xfId="4" applyNumberFormat="1" applyFont="1" applyFill="1" applyBorder="1" applyAlignment="1">
      <alignment vertical="center"/>
    </xf>
    <xf numFmtId="164" fontId="7" fillId="4" borderId="0" xfId="4" applyNumberFormat="1" applyFont="1" applyFill="1" applyAlignment="1">
      <alignment horizontal="justify" vertical="center" wrapText="1"/>
    </xf>
    <xf numFmtId="165" fontId="7" fillId="0" borderId="0" xfId="4" applyNumberFormat="1" applyFont="1" applyAlignment="1">
      <alignment horizontal="center" vertical="center"/>
    </xf>
    <xf numFmtId="165" fontId="9" fillId="0" borderId="8" xfId="4" applyNumberFormat="1" applyFont="1" applyBorder="1" applyAlignment="1">
      <alignment vertical="center"/>
    </xf>
    <xf numFmtId="166" fontId="7" fillId="0" borderId="0" xfId="4" applyNumberFormat="1" applyFont="1" applyAlignment="1">
      <alignment vertical="center"/>
    </xf>
    <xf numFmtId="165" fontId="7" fillId="0" borderId="8" xfId="4" applyNumberFormat="1" applyFont="1" applyBorder="1" applyAlignment="1">
      <alignment vertical="center"/>
    </xf>
    <xf numFmtId="165" fontId="10" fillId="0" borderId="8" xfId="5" applyNumberFormat="1" applyFont="1" applyBorder="1" applyAlignment="1">
      <alignment vertical="center"/>
    </xf>
    <xf numFmtId="170" fontId="7" fillId="0" borderId="0" xfId="4" applyNumberFormat="1" applyFont="1" applyAlignment="1">
      <alignment vertical="center"/>
    </xf>
    <xf numFmtId="165" fontId="7" fillId="0" borderId="0" xfId="5" applyNumberFormat="1" applyFont="1" applyFill="1" applyAlignment="1">
      <alignment vertical="center"/>
    </xf>
    <xf numFmtId="165" fontId="11" fillId="0" borderId="0" xfId="5" applyNumberFormat="1" applyFont="1" applyAlignment="1">
      <alignment vertical="center"/>
    </xf>
    <xf numFmtId="165" fontId="7" fillId="0" borderId="0" xfId="7" applyNumberFormat="1" applyFont="1" applyAlignment="1">
      <alignment horizontal="right" vertical="center"/>
    </xf>
    <xf numFmtId="164" fontId="7" fillId="0" borderId="0" xfId="8" applyNumberFormat="1" applyFont="1" applyAlignment="1">
      <alignment vertical="center"/>
    </xf>
    <xf numFmtId="165" fontId="7" fillId="0" borderId="0" xfId="8" applyNumberFormat="1" applyFont="1" applyAlignment="1">
      <alignment vertical="center"/>
    </xf>
    <xf numFmtId="164" fontId="7" fillId="4" borderId="0" xfId="8" applyNumberFormat="1" applyFont="1" applyFill="1" applyAlignment="1">
      <alignment horizontal="justify" vertical="center" wrapText="1"/>
    </xf>
    <xf numFmtId="165" fontId="9" fillId="0" borderId="2" xfId="5" applyNumberFormat="1" applyFont="1" applyBorder="1" applyAlignment="1">
      <alignment vertical="center"/>
    </xf>
    <xf numFmtId="165" fontId="9" fillId="0" borderId="2" xfId="5" applyNumberFormat="1" applyFont="1" applyFill="1" applyBorder="1" applyAlignment="1">
      <alignment vertical="center"/>
    </xf>
    <xf numFmtId="165" fontId="9" fillId="0" borderId="0" xfId="5" applyNumberFormat="1" applyFont="1" applyFill="1" applyBorder="1" applyAlignment="1">
      <alignment vertical="center"/>
    </xf>
    <xf numFmtId="165" fontId="9" fillId="0" borderId="0" xfId="5" applyNumberFormat="1" applyFont="1" applyFill="1" applyAlignment="1">
      <alignment vertical="center"/>
    </xf>
    <xf numFmtId="165" fontId="12" fillId="0" borderId="0" xfId="5" applyNumberFormat="1" applyFont="1" applyAlignment="1">
      <alignment vertical="center"/>
    </xf>
    <xf numFmtId="164" fontId="9" fillId="0" borderId="0" xfId="4" applyNumberFormat="1" applyFont="1" applyAlignment="1">
      <alignment vertical="center"/>
    </xf>
    <xf numFmtId="165" fontId="9" fillId="0" borderId="0" xfId="4" applyNumberFormat="1" applyFont="1" applyAlignment="1">
      <alignment horizontal="center" vertical="center"/>
    </xf>
    <xf numFmtId="165" fontId="7" fillId="0" borderId="0" xfId="4" applyNumberFormat="1" applyFont="1" applyAlignment="1">
      <alignment horizontal="right" vertical="center"/>
    </xf>
    <xf numFmtId="164" fontId="13" fillId="0" borderId="0" xfId="4" applyNumberFormat="1" applyFont="1" applyAlignment="1">
      <alignment vertical="center"/>
    </xf>
    <xf numFmtId="165" fontId="13" fillId="0" borderId="0" xfId="4" applyNumberFormat="1" applyFont="1" applyAlignment="1">
      <alignment horizontal="center" vertical="center"/>
    </xf>
    <xf numFmtId="165" fontId="11" fillId="0" borderId="0" xfId="5" applyNumberFormat="1" applyFont="1" applyFill="1" applyAlignment="1">
      <alignment vertical="center"/>
    </xf>
    <xf numFmtId="165" fontId="11" fillId="0" borderId="0" xfId="4" applyNumberFormat="1" applyFont="1" applyAlignment="1">
      <alignment horizontal="left" vertical="center"/>
    </xf>
    <xf numFmtId="165" fontId="9" fillId="0" borderId="0" xfId="4" applyNumberFormat="1" applyFont="1" applyAlignment="1">
      <alignment horizontal="left" vertical="center"/>
    </xf>
    <xf numFmtId="165" fontId="11" fillId="0" borderId="0" xfId="4" applyNumberFormat="1" applyFont="1" applyAlignment="1">
      <alignment vertical="center"/>
    </xf>
    <xf numFmtId="9" fontId="7" fillId="0" borderId="0" xfId="6" applyFont="1" applyAlignment="1">
      <alignment horizontal="center" vertical="center"/>
    </xf>
    <xf numFmtId="171" fontId="7" fillId="3" borderId="1" xfId="4" applyNumberFormat="1" applyFont="1" applyFill="1" applyBorder="1" applyAlignment="1">
      <alignment horizontal="center" vertical="center"/>
    </xf>
    <xf numFmtId="165" fontId="7" fillId="3" borderId="1" xfId="4" applyNumberFormat="1" applyFont="1" applyFill="1" applyBorder="1" applyAlignment="1">
      <alignment horizontal="center" vertical="center" wrapText="1"/>
    </xf>
    <xf numFmtId="165" fontId="7" fillId="3" borderId="4" xfId="4" applyNumberFormat="1" applyFont="1" applyFill="1" applyBorder="1" applyAlignment="1">
      <alignment horizontal="center" vertical="center"/>
    </xf>
    <xf numFmtId="164" fontId="14" fillId="0" borderId="0" xfId="4" applyNumberFormat="1" applyFont="1" applyAlignment="1">
      <alignment vertical="center"/>
    </xf>
    <xf numFmtId="164" fontId="7" fillId="0" borderId="1" xfId="4" applyNumberFormat="1" applyFont="1" applyBorder="1" applyAlignment="1">
      <alignment horizontal="center" vertical="center" wrapText="1"/>
    </xf>
    <xf numFmtId="164" fontId="7" fillId="0" borderId="5" xfId="4" applyNumberFormat="1" applyFont="1" applyBorder="1" applyAlignment="1">
      <alignment horizontal="center" vertical="center" wrapText="1"/>
    </xf>
    <xf numFmtId="164" fontId="7" fillId="0" borderId="5" xfId="4" applyNumberFormat="1" applyFont="1" applyBorder="1" applyAlignment="1">
      <alignment horizontal="center" vertical="center"/>
    </xf>
    <xf numFmtId="164" fontId="14" fillId="4" borderId="0" xfId="4" applyNumberFormat="1" applyFont="1" applyFill="1" applyAlignment="1">
      <alignment horizontal="justify" vertical="center" wrapText="1"/>
    </xf>
    <xf numFmtId="164" fontId="15" fillId="0" borderId="0" xfId="4" applyNumberFormat="1" applyFont="1" applyAlignment="1">
      <alignment vertical="center"/>
    </xf>
    <xf numFmtId="164" fontId="15" fillId="4" borderId="0" xfId="4" applyNumberFormat="1" applyFont="1" applyFill="1" applyAlignment="1">
      <alignment horizontal="justify" vertical="center" wrapText="1"/>
    </xf>
    <xf numFmtId="164" fontId="16" fillId="0" borderId="0" xfId="4" applyNumberFormat="1" applyFont="1" applyAlignment="1">
      <alignment vertical="center"/>
    </xf>
    <xf numFmtId="164" fontId="9" fillId="4" borderId="2" xfId="4" applyNumberFormat="1" applyFont="1" applyFill="1" applyBorder="1" applyAlignment="1">
      <alignment horizontal="center" vertical="center"/>
    </xf>
    <xf numFmtId="9" fontId="7" fillId="0" borderId="0" xfId="6" applyFont="1" applyAlignment="1">
      <alignment horizontal="left" vertical="center"/>
    </xf>
    <xf numFmtId="170" fontId="15" fillId="0" borderId="0" xfId="4" applyNumberFormat="1" applyFont="1" applyAlignment="1">
      <alignment vertical="center"/>
    </xf>
    <xf numFmtId="164" fontId="12" fillId="0" borderId="0" xfId="4" applyNumberFormat="1" applyFont="1" applyAlignment="1">
      <alignment vertical="center"/>
    </xf>
    <xf numFmtId="171" fontId="9" fillId="0" borderId="0" xfId="4" quotePrefix="1" applyNumberFormat="1" applyFont="1" applyAlignment="1">
      <alignment horizontal="center" vertical="center"/>
    </xf>
    <xf numFmtId="0" fontId="0" fillId="0" borderId="16" xfId="0" applyBorder="1"/>
    <xf numFmtId="164" fontId="8" fillId="0" borderId="0" xfId="4" applyNumberFormat="1" applyFont="1" applyAlignment="1">
      <alignment vertical="center"/>
    </xf>
    <xf numFmtId="164" fontId="9" fillId="10" borderId="2" xfId="4" applyNumberFormat="1" applyFont="1" applyFill="1" applyBorder="1" applyAlignment="1">
      <alignment horizontal="center" vertical="center"/>
    </xf>
    <xf numFmtId="164" fontId="24" fillId="0" borderId="0" xfId="4" applyNumberFormat="1" applyFont="1" applyAlignment="1">
      <alignment vertical="center"/>
    </xf>
    <xf numFmtId="164" fontId="25" fillId="9" borderId="2" xfId="4" applyNumberFormat="1" applyFont="1" applyFill="1" applyBorder="1" applyAlignment="1">
      <alignment horizontal="center" vertical="center" wrapText="1"/>
    </xf>
    <xf numFmtId="173" fontId="7" fillId="0" borderId="0" xfId="9" applyNumberFormat="1" applyFont="1" applyAlignment="1">
      <alignment vertical="center"/>
    </xf>
    <xf numFmtId="174" fontId="7" fillId="0" borderId="0" xfId="9" applyNumberFormat="1" applyFont="1" applyAlignment="1">
      <alignment vertical="center"/>
    </xf>
    <xf numFmtId="164" fontId="26" fillId="0" borderId="0" xfId="4" applyNumberFormat="1" applyFont="1" applyAlignment="1">
      <alignment vertical="center"/>
    </xf>
    <xf numFmtId="164" fontId="27" fillId="0" borderId="0" xfId="4" applyNumberFormat="1" applyFont="1" applyAlignment="1">
      <alignment vertical="center"/>
    </xf>
    <xf numFmtId="164" fontId="17" fillId="0" borderId="0" xfId="4" applyNumberFormat="1" applyFont="1" applyAlignment="1">
      <alignment vertical="center"/>
    </xf>
    <xf numFmtId="173" fontId="15" fillId="0" borderId="0" xfId="9" applyNumberFormat="1" applyFont="1" applyAlignment="1">
      <alignment vertical="center"/>
    </xf>
    <xf numFmtId="174" fontId="15" fillId="0" borderId="0" xfId="9" applyNumberFormat="1" applyFont="1" applyAlignment="1">
      <alignment vertical="center"/>
    </xf>
    <xf numFmtId="164" fontId="28" fillId="0" borderId="0" xfId="4" applyNumberFormat="1" applyFont="1" applyAlignment="1">
      <alignment vertical="center"/>
    </xf>
    <xf numFmtId="164" fontId="29" fillId="4" borderId="2" xfId="4" applyNumberFormat="1" applyFont="1" applyFill="1" applyBorder="1" applyAlignment="1">
      <alignment horizontal="center" vertical="center"/>
    </xf>
    <xf numFmtId="164" fontId="30" fillId="0" borderId="0" xfId="4" applyNumberFormat="1" applyFont="1" applyAlignment="1">
      <alignment horizontal="right" vertical="center"/>
    </xf>
    <xf numFmtId="164" fontId="30" fillId="0" borderId="0" xfId="4" applyNumberFormat="1" applyFont="1" applyAlignment="1">
      <alignment vertical="center"/>
    </xf>
    <xf numFmtId="14" fontId="31" fillId="0" borderId="0" xfId="4" applyNumberFormat="1" applyFont="1" applyAlignment="1">
      <alignment vertical="center"/>
    </xf>
    <xf numFmtId="14" fontId="30" fillId="0" borderId="0" xfId="4" applyNumberFormat="1" applyFont="1" applyAlignment="1">
      <alignment vertical="center"/>
    </xf>
    <xf numFmtId="172" fontId="30" fillId="0" borderId="0" xfId="9" applyFont="1" applyAlignment="1">
      <alignment horizontal="left" vertical="center"/>
    </xf>
    <xf numFmtId="164" fontId="30" fillId="0" borderId="0" xfId="4" applyNumberFormat="1" applyFont="1" applyAlignment="1">
      <alignment horizontal="center" vertical="center"/>
    </xf>
    <xf numFmtId="164" fontId="30" fillId="4" borderId="0" xfId="4" applyNumberFormat="1" applyFont="1" applyFill="1" applyAlignment="1">
      <alignment horizontal="justify" vertical="center" wrapText="1"/>
    </xf>
    <xf numFmtId="173" fontId="30" fillId="0" borderId="0" xfId="9" applyNumberFormat="1" applyFont="1" applyAlignment="1">
      <alignment vertical="center"/>
    </xf>
    <xf numFmtId="174" fontId="30" fillId="0" borderId="0" xfId="9" applyNumberFormat="1" applyFont="1" applyAlignment="1">
      <alignment vertical="center"/>
    </xf>
    <xf numFmtId="14" fontId="30" fillId="0" borderId="0" xfId="4" applyNumberFormat="1" applyFont="1" applyAlignment="1">
      <alignment horizontal="left" vertical="center"/>
    </xf>
    <xf numFmtId="164" fontId="31" fillId="0" borderId="0" xfId="4" applyNumberFormat="1" applyFont="1" applyAlignment="1">
      <alignment vertical="center"/>
    </xf>
    <xf numFmtId="9" fontId="30" fillId="0" borderId="0" xfId="6" applyFont="1" applyAlignment="1">
      <alignment horizontal="left" vertical="center"/>
    </xf>
    <xf numFmtId="164" fontId="30" fillId="0" borderId="0" xfId="4" applyNumberFormat="1" applyFont="1" applyAlignment="1">
      <alignment vertical="center" wrapText="1"/>
    </xf>
    <xf numFmtId="164" fontId="8" fillId="0" borderId="0" xfId="8" applyNumberFormat="1" applyFont="1" applyAlignment="1">
      <alignment vertical="center"/>
    </xf>
    <xf numFmtId="164" fontId="21" fillId="0" borderId="0" xfId="4" applyNumberFormat="1" applyFont="1" applyAlignment="1">
      <alignment vertical="center"/>
    </xf>
    <xf numFmtId="165" fontId="14" fillId="0" borderId="0" xfId="4" applyNumberFormat="1" applyFont="1" applyAlignment="1">
      <alignment vertical="center"/>
    </xf>
    <xf numFmtId="165" fontId="32" fillId="0" borderId="0" xfId="8" applyNumberFormat="1" applyFont="1" applyAlignment="1">
      <alignment vertical="center"/>
    </xf>
    <xf numFmtId="173" fontId="14" fillId="0" borderId="0" xfId="9" applyNumberFormat="1" applyFont="1" applyAlignment="1">
      <alignment vertical="center"/>
    </xf>
    <xf numFmtId="174" fontId="14" fillId="0" borderId="0" xfId="9" applyNumberFormat="1" applyFont="1" applyAlignment="1">
      <alignment vertical="center"/>
    </xf>
    <xf numFmtId="164" fontId="26" fillId="0" borderId="5" xfId="4" applyNumberFormat="1" applyFont="1" applyBorder="1" applyAlignment="1">
      <alignment horizontal="center" vertical="center" wrapText="1"/>
    </xf>
    <xf numFmtId="164" fontId="33" fillId="0" borderId="5" xfId="8" applyNumberFormat="1" applyFont="1" applyBorder="1" applyAlignment="1">
      <alignment horizontal="center" vertical="center" wrapText="1"/>
    </xf>
    <xf numFmtId="164" fontId="26" fillId="0" borderId="1" xfId="4" applyNumberFormat="1" applyFont="1" applyBorder="1" applyAlignment="1">
      <alignment horizontal="center" vertical="center" wrapText="1"/>
    </xf>
    <xf numFmtId="164" fontId="9" fillId="0" borderId="2" xfId="4" applyNumberFormat="1" applyFont="1" applyBorder="1" applyAlignment="1">
      <alignment horizontal="center" vertical="center" wrapText="1"/>
    </xf>
    <xf numFmtId="171" fontId="26" fillId="3" borderId="1" xfId="4" applyNumberFormat="1" applyFont="1" applyFill="1" applyBorder="1" applyAlignment="1">
      <alignment horizontal="center" vertical="center"/>
    </xf>
    <xf numFmtId="49" fontId="26" fillId="3" borderId="1" xfId="4" quotePrefix="1" applyNumberFormat="1" applyFont="1" applyFill="1" applyBorder="1" applyAlignment="1">
      <alignment horizontal="center" vertical="center"/>
    </xf>
    <xf numFmtId="49" fontId="7" fillId="3" borderId="1" xfId="4" quotePrefix="1" applyNumberFormat="1" applyFont="1" applyFill="1" applyBorder="1" applyAlignment="1">
      <alignment horizontal="center" vertical="center"/>
    </xf>
    <xf numFmtId="164" fontId="11" fillId="0" borderId="2" xfId="4" applyNumberFormat="1" applyFont="1" applyBorder="1" applyAlignment="1">
      <alignment vertical="center"/>
    </xf>
    <xf numFmtId="165" fontId="26" fillId="0" borderId="0" xfId="4" applyNumberFormat="1" applyFont="1" applyAlignment="1">
      <alignment vertical="center"/>
    </xf>
    <xf numFmtId="164" fontId="0" fillId="4" borderId="0" xfId="4" applyNumberFormat="1" applyFont="1" applyFill="1" applyAlignment="1">
      <alignment horizontal="justify" vertical="center" wrapText="1"/>
    </xf>
    <xf numFmtId="165" fontId="14" fillId="0" borderId="0" xfId="4" applyNumberFormat="1" applyFont="1" applyAlignment="1">
      <alignment horizontal="center" vertical="center"/>
    </xf>
    <xf numFmtId="165" fontId="24" fillId="0" borderId="0" xfId="4" applyNumberFormat="1" applyFont="1" applyAlignment="1">
      <alignment vertical="center"/>
    </xf>
    <xf numFmtId="165" fontId="26" fillId="0" borderId="0" xfId="5" applyNumberFormat="1" applyFont="1" applyAlignment="1">
      <alignment vertical="center"/>
    </xf>
    <xf numFmtId="165" fontId="7" fillId="0" borderId="2" xfId="4" applyNumberFormat="1" applyFont="1" applyBorder="1" applyAlignment="1">
      <alignment horizontal="center" vertical="center"/>
    </xf>
    <xf numFmtId="173" fontId="9" fillId="0" borderId="0" xfId="9" applyNumberFormat="1" applyFont="1" applyAlignment="1">
      <alignment vertical="center"/>
    </xf>
    <xf numFmtId="174" fontId="9" fillId="0" borderId="0" xfId="9" applyNumberFormat="1" applyFont="1" applyAlignment="1">
      <alignment vertical="center"/>
    </xf>
    <xf numFmtId="165" fontId="25" fillId="0" borderId="2" xfId="5" applyNumberFormat="1" applyFont="1" applyFill="1" applyBorder="1" applyAlignment="1">
      <alignment vertical="center"/>
    </xf>
    <xf numFmtId="164" fontId="22" fillId="0" borderId="0" xfId="4" applyNumberFormat="1" applyFont="1" applyAlignment="1">
      <alignment vertical="center"/>
    </xf>
    <xf numFmtId="165" fontId="25" fillId="0" borderId="0" xfId="5" applyNumberFormat="1" applyFont="1" applyAlignment="1">
      <alignment vertical="center"/>
    </xf>
    <xf numFmtId="164" fontId="23" fillId="0" borderId="0" xfId="4" applyNumberFormat="1" applyFont="1" applyAlignment="1">
      <alignment vertical="center"/>
    </xf>
    <xf numFmtId="173" fontId="13" fillId="0" borderId="0" xfId="9" applyNumberFormat="1" applyFont="1" applyAlignment="1">
      <alignment vertical="center"/>
    </xf>
    <xf numFmtId="174" fontId="13" fillId="0" borderId="0" xfId="9" applyNumberFormat="1" applyFont="1" applyAlignment="1">
      <alignment vertical="center"/>
    </xf>
    <xf numFmtId="9" fontId="9" fillId="0" borderId="0" xfId="6" applyFont="1" applyAlignment="1">
      <alignment vertical="center"/>
    </xf>
    <xf numFmtId="165" fontId="24" fillId="0" borderId="0" xfId="5" applyNumberFormat="1" applyFont="1" applyAlignment="1">
      <alignment vertical="center"/>
    </xf>
    <xf numFmtId="170" fontId="7" fillId="4" borderId="0" xfId="4" applyNumberFormat="1" applyFont="1" applyFill="1" applyAlignment="1">
      <alignment horizontal="justify" vertical="center" wrapText="1"/>
    </xf>
    <xf numFmtId="9" fontId="9" fillId="0" borderId="0" xfId="6" applyFont="1" applyAlignment="1">
      <alignment horizontal="center" vertical="center"/>
    </xf>
    <xf numFmtId="165" fontId="25" fillId="0" borderId="2" xfId="5" applyNumberFormat="1" applyFont="1" applyBorder="1" applyAlignment="1">
      <alignment vertical="center"/>
    </xf>
    <xf numFmtId="165" fontId="7" fillId="0" borderId="0" xfId="5" applyNumberFormat="1" applyFont="1" applyBorder="1" applyAlignment="1">
      <alignment vertical="center"/>
    </xf>
    <xf numFmtId="165" fontId="26" fillId="0" borderId="0" xfId="8" applyNumberFormat="1" applyFont="1" applyAlignment="1">
      <alignment vertical="center"/>
    </xf>
    <xf numFmtId="164" fontId="0" fillId="4" borderId="0" xfId="8" applyNumberFormat="1" applyFont="1" applyFill="1" applyAlignment="1">
      <alignment horizontal="justify" vertical="center" wrapText="1"/>
    </xf>
    <xf numFmtId="165" fontId="25" fillId="0" borderId="0" xfId="4" applyNumberFormat="1" applyFont="1" applyAlignment="1">
      <alignment vertical="center"/>
    </xf>
    <xf numFmtId="165" fontId="25" fillId="0" borderId="8" xfId="4" applyNumberFormat="1" applyFont="1" applyBorder="1" applyAlignment="1">
      <alignment vertical="center"/>
    </xf>
    <xf numFmtId="165" fontId="25" fillId="2" borderId="21" xfId="4" applyNumberFormat="1" applyFont="1" applyFill="1" applyBorder="1" applyAlignment="1">
      <alignment vertical="center"/>
    </xf>
    <xf numFmtId="168" fontId="0" fillId="0" borderId="12" xfId="0" applyNumberFormat="1" applyBorder="1"/>
    <xf numFmtId="0" fontId="0" fillId="0" borderId="17" xfId="0" applyBorder="1"/>
    <xf numFmtId="168" fontId="0" fillId="0" borderId="0" xfId="0" applyNumberFormat="1"/>
    <xf numFmtId="0" fontId="5" fillId="0" borderId="0" xfId="0" applyFont="1" applyAlignment="1">
      <alignment horizontal="left"/>
    </xf>
    <xf numFmtId="0" fontId="0" fillId="0" borderId="22" xfId="0" applyBorder="1"/>
    <xf numFmtId="0" fontId="5" fillId="0" borderId="23" xfId="0" applyFont="1" applyBorder="1" applyAlignment="1">
      <alignment horizontal="left"/>
    </xf>
    <xf numFmtId="168" fontId="0" fillId="0" borderId="23" xfId="1" applyNumberFormat="1" applyFont="1" applyBorder="1"/>
    <xf numFmtId="168" fontId="0" fillId="0" borderId="24" xfId="1" applyNumberFormat="1" applyFont="1" applyBorder="1"/>
    <xf numFmtId="168" fontId="0" fillId="0" borderId="25" xfId="1" applyNumberFormat="1" applyFont="1" applyBorder="1"/>
    <xf numFmtId="0" fontId="0" fillId="0" borderId="26" xfId="0" applyBorder="1"/>
    <xf numFmtId="0" fontId="0" fillId="0" borderId="10" xfId="0" applyBorder="1"/>
    <xf numFmtId="0" fontId="20" fillId="7" borderId="11" xfId="0" applyFont="1" applyFill="1" applyBorder="1"/>
    <xf numFmtId="0" fontId="18" fillId="0" borderId="12" xfId="0" applyFont="1" applyBorder="1"/>
    <xf numFmtId="0" fontId="0" fillId="0" borderId="12" xfId="0" applyBorder="1" applyAlignment="1">
      <alignment horizontal="left" indent="2"/>
    </xf>
    <xf numFmtId="169" fontId="0" fillId="0" borderId="0" xfId="0" applyNumberFormat="1"/>
    <xf numFmtId="0" fontId="18" fillId="5" borderId="10" xfId="0" applyFont="1" applyFill="1" applyBorder="1"/>
    <xf numFmtId="0" fontId="0" fillId="5" borderId="13" xfId="0" applyFill="1" applyBorder="1"/>
    <xf numFmtId="0" fontId="18" fillId="6" borderId="10" xfId="0" applyFont="1" applyFill="1" applyBorder="1"/>
    <xf numFmtId="0" fontId="0" fillId="6" borderId="13" xfId="0" applyFill="1" applyBorder="1"/>
    <xf numFmtId="0" fontId="19" fillId="0" borderId="12" xfId="0" applyFont="1" applyBorder="1" applyAlignment="1">
      <alignment horizontal="left" indent="2"/>
    </xf>
    <xf numFmtId="0" fontId="19" fillId="0" borderId="17" xfId="0" applyFont="1" applyBorder="1" applyAlignment="1">
      <alignment horizontal="left" indent="2"/>
    </xf>
    <xf numFmtId="0" fontId="18" fillId="8" borderId="18" xfId="0" applyFont="1" applyFill="1" applyBorder="1"/>
    <xf numFmtId="0" fontId="0" fillId="8" borderId="20" xfId="0" applyFill="1" applyBorder="1"/>
    <xf numFmtId="164" fontId="34" fillId="0" borderId="0" xfId="4" applyNumberFormat="1" applyFont="1" applyAlignment="1">
      <alignment vertical="center"/>
    </xf>
    <xf numFmtId="164" fontId="8" fillId="0" borderId="0" xfId="4" applyNumberFormat="1" applyFont="1" applyAlignment="1">
      <alignment horizontal="center" vertical="center"/>
    </xf>
    <xf numFmtId="164" fontId="8" fillId="4" borderId="0" xfId="4" applyNumberFormat="1" applyFont="1" applyFill="1" applyAlignment="1">
      <alignment horizontal="justify" vertical="center" wrapText="1"/>
    </xf>
    <xf numFmtId="173" fontId="8" fillId="0" borderId="0" xfId="9" applyNumberFormat="1" applyFont="1" applyAlignment="1">
      <alignment vertical="center"/>
    </xf>
    <xf numFmtId="174" fontId="8" fillId="0" borderId="0" xfId="9" applyNumberFormat="1" applyFont="1" applyAlignment="1">
      <alignment vertical="center"/>
    </xf>
    <xf numFmtId="164" fontId="0" fillId="0" borderId="0" xfId="4" applyNumberFormat="1" applyFont="1" applyAlignment="1">
      <alignment vertical="center"/>
    </xf>
    <xf numFmtId="168" fontId="2" fillId="0" borderId="0" xfId="1" applyNumberFormat="1" applyFont="1" applyFill="1" applyBorder="1"/>
    <xf numFmtId="9" fontId="0" fillId="0" borderId="12" xfId="2" applyFont="1" applyFill="1" applyBorder="1"/>
    <xf numFmtId="9" fontId="0" fillId="0" borderId="15" xfId="2" applyFont="1" applyFill="1" applyBorder="1"/>
    <xf numFmtId="168" fontId="2" fillId="0" borderId="12" xfId="1" applyNumberFormat="1" applyFont="1" applyFill="1" applyBorder="1"/>
    <xf numFmtId="0" fontId="2" fillId="0" borderId="12" xfId="0" applyFont="1" applyBorder="1"/>
    <xf numFmtId="168" fontId="2" fillId="0" borderId="15" xfId="1" applyNumberFormat="1" applyFont="1" applyFill="1" applyBorder="1"/>
    <xf numFmtId="0" fontId="2" fillId="0" borderId="9" xfId="0" applyFont="1" applyBorder="1"/>
    <xf numFmtId="168" fontId="2" fillId="0" borderId="9" xfId="1" applyNumberFormat="1" applyFont="1" applyFill="1" applyBorder="1"/>
    <xf numFmtId="168" fontId="2" fillId="0" borderId="6" xfId="1" applyNumberFormat="1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68" fontId="0" fillId="0" borderId="0" xfId="0" applyNumberFormat="1" applyAlignment="1">
      <alignment horizontal="center"/>
    </xf>
    <xf numFmtId="43" fontId="0" fillId="0" borderId="0" xfId="1" applyFont="1" applyBorder="1"/>
    <xf numFmtId="0" fontId="0" fillId="0" borderId="12" xfId="0" applyBorder="1" applyAlignment="1">
      <alignment vertical="center"/>
    </xf>
    <xf numFmtId="168" fontId="0" fillId="0" borderId="12" xfId="1" applyNumberFormat="1" applyFont="1" applyBorder="1" applyAlignment="1">
      <alignment vertical="center"/>
    </xf>
    <xf numFmtId="168" fontId="0" fillId="0" borderId="0" xfId="1" applyNumberFormat="1" applyFont="1" applyBorder="1" applyAlignment="1">
      <alignment vertical="center"/>
    </xf>
    <xf numFmtId="168" fontId="0" fillId="0" borderId="15" xfId="1" applyNumberFormat="1" applyFont="1" applyBorder="1" applyAlignment="1">
      <alignment vertical="center"/>
    </xf>
    <xf numFmtId="9" fontId="0" fillId="0" borderId="12" xfId="2" applyFont="1" applyBorder="1" applyAlignment="1">
      <alignment vertical="center"/>
    </xf>
    <xf numFmtId="9" fontId="0" fillId="0" borderId="15" xfId="2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15" xfId="0" applyBorder="1" applyAlignment="1">
      <alignment vertical="center"/>
    </xf>
    <xf numFmtId="0" fontId="0" fillId="0" borderId="27" xfId="0" applyBorder="1" applyAlignment="1">
      <alignment vertical="center"/>
    </xf>
    <xf numFmtId="168" fontId="0" fillId="0" borderId="17" xfId="1" applyNumberFormat="1" applyFont="1" applyBorder="1" applyAlignment="1">
      <alignment vertical="center"/>
    </xf>
    <xf numFmtId="168" fontId="0" fillId="0" borderId="16" xfId="1" applyNumberFormat="1" applyFont="1" applyBorder="1" applyAlignment="1">
      <alignment vertical="center"/>
    </xf>
    <xf numFmtId="168" fontId="0" fillId="0" borderId="7" xfId="1" applyNumberFormat="1" applyFont="1" applyBorder="1" applyAlignment="1">
      <alignment vertical="center"/>
    </xf>
    <xf numFmtId="9" fontId="0" fillId="0" borderId="17" xfId="2" applyFont="1" applyBorder="1" applyAlignment="1">
      <alignment vertical="center"/>
    </xf>
    <xf numFmtId="9" fontId="0" fillId="0" borderId="16" xfId="2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16" xfId="0" applyBorder="1" applyAlignment="1">
      <alignment vertical="center"/>
    </xf>
    <xf numFmtId="0" fontId="19" fillId="0" borderId="12" xfId="0" applyFont="1" applyBorder="1" applyAlignment="1">
      <alignment horizontal="left" vertical="center"/>
    </xf>
    <xf numFmtId="168" fontId="19" fillId="0" borderId="12" xfId="1" applyNumberFormat="1" applyFont="1" applyBorder="1" applyAlignment="1">
      <alignment vertical="center"/>
    </xf>
    <xf numFmtId="168" fontId="19" fillId="0" borderId="0" xfId="1" applyNumberFormat="1" applyFont="1" applyBorder="1" applyAlignment="1">
      <alignment vertical="center"/>
    </xf>
    <xf numFmtId="168" fontId="19" fillId="0" borderId="15" xfId="1" applyNumberFormat="1" applyFont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23" xfId="0" applyBorder="1"/>
    <xf numFmtId="0" fontId="0" fillId="0" borderId="28" xfId="0" applyBorder="1"/>
    <xf numFmtId="0" fontId="0" fillId="0" borderId="8" xfId="0" applyBorder="1"/>
    <xf numFmtId="0" fontId="2" fillId="0" borderId="4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0" fillId="0" borderId="23" xfId="0" applyBorder="1" applyAlignment="1">
      <alignment horizontal="center" vertical="center"/>
    </xf>
    <xf numFmtId="0" fontId="0" fillId="0" borderId="23" xfId="0" applyBorder="1" applyAlignment="1">
      <alignment horizontal="center" wrapText="1"/>
    </xf>
    <xf numFmtId="0" fontId="0" fillId="0" borderId="24" xfId="0" applyBorder="1" applyAlignment="1">
      <alignment horizontal="center" vertical="center"/>
    </xf>
    <xf numFmtId="44" fontId="0" fillId="0" borderId="23" xfId="11" applyFont="1" applyBorder="1"/>
    <xf numFmtId="44" fontId="0" fillId="0" borderId="0" xfId="11" applyFont="1" applyBorder="1"/>
    <xf numFmtId="44" fontId="0" fillId="0" borderId="8" xfId="11" applyFont="1" applyBorder="1"/>
    <xf numFmtId="44" fontId="0" fillId="0" borderId="24" xfId="11" applyFont="1" applyBorder="1"/>
    <xf numFmtId="44" fontId="0" fillId="0" borderId="25" xfId="11" applyFont="1" applyBorder="1"/>
    <xf numFmtId="44" fontId="0" fillId="0" borderId="29" xfId="11" applyFont="1" applyBorder="1"/>
    <xf numFmtId="44" fontId="0" fillId="0" borderId="1" xfId="11" applyFont="1" applyBorder="1"/>
    <xf numFmtId="0" fontId="2" fillId="0" borderId="0" xfId="0" applyFont="1" applyAlignment="1">
      <alignment vertical="center"/>
    </xf>
    <xf numFmtId="44" fontId="0" fillId="0" borderId="0" xfId="11" applyFont="1" applyFill="1" applyBorder="1"/>
    <xf numFmtId="44" fontId="0" fillId="0" borderId="0" xfId="0" applyNumberFormat="1"/>
    <xf numFmtId="44" fontId="0" fillId="0" borderId="0" xfId="11" applyFont="1" applyBorder="1" applyAlignment="1"/>
    <xf numFmtId="44" fontId="0" fillId="0" borderId="23" xfId="11" applyFont="1" applyBorder="1" applyAlignment="1"/>
    <xf numFmtId="44" fontId="0" fillId="0" borderId="23" xfId="11" applyFont="1" applyFill="1" applyBorder="1"/>
    <xf numFmtId="44" fontId="0" fillId="0" borderId="23" xfId="0" applyNumberFormat="1" applyBorder="1"/>
    <xf numFmtId="44" fontId="0" fillId="0" borderId="24" xfId="0" applyNumberFormat="1" applyBorder="1"/>
    <xf numFmtId="44" fontId="0" fillId="0" borderId="25" xfId="0" applyNumberFormat="1" applyBorder="1"/>
    <xf numFmtId="44" fontId="0" fillId="0" borderId="8" xfId="11" applyFont="1" applyFill="1" applyBorder="1"/>
    <xf numFmtId="44" fontId="0" fillId="0" borderId="8" xfId="0" applyNumberFormat="1" applyBorder="1"/>
    <xf numFmtId="44" fontId="0" fillId="0" borderId="29" xfId="0" applyNumberFormat="1" applyBorder="1"/>
    <xf numFmtId="44" fontId="0" fillId="0" borderId="21" xfId="0" applyNumberFormat="1" applyBorder="1"/>
    <xf numFmtId="0" fontId="0" fillId="0" borderId="30" xfId="0" applyBorder="1" applyAlignment="1">
      <alignment horizontal="center" vertical="center" wrapText="1"/>
    </xf>
    <xf numFmtId="0" fontId="0" fillId="0" borderId="30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4" xfId="0" applyBorder="1"/>
    <xf numFmtId="44" fontId="0" fillId="0" borderId="5" xfId="0" applyNumberFormat="1" applyBorder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/>
    </xf>
  </cellXfs>
  <cellStyles count="12">
    <cellStyle name="Millares" xfId="1" builtinId="3"/>
    <cellStyle name="Millares 2" xfId="3" xr:uid="{34C84474-753D-6F4D-97CE-6B1210F12224}"/>
    <cellStyle name="Millares 3" xfId="9" xr:uid="{E722E02A-77F8-6243-8DB9-A4F076939724}"/>
    <cellStyle name="Millares_Report_Presup_Comparativo_05_2009_Anual" xfId="5" xr:uid="{9F243326-09C6-644A-B0DC-05E405D58A76}"/>
    <cellStyle name="Moneda" xfId="11" builtinId="4"/>
    <cellStyle name="Normal" xfId="0" builtinId="0"/>
    <cellStyle name="Normal 2" xfId="10" xr:uid="{85DDA81B-F396-3649-B5B0-01F72EFBC3E9}"/>
    <cellStyle name="Normal_Notura" xfId="7" xr:uid="{0FD1C6E3-41F6-3F40-93CA-B15099A0EB12}"/>
    <cellStyle name="Normal_Report_Anual_Capital_Trabajo_Temp_2009-2010_PI" xfId="8" xr:uid="{EA983BEF-346C-2E43-A4A5-2B587CC731EF}"/>
    <cellStyle name="Normal_Report_Presup_Comparativo_05_2009_Anual" xfId="4" xr:uid="{C1CDE071-1B2E-6140-B61E-0708E5BA1FB7}"/>
    <cellStyle name="Porcentaje" xfId="2" builtinId="5"/>
    <cellStyle name="Porcentaje 2" xfId="6" xr:uid="{043A9586-55F0-C548-9BDF-AA8635380E56}"/>
  </cellStyles>
  <dxfs count="3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453572</xdr:colOff>
      <xdr:row>3</xdr:row>
      <xdr:rowOff>99265</xdr:rowOff>
    </xdr:from>
    <xdr:to>
      <xdr:col>2</xdr:col>
      <xdr:colOff>1644197</xdr:colOff>
      <xdr:row>6</xdr:row>
      <xdr:rowOff>156520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0FCD799-3E04-1047-B641-F6C883093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8036" y="711586"/>
          <a:ext cx="1190625" cy="12138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028DE-6412-AB40-A1DE-5A9271776731}">
  <sheetPr>
    <tabColor indexed="11"/>
    <pageSetUpPr fitToPage="1"/>
  </sheetPr>
  <dimension ref="A1:V157"/>
  <sheetViews>
    <sheetView view="pageBreakPreview" zoomScale="130" zoomScaleNormal="75" zoomScaleSheetLayoutView="130" workbookViewId="0">
      <pane xSplit="3" ySplit="15" topLeftCell="D57" activePane="bottomRight" state="frozen"/>
      <selection pane="topRight" activeCell="E1" sqref="E1"/>
      <selection pane="bottomLeft" activeCell="A12" sqref="A12"/>
      <selection pane="bottomRight" activeCell="D59" sqref="D59:D67"/>
    </sheetView>
  </sheetViews>
  <sheetFormatPr baseColWidth="10" defaultColWidth="8.85546875" defaultRowHeight="16"/>
  <cols>
    <col min="1" max="1" width="7.28515625" style="104" bestFit="1" customWidth="1"/>
    <col min="2" max="2" width="7.5703125" style="11" bestFit="1" customWidth="1"/>
    <col min="3" max="3" width="29.7109375" style="11" bestFit="1" customWidth="1"/>
    <col min="4" max="4" width="8.140625" style="11" bestFit="1" customWidth="1"/>
    <col min="5" max="5" width="14.28515625" style="11" bestFit="1" customWidth="1"/>
    <col min="6" max="6" width="11.42578125" style="110" bestFit="1" customWidth="1"/>
    <col min="7" max="7" width="10.7109375" style="11" bestFit="1" customWidth="1"/>
    <col min="8" max="8" width="9" style="9" bestFit="1" customWidth="1"/>
    <col min="9" max="9" width="36.42578125" style="59" customWidth="1"/>
    <col min="10" max="10" width="7" style="11" bestFit="1" customWidth="1"/>
    <col min="11" max="11" width="10.7109375" style="110" bestFit="1" customWidth="1"/>
    <col min="12" max="12" width="1.28515625" style="11" customWidth="1"/>
    <col min="13" max="13" width="10.28515625" style="11" bestFit="1" customWidth="1"/>
    <col min="14" max="14" width="7.140625" style="11" bestFit="1" customWidth="1"/>
    <col min="15" max="15" width="10.7109375" style="11" bestFit="1" customWidth="1"/>
    <col min="16" max="16" width="7.140625" style="11" bestFit="1" customWidth="1"/>
    <col min="17" max="17" width="6.28515625" style="11" bestFit="1" customWidth="1"/>
    <col min="18" max="18" width="12" style="11" bestFit="1" customWidth="1"/>
    <col min="19" max="19" width="15.140625" style="11" bestFit="1" customWidth="1"/>
    <col min="20" max="20" width="8.7109375" style="108" bestFit="1" customWidth="1"/>
    <col min="21" max="21" width="6.28515625" style="109" bestFit="1" customWidth="1"/>
    <col min="22" max="22" width="11" style="11" bestFit="1" customWidth="1"/>
    <col min="23" max="256" width="8.85546875" style="11"/>
    <col min="257" max="257" width="7.28515625" style="11" bestFit="1" customWidth="1"/>
    <col min="258" max="258" width="7.5703125" style="11" bestFit="1" customWidth="1"/>
    <col min="259" max="259" width="29.7109375" style="11" bestFit="1" customWidth="1"/>
    <col min="260" max="260" width="8.140625" style="11" bestFit="1" customWidth="1"/>
    <col min="261" max="261" width="14.28515625" style="11" bestFit="1" customWidth="1"/>
    <col min="262" max="262" width="11.42578125" style="11" bestFit="1" customWidth="1"/>
    <col min="263" max="263" width="10.7109375" style="11" bestFit="1" customWidth="1"/>
    <col min="264" max="264" width="9" style="11" bestFit="1" customWidth="1"/>
    <col min="265" max="265" width="36.42578125" style="11" customWidth="1"/>
    <col min="266" max="266" width="7" style="11" bestFit="1" customWidth="1"/>
    <col min="267" max="267" width="10.7109375" style="11" bestFit="1" customWidth="1"/>
    <col min="268" max="268" width="1.28515625" style="11" customWidth="1"/>
    <col min="269" max="269" width="10.28515625" style="11" bestFit="1" customWidth="1"/>
    <col min="270" max="270" width="7.140625" style="11" bestFit="1" customWidth="1"/>
    <col min="271" max="271" width="10.7109375" style="11" bestFit="1" customWidth="1"/>
    <col min="272" max="272" width="7.140625" style="11" bestFit="1" customWidth="1"/>
    <col min="273" max="273" width="6.28515625" style="11" bestFit="1" customWidth="1"/>
    <col min="274" max="274" width="12" style="11" bestFit="1" customWidth="1"/>
    <col min="275" max="275" width="15.140625" style="11" bestFit="1" customWidth="1"/>
    <col min="276" max="276" width="8.7109375" style="11" bestFit="1" customWidth="1"/>
    <col min="277" max="277" width="6.28515625" style="11" bestFit="1" customWidth="1"/>
    <col min="278" max="278" width="11" style="11" bestFit="1" customWidth="1"/>
    <col min="279" max="512" width="8.85546875" style="11"/>
    <col min="513" max="513" width="7.28515625" style="11" bestFit="1" customWidth="1"/>
    <col min="514" max="514" width="7.5703125" style="11" bestFit="1" customWidth="1"/>
    <col min="515" max="515" width="29.7109375" style="11" bestFit="1" customWidth="1"/>
    <col min="516" max="516" width="8.140625" style="11" bestFit="1" customWidth="1"/>
    <col min="517" max="517" width="14.28515625" style="11" bestFit="1" customWidth="1"/>
    <col min="518" max="518" width="11.42578125" style="11" bestFit="1" customWidth="1"/>
    <col min="519" max="519" width="10.7109375" style="11" bestFit="1" customWidth="1"/>
    <col min="520" max="520" width="9" style="11" bestFit="1" customWidth="1"/>
    <col min="521" max="521" width="36.42578125" style="11" customWidth="1"/>
    <col min="522" max="522" width="7" style="11" bestFit="1" customWidth="1"/>
    <col min="523" max="523" width="10.7109375" style="11" bestFit="1" customWidth="1"/>
    <col min="524" max="524" width="1.28515625" style="11" customWidth="1"/>
    <col min="525" max="525" width="10.28515625" style="11" bestFit="1" customWidth="1"/>
    <col min="526" max="526" width="7.140625" style="11" bestFit="1" customWidth="1"/>
    <col min="527" max="527" width="10.7109375" style="11" bestFit="1" customWidth="1"/>
    <col min="528" max="528" width="7.140625" style="11" bestFit="1" customWidth="1"/>
    <col min="529" max="529" width="6.28515625" style="11" bestFit="1" customWidth="1"/>
    <col min="530" max="530" width="12" style="11" bestFit="1" customWidth="1"/>
    <col min="531" max="531" width="15.140625" style="11" bestFit="1" customWidth="1"/>
    <col min="532" max="532" width="8.7109375" style="11" bestFit="1" customWidth="1"/>
    <col min="533" max="533" width="6.28515625" style="11" bestFit="1" customWidth="1"/>
    <col min="534" max="534" width="11" style="11" bestFit="1" customWidth="1"/>
    <col min="535" max="768" width="8.85546875" style="11"/>
    <col min="769" max="769" width="7.28515625" style="11" bestFit="1" customWidth="1"/>
    <col min="770" max="770" width="7.5703125" style="11" bestFit="1" customWidth="1"/>
    <col min="771" max="771" width="29.7109375" style="11" bestFit="1" customWidth="1"/>
    <col min="772" max="772" width="8.140625" style="11" bestFit="1" customWidth="1"/>
    <col min="773" max="773" width="14.28515625" style="11" bestFit="1" customWidth="1"/>
    <col min="774" max="774" width="11.42578125" style="11" bestFit="1" customWidth="1"/>
    <col min="775" max="775" width="10.7109375" style="11" bestFit="1" customWidth="1"/>
    <col min="776" max="776" width="9" style="11" bestFit="1" customWidth="1"/>
    <col min="777" max="777" width="36.42578125" style="11" customWidth="1"/>
    <col min="778" max="778" width="7" style="11" bestFit="1" customWidth="1"/>
    <col min="779" max="779" width="10.7109375" style="11" bestFit="1" customWidth="1"/>
    <col min="780" max="780" width="1.28515625" style="11" customWidth="1"/>
    <col min="781" max="781" width="10.28515625" style="11" bestFit="1" customWidth="1"/>
    <col min="782" max="782" width="7.140625" style="11" bestFit="1" customWidth="1"/>
    <col min="783" max="783" width="10.7109375" style="11" bestFit="1" customWidth="1"/>
    <col min="784" max="784" width="7.140625" style="11" bestFit="1" customWidth="1"/>
    <col min="785" max="785" width="6.28515625" style="11" bestFit="1" customWidth="1"/>
    <col min="786" max="786" width="12" style="11" bestFit="1" customWidth="1"/>
    <col min="787" max="787" width="15.140625" style="11" bestFit="1" customWidth="1"/>
    <col min="788" max="788" width="8.7109375" style="11" bestFit="1" customWidth="1"/>
    <col min="789" max="789" width="6.28515625" style="11" bestFit="1" customWidth="1"/>
    <col min="790" max="790" width="11" style="11" bestFit="1" customWidth="1"/>
    <col min="791" max="1024" width="8.85546875" style="11"/>
    <col min="1025" max="1025" width="7.28515625" style="11" bestFit="1" customWidth="1"/>
    <col min="1026" max="1026" width="7.5703125" style="11" bestFit="1" customWidth="1"/>
    <col min="1027" max="1027" width="29.7109375" style="11" bestFit="1" customWidth="1"/>
    <col min="1028" max="1028" width="8.140625" style="11" bestFit="1" customWidth="1"/>
    <col min="1029" max="1029" width="14.28515625" style="11" bestFit="1" customWidth="1"/>
    <col min="1030" max="1030" width="11.42578125" style="11" bestFit="1" customWidth="1"/>
    <col min="1031" max="1031" width="10.7109375" style="11" bestFit="1" customWidth="1"/>
    <col min="1032" max="1032" width="9" style="11" bestFit="1" customWidth="1"/>
    <col min="1033" max="1033" width="36.42578125" style="11" customWidth="1"/>
    <col min="1034" max="1034" width="7" style="11" bestFit="1" customWidth="1"/>
    <col min="1035" max="1035" width="10.7109375" style="11" bestFit="1" customWidth="1"/>
    <col min="1036" max="1036" width="1.28515625" style="11" customWidth="1"/>
    <col min="1037" max="1037" width="10.28515625" style="11" bestFit="1" customWidth="1"/>
    <col min="1038" max="1038" width="7.140625" style="11" bestFit="1" customWidth="1"/>
    <col min="1039" max="1039" width="10.7109375" style="11" bestFit="1" customWidth="1"/>
    <col min="1040" max="1040" width="7.140625" style="11" bestFit="1" customWidth="1"/>
    <col min="1041" max="1041" width="6.28515625" style="11" bestFit="1" customWidth="1"/>
    <col min="1042" max="1042" width="12" style="11" bestFit="1" customWidth="1"/>
    <col min="1043" max="1043" width="15.140625" style="11" bestFit="1" customWidth="1"/>
    <col min="1044" max="1044" width="8.7109375" style="11" bestFit="1" customWidth="1"/>
    <col min="1045" max="1045" width="6.28515625" style="11" bestFit="1" customWidth="1"/>
    <col min="1046" max="1046" width="11" style="11" bestFit="1" customWidth="1"/>
    <col min="1047" max="1280" width="8.85546875" style="11"/>
    <col min="1281" max="1281" width="7.28515625" style="11" bestFit="1" customWidth="1"/>
    <col min="1282" max="1282" width="7.5703125" style="11" bestFit="1" customWidth="1"/>
    <col min="1283" max="1283" width="29.7109375" style="11" bestFit="1" customWidth="1"/>
    <col min="1284" max="1284" width="8.140625" style="11" bestFit="1" customWidth="1"/>
    <col min="1285" max="1285" width="14.28515625" style="11" bestFit="1" customWidth="1"/>
    <col min="1286" max="1286" width="11.42578125" style="11" bestFit="1" customWidth="1"/>
    <col min="1287" max="1287" width="10.7109375" style="11" bestFit="1" customWidth="1"/>
    <col min="1288" max="1288" width="9" style="11" bestFit="1" customWidth="1"/>
    <col min="1289" max="1289" width="36.42578125" style="11" customWidth="1"/>
    <col min="1290" max="1290" width="7" style="11" bestFit="1" customWidth="1"/>
    <col min="1291" max="1291" width="10.7109375" style="11" bestFit="1" customWidth="1"/>
    <col min="1292" max="1292" width="1.28515625" style="11" customWidth="1"/>
    <col min="1293" max="1293" width="10.28515625" style="11" bestFit="1" customWidth="1"/>
    <col min="1294" max="1294" width="7.140625" style="11" bestFit="1" customWidth="1"/>
    <col min="1295" max="1295" width="10.7109375" style="11" bestFit="1" customWidth="1"/>
    <col min="1296" max="1296" width="7.140625" style="11" bestFit="1" customWidth="1"/>
    <col min="1297" max="1297" width="6.28515625" style="11" bestFit="1" customWidth="1"/>
    <col min="1298" max="1298" width="12" style="11" bestFit="1" customWidth="1"/>
    <col min="1299" max="1299" width="15.140625" style="11" bestFit="1" customWidth="1"/>
    <col min="1300" max="1300" width="8.7109375" style="11" bestFit="1" customWidth="1"/>
    <col min="1301" max="1301" width="6.28515625" style="11" bestFit="1" customWidth="1"/>
    <col min="1302" max="1302" width="11" style="11" bestFit="1" customWidth="1"/>
    <col min="1303" max="1536" width="8.85546875" style="11"/>
    <col min="1537" max="1537" width="7.28515625" style="11" bestFit="1" customWidth="1"/>
    <col min="1538" max="1538" width="7.5703125" style="11" bestFit="1" customWidth="1"/>
    <col min="1539" max="1539" width="29.7109375" style="11" bestFit="1" customWidth="1"/>
    <col min="1540" max="1540" width="8.140625" style="11" bestFit="1" customWidth="1"/>
    <col min="1541" max="1541" width="14.28515625" style="11" bestFit="1" customWidth="1"/>
    <col min="1542" max="1542" width="11.42578125" style="11" bestFit="1" customWidth="1"/>
    <col min="1543" max="1543" width="10.7109375" style="11" bestFit="1" customWidth="1"/>
    <col min="1544" max="1544" width="9" style="11" bestFit="1" customWidth="1"/>
    <col min="1545" max="1545" width="36.42578125" style="11" customWidth="1"/>
    <col min="1546" max="1546" width="7" style="11" bestFit="1" customWidth="1"/>
    <col min="1547" max="1547" width="10.7109375" style="11" bestFit="1" customWidth="1"/>
    <col min="1548" max="1548" width="1.28515625" style="11" customWidth="1"/>
    <col min="1549" max="1549" width="10.28515625" style="11" bestFit="1" customWidth="1"/>
    <col min="1550" max="1550" width="7.140625" style="11" bestFit="1" customWidth="1"/>
    <col min="1551" max="1551" width="10.7109375" style="11" bestFit="1" customWidth="1"/>
    <col min="1552" max="1552" width="7.140625" style="11" bestFit="1" customWidth="1"/>
    <col min="1553" max="1553" width="6.28515625" style="11" bestFit="1" customWidth="1"/>
    <col min="1554" max="1554" width="12" style="11" bestFit="1" customWidth="1"/>
    <col min="1555" max="1555" width="15.140625" style="11" bestFit="1" customWidth="1"/>
    <col min="1556" max="1556" width="8.7109375" style="11" bestFit="1" customWidth="1"/>
    <col min="1557" max="1557" width="6.28515625" style="11" bestFit="1" customWidth="1"/>
    <col min="1558" max="1558" width="11" style="11" bestFit="1" customWidth="1"/>
    <col min="1559" max="1792" width="8.85546875" style="11"/>
    <col min="1793" max="1793" width="7.28515625" style="11" bestFit="1" customWidth="1"/>
    <col min="1794" max="1794" width="7.5703125" style="11" bestFit="1" customWidth="1"/>
    <col min="1795" max="1795" width="29.7109375" style="11" bestFit="1" customWidth="1"/>
    <col min="1796" max="1796" width="8.140625" style="11" bestFit="1" customWidth="1"/>
    <col min="1797" max="1797" width="14.28515625" style="11" bestFit="1" customWidth="1"/>
    <col min="1798" max="1798" width="11.42578125" style="11" bestFit="1" customWidth="1"/>
    <col min="1799" max="1799" width="10.7109375" style="11" bestFit="1" customWidth="1"/>
    <col min="1800" max="1800" width="9" style="11" bestFit="1" customWidth="1"/>
    <col min="1801" max="1801" width="36.42578125" style="11" customWidth="1"/>
    <col min="1802" max="1802" width="7" style="11" bestFit="1" customWidth="1"/>
    <col min="1803" max="1803" width="10.7109375" style="11" bestFit="1" customWidth="1"/>
    <col min="1804" max="1804" width="1.28515625" style="11" customWidth="1"/>
    <col min="1805" max="1805" width="10.28515625" style="11" bestFit="1" customWidth="1"/>
    <col min="1806" max="1806" width="7.140625" style="11" bestFit="1" customWidth="1"/>
    <col min="1807" max="1807" width="10.7109375" style="11" bestFit="1" customWidth="1"/>
    <col min="1808" max="1808" width="7.140625" style="11" bestFit="1" customWidth="1"/>
    <col min="1809" max="1809" width="6.28515625" style="11" bestFit="1" customWidth="1"/>
    <col min="1810" max="1810" width="12" style="11" bestFit="1" customWidth="1"/>
    <col min="1811" max="1811" width="15.140625" style="11" bestFit="1" customWidth="1"/>
    <col min="1812" max="1812" width="8.7109375" style="11" bestFit="1" customWidth="1"/>
    <col min="1813" max="1813" width="6.28515625" style="11" bestFit="1" customWidth="1"/>
    <col min="1814" max="1814" width="11" style="11" bestFit="1" customWidth="1"/>
    <col min="1815" max="2048" width="8.85546875" style="11"/>
    <col min="2049" max="2049" width="7.28515625" style="11" bestFit="1" customWidth="1"/>
    <col min="2050" max="2050" width="7.5703125" style="11" bestFit="1" customWidth="1"/>
    <col min="2051" max="2051" width="29.7109375" style="11" bestFit="1" customWidth="1"/>
    <col min="2052" max="2052" width="8.140625" style="11" bestFit="1" customWidth="1"/>
    <col min="2053" max="2053" width="14.28515625" style="11" bestFit="1" customWidth="1"/>
    <col min="2054" max="2054" width="11.42578125" style="11" bestFit="1" customWidth="1"/>
    <col min="2055" max="2055" width="10.7109375" style="11" bestFit="1" customWidth="1"/>
    <col min="2056" max="2056" width="9" style="11" bestFit="1" customWidth="1"/>
    <col min="2057" max="2057" width="36.42578125" style="11" customWidth="1"/>
    <col min="2058" max="2058" width="7" style="11" bestFit="1" customWidth="1"/>
    <col min="2059" max="2059" width="10.7109375" style="11" bestFit="1" customWidth="1"/>
    <col min="2060" max="2060" width="1.28515625" style="11" customWidth="1"/>
    <col min="2061" max="2061" width="10.28515625" style="11" bestFit="1" customWidth="1"/>
    <col min="2062" max="2062" width="7.140625" style="11" bestFit="1" customWidth="1"/>
    <col min="2063" max="2063" width="10.7109375" style="11" bestFit="1" customWidth="1"/>
    <col min="2064" max="2064" width="7.140625" style="11" bestFit="1" customWidth="1"/>
    <col min="2065" max="2065" width="6.28515625" style="11" bestFit="1" customWidth="1"/>
    <col min="2066" max="2066" width="12" style="11" bestFit="1" customWidth="1"/>
    <col min="2067" max="2067" width="15.140625" style="11" bestFit="1" customWidth="1"/>
    <col min="2068" max="2068" width="8.7109375" style="11" bestFit="1" customWidth="1"/>
    <col min="2069" max="2069" width="6.28515625" style="11" bestFit="1" customWidth="1"/>
    <col min="2070" max="2070" width="11" style="11" bestFit="1" customWidth="1"/>
    <col min="2071" max="2304" width="8.85546875" style="11"/>
    <col min="2305" max="2305" width="7.28515625" style="11" bestFit="1" customWidth="1"/>
    <col min="2306" max="2306" width="7.5703125" style="11" bestFit="1" customWidth="1"/>
    <col min="2307" max="2307" width="29.7109375" style="11" bestFit="1" customWidth="1"/>
    <col min="2308" max="2308" width="8.140625" style="11" bestFit="1" customWidth="1"/>
    <col min="2309" max="2309" width="14.28515625" style="11" bestFit="1" customWidth="1"/>
    <col min="2310" max="2310" width="11.42578125" style="11" bestFit="1" customWidth="1"/>
    <col min="2311" max="2311" width="10.7109375" style="11" bestFit="1" customWidth="1"/>
    <col min="2312" max="2312" width="9" style="11" bestFit="1" customWidth="1"/>
    <col min="2313" max="2313" width="36.42578125" style="11" customWidth="1"/>
    <col min="2314" max="2314" width="7" style="11" bestFit="1" customWidth="1"/>
    <col min="2315" max="2315" width="10.7109375" style="11" bestFit="1" customWidth="1"/>
    <col min="2316" max="2316" width="1.28515625" style="11" customWidth="1"/>
    <col min="2317" max="2317" width="10.28515625" style="11" bestFit="1" customWidth="1"/>
    <col min="2318" max="2318" width="7.140625" style="11" bestFit="1" customWidth="1"/>
    <col min="2319" max="2319" width="10.7109375" style="11" bestFit="1" customWidth="1"/>
    <col min="2320" max="2320" width="7.140625" style="11" bestFit="1" customWidth="1"/>
    <col min="2321" max="2321" width="6.28515625" style="11" bestFit="1" customWidth="1"/>
    <col min="2322" max="2322" width="12" style="11" bestFit="1" customWidth="1"/>
    <col min="2323" max="2323" width="15.140625" style="11" bestFit="1" customWidth="1"/>
    <col min="2324" max="2324" width="8.7109375" style="11" bestFit="1" customWidth="1"/>
    <col min="2325" max="2325" width="6.28515625" style="11" bestFit="1" customWidth="1"/>
    <col min="2326" max="2326" width="11" style="11" bestFit="1" customWidth="1"/>
    <col min="2327" max="2560" width="8.85546875" style="11"/>
    <col min="2561" max="2561" width="7.28515625" style="11" bestFit="1" customWidth="1"/>
    <col min="2562" max="2562" width="7.5703125" style="11" bestFit="1" customWidth="1"/>
    <col min="2563" max="2563" width="29.7109375" style="11" bestFit="1" customWidth="1"/>
    <col min="2564" max="2564" width="8.140625" style="11" bestFit="1" customWidth="1"/>
    <col min="2565" max="2565" width="14.28515625" style="11" bestFit="1" customWidth="1"/>
    <col min="2566" max="2566" width="11.42578125" style="11" bestFit="1" customWidth="1"/>
    <col min="2567" max="2567" width="10.7109375" style="11" bestFit="1" customWidth="1"/>
    <col min="2568" max="2568" width="9" style="11" bestFit="1" customWidth="1"/>
    <col min="2569" max="2569" width="36.42578125" style="11" customWidth="1"/>
    <col min="2570" max="2570" width="7" style="11" bestFit="1" customWidth="1"/>
    <col min="2571" max="2571" width="10.7109375" style="11" bestFit="1" customWidth="1"/>
    <col min="2572" max="2572" width="1.28515625" style="11" customWidth="1"/>
    <col min="2573" max="2573" width="10.28515625" style="11" bestFit="1" customWidth="1"/>
    <col min="2574" max="2574" width="7.140625" style="11" bestFit="1" customWidth="1"/>
    <col min="2575" max="2575" width="10.7109375" style="11" bestFit="1" customWidth="1"/>
    <col min="2576" max="2576" width="7.140625" style="11" bestFit="1" customWidth="1"/>
    <col min="2577" max="2577" width="6.28515625" style="11" bestFit="1" customWidth="1"/>
    <col min="2578" max="2578" width="12" style="11" bestFit="1" customWidth="1"/>
    <col min="2579" max="2579" width="15.140625" style="11" bestFit="1" customWidth="1"/>
    <col min="2580" max="2580" width="8.7109375" style="11" bestFit="1" customWidth="1"/>
    <col min="2581" max="2581" width="6.28515625" style="11" bestFit="1" customWidth="1"/>
    <col min="2582" max="2582" width="11" style="11" bestFit="1" customWidth="1"/>
    <col min="2583" max="2816" width="8.85546875" style="11"/>
    <col min="2817" max="2817" width="7.28515625" style="11" bestFit="1" customWidth="1"/>
    <col min="2818" max="2818" width="7.5703125" style="11" bestFit="1" customWidth="1"/>
    <col min="2819" max="2819" width="29.7109375" style="11" bestFit="1" customWidth="1"/>
    <col min="2820" max="2820" width="8.140625" style="11" bestFit="1" customWidth="1"/>
    <col min="2821" max="2821" width="14.28515625" style="11" bestFit="1" customWidth="1"/>
    <col min="2822" max="2822" width="11.42578125" style="11" bestFit="1" customWidth="1"/>
    <col min="2823" max="2823" width="10.7109375" style="11" bestFit="1" customWidth="1"/>
    <col min="2824" max="2824" width="9" style="11" bestFit="1" customWidth="1"/>
    <col min="2825" max="2825" width="36.42578125" style="11" customWidth="1"/>
    <col min="2826" max="2826" width="7" style="11" bestFit="1" customWidth="1"/>
    <col min="2827" max="2827" width="10.7109375" style="11" bestFit="1" customWidth="1"/>
    <col min="2828" max="2828" width="1.28515625" style="11" customWidth="1"/>
    <col min="2829" max="2829" width="10.28515625" style="11" bestFit="1" customWidth="1"/>
    <col min="2830" max="2830" width="7.140625" style="11" bestFit="1" customWidth="1"/>
    <col min="2831" max="2831" width="10.7109375" style="11" bestFit="1" customWidth="1"/>
    <col min="2832" max="2832" width="7.140625" style="11" bestFit="1" customWidth="1"/>
    <col min="2833" max="2833" width="6.28515625" style="11" bestFit="1" customWidth="1"/>
    <col min="2834" max="2834" width="12" style="11" bestFit="1" customWidth="1"/>
    <col min="2835" max="2835" width="15.140625" style="11" bestFit="1" customWidth="1"/>
    <col min="2836" max="2836" width="8.7109375" style="11" bestFit="1" customWidth="1"/>
    <col min="2837" max="2837" width="6.28515625" style="11" bestFit="1" customWidth="1"/>
    <col min="2838" max="2838" width="11" style="11" bestFit="1" customWidth="1"/>
    <col min="2839" max="3072" width="8.85546875" style="11"/>
    <col min="3073" max="3073" width="7.28515625" style="11" bestFit="1" customWidth="1"/>
    <col min="3074" max="3074" width="7.5703125" style="11" bestFit="1" customWidth="1"/>
    <col min="3075" max="3075" width="29.7109375" style="11" bestFit="1" customWidth="1"/>
    <col min="3076" max="3076" width="8.140625" style="11" bestFit="1" customWidth="1"/>
    <col min="3077" max="3077" width="14.28515625" style="11" bestFit="1" customWidth="1"/>
    <col min="3078" max="3078" width="11.42578125" style="11" bestFit="1" customWidth="1"/>
    <col min="3079" max="3079" width="10.7109375" style="11" bestFit="1" customWidth="1"/>
    <col min="3080" max="3080" width="9" style="11" bestFit="1" customWidth="1"/>
    <col min="3081" max="3081" width="36.42578125" style="11" customWidth="1"/>
    <col min="3082" max="3082" width="7" style="11" bestFit="1" customWidth="1"/>
    <col min="3083" max="3083" width="10.7109375" style="11" bestFit="1" customWidth="1"/>
    <col min="3084" max="3084" width="1.28515625" style="11" customWidth="1"/>
    <col min="3085" max="3085" width="10.28515625" style="11" bestFit="1" customWidth="1"/>
    <col min="3086" max="3086" width="7.140625" style="11" bestFit="1" customWidth="1"/>
    <col min="3087" max="3087" width="10.7109375" style="11" bestFit="1" customWidth="1"/>
    <col min="3088" max="3088" width="7.140625" style="11" bestFit="1" customWidth="1"/>
    <col min="3089" max="3089" width="6.28515625" style="11" bestFit="1" customWidth="1"/>
    <col min="3090" max="3090" width="12" style="11" bestFit="1" customWidth="1"/>
    <col min="3091" max="3091" width="15.140625" style="11" bestFit="1" customWidth="1"/>
    <col min="3092" max="3092" width="8.7109375" style="11" bestFit="1" customWidth="1"/>
    <col min="3093" max="3093" width="6.28515625" style="11" bestFit="1" customWidth="1"/>
    <col min="3094" max="3094" width="11" style="11" bestFit="1" customWidth="1"/>
    <col min="3095" max="3328" width="8.85546875" style="11"/>
    <col min="3329" max="3329" width="7.28515625" style="11" bestFit="1" customWidth="1"/>
    <col min="3330" max="3330" width="7.5703125" style="11" bestFit="1" customWidth="1"/>
    <col min="3331" max="3331" width="29.7109375" style="11" bestFit="1" customWidth="1"/>
    <col min="3332" max="3332" width="8.140625" style="11" bestFit="1" customWidth="1"/>
    <col min="3333" max="3333" width="14.28515625" style="11" bestFit="1" customWidth="1"/>
    <col min="3334" max="3334" width="11.42578125" style="11" bestFit="1" customWidth="1"/>
    <col min="3335" max="3335" width="10.7109375" style="11" bestFit="1" customWidth="1"/>
    <col min="3336" max="3336" width="9" style="11" bestFit="1" customWidth="1"/>
    <col min="3337" max="3337" width="36.42578125" style="11" customWidth="1"/>
    <col min="3338" max="3338" width="7" style="11" bestFit="1" customWidth="1"/>
    <col min="3339" max="3339" width="10.7109375" style="11" bestFit="1" customWidth="1"/>
    <col min="3340" max="3340" width="1.28515625" style="11" customWidth="1"/>
    <col min="3341" max="3341" width="10.28515625" style="11" bestFit="1" customWidth="1"/>
    <col min="3342" max="3342" width="7.140625" style="11" bestFit="1" customWidth="1"/>
    <col min="3343" max="3343" width="10.7109375" style="11" bestFit="1" customWidth="1"/>
    <col min="3344" max="3344" width="7.140625" style="11" bestFit="1" customWidth="1"/>
    <col min="3345" max="3345" width="6.28515625" style="11" bestFit="1" customWidth="1"/>
    <col min="3346" max="3346" width="12" style="11" bestFit="1" customWidth="1"/>
    <col min="3347" max="3347" width="15.140625" style="11" bestFit="1" customWidth="1"/>
    <col min="3348" max="3348" width="8.7109375" style="11" bestFit="1" customWidth="1"/>
    <col min="3349" max="3349" width="6.28515625" style="11" bestFit="1" customWidth="1"/>
    <col min="3350" max="3350" width="11" style="11" bestFit="1" customWidth="1"/>
    <col min="3351" max="3584" width="8.85546875" style="11"/>
    <col min="3585" max="3585" width="7.28515625" style="11" bestFit="1" customWidth="1"/>
    <col min="3586" max="3586" width="7.5703125" style="11" bestFit="1" customWidth="1"/>
    <col min="3587" max="3587" width="29.7109375" style="11" bestFit="1" customWidth="1"/>
    <col min="3588" max="3588" width="8.140625" style="11" bestFit="1" customWidth="1"/>
    <col min="3589" max="3589" width="14.28515625" style="11" bestFit="1" customWidth="1"/>
    <col min="3590" max="3590" width="11.42578125" style="11" bestFit="1" customWidth="1"/>
    <col min="3591" max="3591" width="10.7109375" style="11" bestFit="1" customWidth="1"/>
    <col min="3592" max="3592" width="9" style="11" bestFit="1" customWidth="1"/>
    <col min="3593" max="3593" width="36.42578125" style="11" customWidth="1"/>
    <col min="3594" max="3594" width="7" style="11" bestFit="1" customWidth="1"/>
    <col min="3595" max="3595" width="10.7109375" style="11" bestFit="1" customWidth="1"/>
    <col min="3596" max="3596" width="1.28515625" style="11" customWidth="1"/>
    <col min="3597" max="3597" width="10.28515625" style="11" bestFit="1" customWidth="1"/>
    <col min="3598" max="3598" width="7.140625" style="11" bestFit="1" customWidth="1"/>
    <col min="3599" max="3599" width="10.7109375" style="11" bestFit="1" customWidth="1"/>
    <col min="3600" max="3600" width="7.140625" style="11" bestFit="1" customWidth="1"/>
    <col min="3601" max="3601" width="6.28515625" style="11" bestFit="1" customWidth="1"/>
    <col min="3602" max="3602" width="12" style="11" bestFit="1" customWidth="1"/>
    <col min="3603" max="3603" width="15.140625" style="11" bestFit="1" customWidth="1"/>
    <col min="3604" max="3604" width="8.7109375" style="11" bestFit="1" customWidth="1"/>
    <col min="3605" max="3605" width="6.28515625" style="11" bestFit="1" customWidth="1"/>
    <col min="3606" max="3606" width="11" style="11" bestFit="1" customWidth="1"/>
    <col min="3607" max="3840" width="8.85546875" style="11"/>
    <col min="3841" max="3841" width="7.28515625" style="11" bestFit="1" customWidth="1"/>
    <col min="3842" max="3842" width="7.5703125" style="11" bestFit="1" customWidth="1"/>
    <col min="3843" max="3843" width="29.7109375" style="11" bestFit="1" customWidth="1"/>
    <col min="3844" max="3844" width="8.140625" style="11" bestFit="1" customWidth="1"/>
    <col min="3845" max="3845" width="14.28515625" style="11" bestFit="1" customWidth="1"/>
    <col min="3846" max="3846" width="11.42578125" style="11" bestFit="1" customWidth="1"/>
    <col min="3847" max="3847" width="10.7109375" style="11" bestFit="1" customWidth="1"/>
    <col min="3848" max="3848" width="9" style="11" bestFit="1" customWidth="1"/>
    <col min="3849" max="3849" width="36.42578125" style="11" customWidth="1"/>
    <col min="3850" max="3850" width="7" style="11" bestFit="1" customWidth="1"/>
    <col min="3851" max="3851" width="10.7109375" style="11" bestFit="1" customWidth="1"/>
    <col min="3852" max="3852" width="1.28515625" style="11" customWidth="1"/>
    <col min="3853" max="3853" width="10.28515625" style="11" bestFit="1" customWidth="1"/>
    <col min="3854" max="3854" width="7.140625" style="11" bestFit="1" customWidth="1"/>
    <col min="3855" max="3855" width="10.7109375" style="11" bestFit="1" customWidth="1"/>
    <col min="3856" max="3856" width="7.140625" style="11" bestFit="1" customWidth="1"/>
    <col min="3857" max="3857" width="6.28515625" style="11" bestFit="1" customWidth="1"/>
    <col min="3858" max="3858" width="12" style="11" bestFit="1" customWidth="1"/>
    <col min="3859" max="3859" width="15.140625" style="11" bestFit="1" customWidth="1"/>
    <col min="3860" max="3860" width="8.7109375" style="11" bestFit="1" customWidth="1"/>
    <col min="3861" max="3861" width="6.28515625" style="11" bestFit="1" customWidth="1"/>
    <col min="3862" max="3862" width="11" style="11" bestFit="1" customWidth="1"/>
    <col min="3863" max="4096" width="8.85546875" style="11"/>
    <col min="4097" max="4097" width="7.28515625" style="11" bestFit="1" customWidth="1"/>
    <col min="4098" max="4098" width="7.5703125" style="11" bestFit="1" customWidth="1"/>
    <col min="4099" max="4099" width="29.7109375" style="11" bestFit="1" customWidth="1"/>
    <col min="4100" max="4100" width="8.140625" style="11" bestFit="1" customWidth="1"/>
    <col min="4101" max="4101" width="14.28515625" style="11" bestFit="1" customWidth="1"/>
    <col min="4102" max="4102" width="11.42578125" style="11" bestFit="1" customWidth="1"/>
    <col min="4103" max="4103" width="10.7109375" style="11" bestFit="1" customWidth="1"/>
    <col min="4104" max="4104" width="9" style="11" bestFit="1" customWidth="1"/>
    <col min="4105" max="4105" width="36.42578125" style="11" customWidth="1"/>
    <col min="4106" max="4106" width="7" style="11" bestFit="1" customWidth="1"/>
    <col min="4107" max="4107" width="10.7109375" style="11" bestFit="1" customWidth="1"/>
    <col min="4108" max="4108" width="1.28515625" style="11" customWidth="1"/>
    <col min="4109" max="4109" width="10.28515625" style="11" bestFit="1" customWidth="1"/>
    <col min="4110" max="4110" width="7.140625" style="11" bestFit="1" customWidth="1"/>
    <col min="4111" max="4111" width="10.7109375" style="11" bestFit="1" customWidth="1"/>
    <col min="4112" max="4112" width="7.140625" style="11" bestFit="1" customWidth="1"/>
    <col min="4113" max="4113" width="6.28515625" style="11" bestFit="1" customWidth="1"/>
    <col min="4114" max="4114" width="12" style="11" bestFit="1" customWidth="1"/>
    <col min="4115" max="4115" width="15.140625" style="11" bestFit="1" customWidth="1"/>
    <col min="4116" max="4116" width="8.7109375" style="11" bestFit="1" customWidth="1"/>
    <col min="4117" max="4117" width="6.28515625" style="11" bestFit="1" customWidth="1"/>
    <col min="4118" max="4118" width="11" style="11" bestFit="1" customWidth="1"/>
    <col min="4119" max="4352" width="8.85546875" style="11"/>
    <col min="4353" max="4353" width="7.28515625" style="11" bestFit="1" customWidth="1"/>
    <col min="4354" max="4354" width="7.5703125" style="11" bestFit="1" customWidth="1"/>
    <col min="4355" max="4355" width="29.7109375" style="11" bestFit="1" customWidth="1"/>
    <col min="4356" max="4356" width="8.140625" style="11" bestFit="1" customWidth="1"/>
    <col min="4357" max="4357" width="14.28515625" style="11" bestFit="1" customWidth="1"/>
    <col min="4358" max="4358" width="11.42578125" style="11" bestFit="1" customWidth="1"/>
    <col min="4359" max="4359" width="10.7109375" style="11" bestFit="1" customWidth="1"/>
    <col min="4360" max="4360" width="9" style="11" bestFit="1" customWidth="1"/>
    <col min="4361" max="4361" width="36.42578125" style="11" customWidth="1"/>
    <col min="4362" max="4362" width="7" style="11" bestFit="1" customWidth="1"/>
    <col min="4363" max="4363" width="10.7109375" style="11" bestFit="1" customWidth="1"/>
    <col min="4364" max="4364" width="1.28515625" style="11" customWidth="1"/>
    <col min="4365" max="4365" width="10.28515625" style="11" bestFit="1" customWidth="1"/>
    <col min="4366" max="4366" width="7.140625" style="11" bestFit="1" customWidth="1"/>
    <col min="4367" max="4367" width="10.7109375" style="11" bestFit="1" customWidth="1"/>
    <col min="4368" max="4368" width="7.140625" style="11" bestFit="1" customWidth="1"/>
    <col min="4369" max="4369" width="6.28515625" style="11" bestFit="1" customWidth="1"/>
    <col min="4370" max="4370" width="12" style="11" bestFit="1" customWidth="1"/>
    <col min="4371" max="4371" width="15.140625" style="11" bestFit="1" customWidth="1"/>
    <col min="4372" max="4372" width="8.7109375" style="11" bestFit="1" customWidth="1"/>
    <col min="4373" max="4373" width="6.28515625" style="11" bestFit="1" customWidth="1"/>
    <col min="4374" max="4374" width="11" style="11" bestFit="1" customWidth="1"/>
    <col min="4375" max="4608" width="8.85546875" style="11"/>
    <col min="4609" max="4609" width="7.28515625" style="11" bestFit="1" customWidth="1"/>
    <col min="4610" max="4610" width="7.5703125" style="11" bestFit="1" customWidth="1"/>
    <col min="4611" max="4611" width="29.7109375" style="11" bestFit="1" customWidth="1"/>
    <col min="4612" max="4612" width="8.140625" style="11" bestFit="1" customWidth="1"/>
    <col min="4613" max="4613" width="14.28515625" style="11" bestFit="1" customWidth="1"/>
    <col min="4614" max="4614" width="11.42578125" style="11" bestFit="1" customWidth="1"/>
    <col min="4615" max="4615" width="10.7109375" style="11" bestFit="1" customWidth="1"/>
    <col min="4616" max="4616" width="9" style="11" bestFit="1" customWidth="1"/>
    <col min="4617" max="4617" width="36.42578125" style="11" customWidth="1"/>
    <col min="4618" max="4618" width="7" style="11" bestFit="1" customWidth="1"/>
    <col min="4619" max="4619" width="10.7109375" style="11" bestFit="1" customWidth="1"/>
    <col min="4620" max="4620" width="1.28515625" style="11" customWidth="1"/>
    <col min="4621" max="4621" width="10.28515625" style="11" bestFit="1" customWidth="1"/>
    <col min="4622" max="4622" width="7.140625" style="11" bestFit="1" customWidth="1"/>
    <col min="4623" max="4623" width="10.7109375" style="11" bestFit="1" customWidth="1"/>
    <col min="4624" max="4624" width="7.140625" style="11" bestFit="1" customWidth="1"/>
    <col min="4625" max="4625" width="6.28515625" style="11" bestFit="1" customWidth="1"/>
    <col min="4626" max="4626" width="12" style="11" bestFit="1" customWidth="1"/>
    <col min="4627" max="4627" width="15.140625" style="11" bestFit="1" customWidth="1"/>
    <col min="4628" max="4628" width="8.7109375" style="11" bestFit="1" customWidth="1"/>
    <col min="4629" max="4629" width="6.28515625" style="11" bestFit="1" customWidth="1"/>
    <col min="4630" max="4630" width="11" style="11" bestFit="1" customWidth="1"/>
    <col min="4631" max="4864" width="8.85546875" style="11"/>
    <col min="4865" max="4865" width="7.28515625" style="11" bestFit="1" customWidth="1"/>
    <col min="4866" max="4866" width="7.5703125" style="11" bestFit="1" customWidth="1"/>
    <col min="4867" max="4867" width="29.7109375" style="11" bestFit="1" customWidth="1"/>
    <col min="4868" max="4868" width="8.140625" style="11" bestFit="1" customWidth="1"/>
    <col min="4869" max="4869" width="14.28515625" style="11" bestFit="1" customWidth="1"/>
    <col min="4870" max="4870" width="11.42578125" style="11" bestFit="1" customWidth="1"/>
    <col min="4871" max="4871" width="10.7109375" style="11" bestFit="1" customWidth="1"/>
    <col min="4872" max="4872" width="9" style="11" bestFit="1" customWidth="1"/>
    <col min="4873" max="4873" width="36.42578125" style="11" customWidth="1"/>
    <col min="4874" max="4874" width="7" style="11" bestFit="1" customWidth="1"/>
    <col min="4875" max="4875" width="10.7109375" style="11" bestFit="1" customWidth="1"/>
    <col min="4876" max="4876" width="1.28515625" style="11" customWidth="1"/>
    <col min="4877" max="4877" width="10.28515625" style="11" bestFit="1" customWidth="1"/>
    <col min="4878" max="4878" width="7.140625" style="11" bestFit="1" customWidth="1"/>
    <col min="4879" max="4879" width="10.7109375" style="11" bestFit="1" customWidth="1"/>
    <col min="4880" max="4880" width="7.140625" style="11" bestFit="1" customWidth="1"/>
    <col min="4881" max="4881" width="6.28515625" style="11" bestFit="1" customWidth="1"/>
    <col min="4882" max="4882" width="12" style="11" bestFit="1" customWidth="1"/>
    <col min="4883" max="4883" width="15.140625" style="11" bestFit="1" customWidth="1"/>
    <col min="4884" max="4884" width="8.7109375" style="11" bestFit="1" customWidth="1"/>
    <col min="4885" max="4885" width="6.28515625" style="11" bestFit="1" customWidth="1"/>
    <col min="4886" max="4886" width="11" style="11" bestFit="1" customWidth="1"/>
    <col min="4887" max="5120" width="8.85546875" style="11"/>
    <col min="5121" max="5121" width="7.28515625" style="11" bestFit="1" customWidth="1"/>
    <col min="5122" max="5122" width="7.5703125" style="11" bestFit="1" customWidth="1"/>
    <col min="5123" max="5123" width="29.7109375" style="11" bestFit="1" customWidth="1"/>
    <col min="5124" max="5124" width="8.140625" style="11" bestFit="1" customWidth="1"/>
    <col min="5125" max="5125" width="14.28515625" style="11" bestFit="1" customWidth="1"/>
    <col min="5126" max="5126" width="11.42578125" style="11" bestFit="1" customWidth="1"/>
    <col min="5127" max="5127" width="10.7109375" style="11" bestFit="1" customWidth="1"/>
    <col min="5128" max="5128" width="9" style="11" bestFit="1" customWidth="1"/>
    <col min="5129" max="5129" width="36.42578125" style="11" customWidth="1"/>
    <col min="5130" max="5130" width="7" style="11" bestFit="1" customWidth="1"/>
    <col min="5131" max="5131" width="10.7109375" style="11" bestFit="1" customWidth="1"/>
    <col min="5132" max="5132" width="1.28515625" style="11" customWidth="1"/>
    <col min="5133" max="5133" width="10.28515625" style="11" bestFit="1" customWidth="1"/>
    <col min="5134" max="5134" width="7.140625" style="11" bestFit="1" customWidth="1"/>
    <col min="5135" max="5135" width="10.7109375" style="11" bestFit="1" customWidth="1"/>
    <col min="5136" max="5136" width="7.140625" style="11" bestFit="1" customWidth="1"/>
    <col min="5137" max="5137" width="6.28515625" style="11" bestFit="1" customWidth="1"/>
    <col min="5138" max="5138" width="12" style="11" bestFit="1" customWidth="1"/>
    <col min="5139" max="5139" width="15.140625" style="11" bestFit="1" customWidth="1"/>
    <col min="5140" max="5140" width="8.7109375" style="11" bestFit="1" customWidth="1"/>
    <col min="5141" max="5141" width="6.28515625" style="11" bestFit="1" customWidth="1"/>
    <col min="5142" max="5142" width="11" style="11" bestFit="1" customWidth="1"/>
    <col min="5143" max="5376" width="8.85546875" style="11"/>
    <col min="5377" max="5377" width="7.28515625" style="11" bestFit="1" customWidth="1"/>
    <col min="5378" max="5378" width="7.5703125" style="11" bestFit="1" customWidth="1"/>
    <col min="5379" max="5379" width="29.7109375" style="11" bestFit="1" customWidth="1"/>
    <col min="5380" max="5380" width="8.140625" style="11" bestFit="1" customWidth="1"/>
    <col min="5381" max="5381" width="14.28515625" style="11" bestFit="1" customWidth="1"/>
    <col min="5382" max="5382" width="11.42578125" style="11" bestFit="1" customWidth="1"/>
    <col min="5383" max="5383" width="10.7109375" style="11" bestFit="1" customWidth="1"/>
    <col min="5384" max="5384" width="9" style="11" bestFit="1" customWidth="1"/>
    <col min="5385" max="5385" width="36.42578125" style="11" customWidth="1"/>
    <col min="5386" max="5386" width="7" style="11" bestFit="1" customWidth="1"/>
    <col min="5387" max="5387" width="10.7109375" style="11" bestFit="1" customWidth="1"/>
    <col min="5388" max="5388" width="1.28515625" style="11" customWidth="1"/>
    <col min="5389" max="5389" width="10.28515625" style="11" bestFit="1" customWidth="1"/>
    <col min="5390" max="5390" width="7.140625" style="11" bestFit="1" customWidth="1"/>
    <col min="5391" max="5391" width="10.7109375" style="11" bestFit="1" customWidth="1"/>
    <col min="5392" max="5392" width="7.140625" style="11" bestFit="1" customWidth="1"/>
    <col min="5393" max="5393" width="6.28515625" style="11" bestFit="1" customWidth="1"/>
    <col min="5394" max="5394" width="12" style="11" bestFit="1" customWidth="1"/>
    <col min="5395" max="5395" width="15.140625" style="11" bestFit="1" customWidth="1"/>
    <col min="5396" max="5396" width="8.7109375" style="11" bestFit="1" customWidth="1"/>
    <col min="5397" max="5397" width="6.28515625" style="11" bestFit="1" customWidth="1"/>
    <col min="5398" max="5398" width="11" style="11" bestFit="1" customWidth="1"/>
    <col min="5399" max="5632" width="8.85546875" style="11"/>
    <col min="5633" max="5633" width="7.28515625" style="11" bestFit="1" customWidth="1"/>
    <col min="5634" max="5634" width="7.5703125" style="11" bestFit="1" customWidth="1"/>
    <col min="5635" max="5635" width="29.7109375" style="11" bestFit="1" customWidth="1"/>
    <col min="5636" max="5636" width="8.140625" style="11" bestFit="1" customWidth="1"/>
    <col min="5637" max="5637" width="14.28515625" style="11" bestFit="1" customWidth="1"/>
    <col min="5638" max="5638" width="11.42578125" style="11" bestFit="1" customWidth="1"/>
    <col min="5639" max="5639" width="10.7109375" style="11" bestFit="1" customWidth="1"/>
    <col min="5640" max="5640" width="9" style="11" bestFit="1" customWidth="1"/>
    <col min="5641" max="5641" width="36.42578125" style="11" customWidth="1"/>
    <col min="5642" max="5642" width="7" style="11" bestFit="1" customWidth="1"/>
    <col min="5643" max="5643" width="10.7109375" style="11" bestFit="1" customWidth="1"/>
    <col min="5644" max="5644" width="1.28515625" style="11" customWidth="1"/>
    <col min="5645" max="5645" width="10.28515625" style="11" bestFit="1" customWidth="1"/>
    <col min="5646" max="5646" width="7.140625" style="11" bestFit="1" customWidth="1"/>
    <col min="5647" max="5647" width="10.7109375" style="11" bestFit="1" customWidth="1"/>
    <col min="5648" max="5648" width="7.140625" style="11" bestFit="1" customWidth="1"/>
    <col min="5649" max="5649" width="6.28515625" style="11" bestFit="1" customWidth="1"/>
    <col min="5650" max="5650" width="12" style="11" bestFit="1" customWidth="1"/>
    <col min="5651" max="5651" width="15.140625" style="11" bestFit="1" customWidth="1"/>
    <col min="5652" max="5652" width="8.7109375" style="11" bestFit="1" customWidth="1"/>
    <col min="5653" max="5653" width="6.28515625" style="11" bestFit="1" customWidth="1"/>
    <col min="5654" max="5654" width="11" style="11" bestFit="1" customWidth="1"/>
    <col min="5655" max="5888" width="8.85546875" style="11"/>
    <col min="5889" max="5889" width="7.28515625" style="11" bestFit="1" customWidth="1"/>
    <col min="5890" max="5890" width="7.5703125" style="11" bestFit="1" customWidth="1"/>
    <col min="5891" max="5891" width="29.7109375" style="11" bestFit="1" customWidth="1"/>
    <col min="5892" max="5892" width="8.140625" style="11" bestFit="1" customWidth="1"/>
    <col min="5893" max="5893" width="14.28515625" style="11" bestFit="1" customWidth="1"/>
    <col min="5894" max="5894" width="11.42578125" style="11" bestFit="1" customWidth="1"/>
    <col min="5895" max="5895" width="10.7109375" style="11" bestFit="1" customWidth="1"/>
    <col min="5896" max="5896" width="9" style="11" bestFit="1" customWidth="1"/>
    <col min="5897" max="5897" width="36.42578125" style="11" customWidth="1"/>
    <col min="5898" max="5898" width="7" style="11" bestFit="1" customWidth="1"/>
    <col min="5899" max="5899" width="10.7109375" style="11" bestFit="1" customWidth="1"/>
    <col min="5900" max="5900" width="1.28515625" style="11" customWidth="1"/>
    <col min="5901" max="5901" width="10.28515625" style="11" bestFit="1" customWidth="1"/>
    <col min="5902" max="5902" width="7.140625" style="11" bestFit="1" customWidth="1"/>
    <col min="5903" max="5903" width="10.7109375" style="11" bestFit="1" customWidth="1"/>
    <col min="5904" max="5904" width="7.140625" style="11" bestFit="1" customWidth="1"/>
    <col min="5905" max="5905" width="6.28515625" style="11" bestFit="1" customWidth="1"/>
    <col min="5906" max="5906" width="12" style="11" bestFit="1" customWidth="1"/>
    <col min="5907" max="5907" width="15.140625" style="11" bestFit="1" customWidth="1"/>
    <col min="5908" max="5908" width="8.7109375" style="11" bestFit="1" customWidth="1"/>
    <col min="5909" max="5909" width="6.28515625" style="11" bestFit="1" customWidth="1"/>
    <col min="5910" max="5910" width="11" style="11" bestFit="1" customWidth="1"/>
    <col min="5911" max="6144" width="8.85546875" style="11"/>
    <col min="6145" max="6145" width="7.28515625" style="11" bestFit="1" customWidth="1"/>
    <col min="6146" max="6146" width="7.5703125" style="11" bestFit="1" customWidth="1"/>
    <col min="6147" max="6147" width="29.7109375" style="11" bestFit="1" customWidth="1"/>
    <col min="6148" max="6148" width="8.140625" style="11" bestFit="1" customWidth="1"/>
    <col min="6149" max="6149" width="14.28515625" style="11" bestFit="1" customWidth="1"/>
    <col min="6150" max="6150" width="11.42578125" style="11" bestFit="1" customWidth="1"/>
    <col min="6151" max="6151" width="10.7109375" style="11" bestFit="1" customWidth="1"/>
    <col min="6152" max="6152" width="9" style="11" bestFit="1" customWidth="1"/>
    <col min="6153" max="6153" width="36.42578125" style="11" customWidth="1"/>
    <col min="6154" max="6154" width="7" style="11" bestFit="1" customWidth="1"/>
    <col min="6155" max="6155" width="10.7109375" style="11" bestFit="1" customWidth="1"/>
    <col min="6156" max="6156" width="1.28515625" style="11" customWidth="1"/>
    <col min="6157" max="6157" width="10.28515625" style="11" bestFit="1" customWidth="1"/>
    <col min="6158" max="6158" width="7.140625" style="11" bestFit="1" customWidth="1"/>
    <col min="6159" max="6159" width="10.7109375" style="11" bestFit="1" customWidth="1"/>
    <col min="6160" max="6160" width="7.140625" style="11" bestFit="1" customWidth="1"/>
    <col min="6161" max="6161" width="6.28515625" style="11" bestFit="1" customWidth="1"/>
    <col min="6162" max="6162" width="12" style="11" bestFit="1" customWidth="1"/>
    <col min="6163" max="6163" width="15.140625" style="11" bestFit="1" customWidth="1"/>
    <col min="6164" max="6164" width="8.7109375" style="11" bestFit="1" customWidth="1"/>
    <col min="6165" max="6165" width="6.28515625" style="11" bestFit="1" customWidth="1"/>
    <col min="6166" max="6166" width="11" style="11" bestFit="1" customWidth="1"/>
    <col min="6167" max="6400" width="8.85546875" style="11"/>
    <col min="6401" max="6401" width="7.28515625" style="11" bestFit="1" customWidth="1"/>
    <col min="6402" max="6402" width="7.5703125" style="11" bestFit="1" customWidth="1"/>
    <col min="6403" max="6403" width="29.7109375" style="11" bestFit="1" customWidth="1"/>
    <col min="6404" max="6404" width="8.140625" style="11" bestFit="1" customWidth="1"/>
    <col min="6405" max="6405" width="14.28515625" style="11" bestFit="1" customWidth="1"/>
    <col min="6406" max="6406" width="11.42578125" style="11" bestFit="1" customWidth="1"/>
    <col min="6407" max="6407" width="10.7109375" style="11" bestFit="1" customWidth="1"/>
    <col min="6408" max="6408" width="9" style="11" bestFit="1" customWidth="1"/>
    <col min="6409" max="6409" width="36.42578125" style="11" customWidth="1"/>
    <col min="6410" max="6410" width="7" style="11" bestFit="1" customWidth="1"/>
    <col min="6411" max="6411" width="10.7109375" style="11" bestFit="1" customWidth="1"/>
    <col min="6412" max="6412" width="1.28515625" style="11" customWidth="1"/>
    <col min="6413" max="6413" width="10.28515625" style="11" bestFit="1" customWidth="1"/>
    <col min="6414" max="6414" width="7.140625" style="11" bestFit="1" customWidth="1"/>
    <col min="6415" max="6415" width="10.7109375" style="11" bestFit="1" customWidth="1"/>
    <col min="6416" max="6416" width="7.140625" style="11" bestFit="1" customWidth="1"/>
    <col min="6417" max="6417" width="6.28515625" style="11" bestFit="1" customWidth="1"/>
    <col min="6418" max="6418" width="12" style="11" bestFit="1" customWidth="1"/>
    <col min="6419" max="6419" width="15.140625" style="11" bestFit="1" customWidth="1"/>
    <col min="6420" max="6420" width="8.7109375" style="11" bestFit="1" customWidth="1"/>
    <col min="6421" max="6421" width="6.28515625" style="11" bestFit="1" customWidth="1"/>
    <col min="6422" max="6422" width="11" style="11" bestFit="1" customWidth="1"/>
    <col min="6423" max="6656" width="8.85546875" style="11"/>
    <col min="6657" max="6657" width="7.28515625" style="11" bestFit="1" customWidth="1"/>
    <col min="6658" max="6658" width="7.5703125" style="11" bestFit="1" customWidth="1"/>
    <col min="6659" max="6659" width="29.7109375" style="11" bestFit="1" customWidth="1"/>
    <col min="6660" max="6660" width="8.140625" style="11" bestFit="1" customWidth="1"/>
    <col min="6661" max="6661" width="14.28515625" style="11" bestFit="1" customWidth="1"/>
    <col min="6662" max="6662" width="11.42578125" style="11" bestFit="1" customWidth="1"/>
    <col min="6663" max="6663" width="10.7109375" style="11" bestFit="1" customWidth="1"/>
    <col min="6664" max="6664" width="9" style="11" bestFit="1" customWidth="1"/>
    <col min="6665" max="6665" width="36.42578125" style="11" customWidth="1"/>
    <col min="6666" max="6666" width="7" style="11" bestFit="1" customWidth="1"/>
    <col min="6667" max="6667" width="10.7109375" style="11" bestFit="1" customWidth="1"/>
    <col min="6668" max="6668" width="1.28515625" style="11" customWidth="1"/>
    <col min="6669" max="6669" width="10.28515625" style="11" bestFit="1" customWidth="1"/>
    <col min="6670" max="6670" width="7.140625" style="11" bestFit="1" customWidth="1"/>
    <col min="6671" max="6671" width="10.7109375" style="11" bestFit="1" customWidth="1"/>
    <col min="6672" max="6672" width="7.140625" style="11" bestFit="1" customWidth="1"/>
    <col min="6673" max="6673" width="6.28515625" style="11" bestFit="1" customWidth="1"/>
    <col min="6674" max="6674" width="12" style="11" bestFit="1" customWidth="1"/>
    <col min="6675" max="6675" width="15.140625" style="11" bestFit="1" customWidth="1"/>
    <col min="6676" max="6676" width="8.7109375" style="11" bestFit="1" customWidth="1"/>
    <col min="6677" max="6677" width="6.28515625" style="11" bestFit="1" customWidth="1"/>
    <col min="6678" max="6678" width="11" style="11" bestFit="1" customWidth="1"/>
    <col min="6679" max="6912" width="8.85546875" style="11"/>
    <col min="6913" max="6913" width="7.28515625" style="11" bestFit="1" customWidth="1"/>
    <col min="6914" max="6914" width="7.5703125" style="11" bestFit="1" customWidth="1"/>
    <col min="6915" max="6915" width="29.7109375" style="11" bestFit="1" customWidth="1"/>
    <col min="6916" max="6916" width="8.140625" style="11" bestFit="1" customWidth="1"/>
    <col min="6917" max="6917" width="14.28515625" style="11" bestFit="1" customWidth="1"/>
    <col min="6918" max="6918" width="11.42578125" style="11" bestFit="1" customWidth="1"/>
    <col min="6919" max="6919" width="10.7109375" style="11" bestFit="1" customWidth="1"/>
    <col min="6920" max="6920" width="9" style="11" bestFit="1" customWidth="1"/>
    <col min="6921" max="6921" width="36.42578125" style="11" customWidth="1"/>
    <col min="6922" max="6922" width="7" style="11" bestFit="1" customWidth="1"/>
    <col min="6923" max="6923" width="10.7109375" style="11" bestFit="1" customWidth="1"/>
    <col min="6924" max="6924" width="1.28515625" style="11" customWidth="1"/>
    <col min="6925" max="6925" width="10.28515625" style="11" bestFit="1" customWidth="1"/>
    <col min="6926" max="6926" width="7.140625" style="11" bestFit="1" customWidth="1"/>
    <col min="6927" max="6927" width="10.7109375" style="11" bestFit="1" customWidth="1"/>
    <col min="6928" max="6928" width="7.140625" style="11" bestFit="1" customWidth="1"/>
    <col min="6929" max="6929" width="6.28515625" style="11" bestFit="1" customWidth="1"/>
    <col min="6930" max="6930" width="12" style="11" bestFit="1" customWidth="1"/>
    <col min="6931" max="6931" width="15.140625" style="11" bestFit="1" customWidth="1"/>
    <col min="6932" max="6932" width="8.7109375" style="11" bestFit="1" customWidth="1"/>
    <col min="6933" max="6933" width="6.28515625" style="11" bestFit="1" customWidth="1"/>
    <col min="6934" max="6934" width="11" style="11" bestFit="1" customWidth="1"/>
    <col min="6935" max="7168" width="8.85546875" style="11"/>
    <col min="7169" max="7169" width="7.28515625" style="11" bestFit="1" customWidth="1"/>
    <col min="7170" max="7170" width="7.5703125" style="11" bestFit="1" customWidth="1"/>
    <col min="7171" max="7171" width="29.7109375" style="11" bestFit="1" customWidth="1"/>
    <col min="7172" max="7172" width="8.140625" style="11" bestFit="1" customWidth="1"/>
    <col min="7173" max="7173" width="14.28515625" style="11" bestFit="1" customWidth="1"/>
    <col min="7174" max="7174" width="11.42578125" style="11" bestFit="1" customWidth="1"/>
    <col min="7175" max="7175" width="10.7109375" style="11" bestFit="1" customWidth="1"/>
    <col min="7176" max="7176" width="9" style="11" bestFit="1" customWidth="1"/>
    <col min="7177" max="7177" width="36.42578125" style="11" customWidth="1"/>
    <col min="7178" max="7178" width="7" style="11" bestFit="1" customWidth="1"/>
    <col min="7179" max="7179" width="10.7109375" style="11" bestFit="1" customWidth="1"/>
    <col min="7180" max="7180" width="1.28515625" style="11" customWidth="1"/>
    <col min="7181" max="7181" width="10.28515625" style="11" bestFit="1" customWidth="1"/>
    <col min="7182" max="7182" width="7.140625" style="11" bestFit="1" customWidth="1"/>
    <col min="7183" max="7183" width="10.7109375" style="11" bestFit="1" customWidth="1"/>
    <col min="7184" max="7184" width="7.140625" style="11" bestFit="1" customWidth="1"/>
    <col min="7185" max="7185" width="6.28515625" style="11" bestFit="1" customWidth="1"/>
    <col min="7186" max="7186" width="12" style="11" bestFit="1" customWidth="1"/>
    <col min="7187" max="7187" width="15.140625" style="11" bestFit="1" customWidth="1"/>
    <col min="7188" max="7188" width="8.7109375" style="11" bestFit="1" customWidth="1"/>
    <col min="7189" max="7189" width="6.28515625" style="11" bestFit="1" customWidth="1"/>
    <col min="7190" max="7190" width="11" style="11" bestFit="1" customWidth="1"/>
    <col min="7191" max="7424" width="8.85546875" style="11"/>
    <col min="7425" max="7425" width="7.28515625" style="11" bestFit="1" customWidth="1"/>
    <col min="7426" max="7426" width="7.5703125" style="11" bestFit="1" customWidth="1"/>
    <col min="7427" max="7427" width="29.7109375" style="11" bestFit="1" customWidth="1"/>
    <col min="7428" max="7428" width="8.140625" style="11" bestFit="1" customWidth="1"/>
    <col min="7429" max="7429" width="14.28515625" style="11" bestFit="1" customWidth="1"/>
    <col min="7430" max="7430" width="11.42578125" style="11" bestFit="1" customWidth="1"/>
    <col min="7431" max="7431" width="10.7109375" style="11" bestFit="1" customWidth="1"/>
    <col min="7432" max="7432" width="9" style="11" bestFit="1" customWidth="1"/>
    <col min="7433" max="7433" width="36.42578125" style="11" customWidth="1"/>
    <col min="7434" max="7434" width="7" style="11" bestFit="1" customWidth="1"/>
    <col min="7435" max="7435" width="10.7109375" style="11" bestFit="1" customWidth="1"/>
    <col min="7436" max="7436" width="1.28515625" style="11" customWidth="1"/>
    <col min="7437" max="7437" width="10.28515625" style="11" bestFit="1" customWidth="1"/>
    <col min="7438" max="7438" width="7.140625" style="11" bestFit="1" customWidth="1"/>
    <col min="7439" max="7439" width="10.7109375" style="11" bestFit="1" customWidth="1"/>
    <col min="7440" max="7440" width="7.140625" style="11" bestFit="1" customWidth="1"/>
    <col min="7441" max="7441" width="6.28515625" style="11" bestFit="1" customWidth="1"/>
    <col min="7442" max="7442" width="12" style="11" bestFit="1" customWidth="1"/>
    <col min="7443" max="7443" width="15.140625" style="11" bestFit="1" customWidth="1"/>
    <col min="7444" max="7444" width="8.7109375" style="11" bestFit="1" customWidth="1"/>
    <col min="7445" max="7445" width="6.28515625" style="11" bestFit="1" customWidth="1"/>
    <col min="7446" max="7446" width="11" style="11" bestFit="1" customWidth="1"/>
    <col min="7447" max="7680" width="8.85546875" style="11"/>
    <col min="7681" max="7681" width="7.28515625" style="11" bestFit="1" customWidth="1"/>
    <col min="7682" max="7682" width="7.5703125" style="11" bestFit="1" customWidth="1"/>
    <col min="7683" max="7683" width="29.7109375" style="11" bestFit="1" customWidth="1"/>
    <col min="7684" max="7684" width="8.140625" style="11" bestFit="1" customWidth="1"/>
    <col min="7685" max="7685" width="14.28515625" style="11" bestFit="1" customWidth="1"/>
    <col min="7686" max="7686" width="11.42578125" style="11" bestFit="1" customWidth="1"/>
    <col min="7687" max="7687" width="10.7109375" style="11" bestFit="1" customWidth="1"/>
    <col min="7688" max="7688" width="9" style="11" bestFit="1" customWidth="1"/>
    <col min="7689" max="7689" width="36.42578125" style="11" customWidth="1"/>
    <col min="7690" max="7690" width="7" style="11" bestFit="1" customWidth="1"/>
    <col min="7691" max="7691" width="10.7109375" style="11" bestFit="1" customWidth="1"/>
    <col min="7692" max="7692" width="1.28515625" style="11" customWidth="1"/>
    <col min="7693" max="7693" width="10.28515625" style="11" bestFit="1" customWidth="1"/>
    <col min="7694" max="7694" width="7.140625" style="11" bestFit="1" customWidth="1"/>
    <col min="7695" max="7695" width="10.7109375" style="11" bestFit="1" customWidth="1"/>
    <col min="7696" max="7696" width="7.140625" style="11" bestFit="1" customWidth="1"/>
    <col min="7697" max="7697" width="6.28515625" style="11" bestFit="1" customWidth="1"/>
    <col min="7698" max="7698" width="12" style="11" bestFit="1" customWidth="1"/>
    <col min="7699" max="7699" width="15.140625" style="11" bestFit="1" customWidth="1"/>
    <col min="7700" max="7700" width="8.7109375" style="11" bestFit="1" customWidth="1"/>
    <col min="7701" max="7701" width="6.28515625" style="11" bestFit="1" customWidth="1"/>
    <col min="7702" max="7702" width="11" style="11" bestFit="1" customWidth="1"/>
    <col min="7703" max="7936" width="8.85546875" style="11"/>
    <col min="7937" max="7937" width="7.28515625" style="11" bestFit="1" customWidth="1"/>
    <col min="7938" max="7938" width="7.5703125" style="11" bestFit="1" customWidth="1"/>
    <col min="7939" max="7939" width="29.7109375" style="11" bestFit="1" customWidth="1"/>
    <col min="7940" max="7940" width="8.140625" style="11" bestFit="1" customWidth="1"/>
    <col min="7941" max="7941" width="14.28515625" style="11" bestFit="1" customWidth="1"/>
    <col min="7942" max="7942" width="11.42578125" style="11" bestFit="1" customWidth="1"/>
    <col min="7943" max="7943" width="10.7109375" style="11" bestFit="1" customWidth="1"/>
    <col min="7944" max="7944" width="9" style="11" bestFit="1" customWidth="1"/>
    <col min="7945" max="7945" width="36.42578125" style="11" customWidth="1"/>
    <col min="7946" max="7946" width="7" style="11" bestFit="1" customWidth="1"/>
    <col min="7947" max="7947" width="10.7109375" style="11" bestFit="1" customWidth="1"/>
    <col min="7948" max="7948" width="1.28515625" style="11" customWidth="1"/>
    <col min="7949" max="7949" width="10.28515625" style="11" bestFit="1" customWidth="1"/>
    <col min="7950" max="7950" width="7.140625" style="11" bestFit="1" customWidth="1"/>
    <col min="7951" max="7951" width="10.7109375" style="11" bestFit="1" customWidth="1"/>
    <col min="7952" max="7952" width="7.140625" style="11" bestFit="1" customWidth="1"/>
    <col min="7953" max="7953" width="6.28515625" style="11" bestFit="1" customWidth="1"/>
    <col min="7954" max="7954" width="12" style="11" bestFit="1" customWidth="1"/>
    <col min="7955" max="7955" width="15.140625" style="11" bestFit="1" customWidth="1"/>
    <col min="7956" max="7956" width="8.7109375" style="11" bestFit="1" customWidth="1"/>
    <col min="7957" max="7957" width="6.28515625" style="11" bestFit="1" customWidth="1"/>
    <col min="7958" max="7958" width="11" style="11" bestFit="1" customWidth="1"/>
    <col min="7959" max="8192" width="8.85546875" style="11"/>
    <col min="8193" max="8193" width="7.28515625" style="11" bestFit="1" customWidth="1"/>
    <col min="8194" max="8194" width="7.5703125" style="11" bestFit="1" customWidth="1"/>
    <col min="8195" max="8195" width="29.7109375" style="11" bestFit="1" customWidth="1"/>
    <col min="8196" max="8196" width="8.140625" style="11" bestFit="1" customWidth="1"/>
    <col min="8197" max="8197" width="14.28515625" style="11" bestFit="1" customWidth="1"/>
    <col min="8198" max="8198" width="11.42578125" style="11" bestFit="1" customWidth="1"/>
    <col min="8199" max="8199" width="10.7109375" style="11" bestFit="1" customWidth="1"/>
    <col min="8200" max="8200" width="9" style="11" bestFit="1" customWidth="1"/>
    <col min="8201" max="8201" width="36.42578125" style="11" customWidth="1"/>
    <col min="8202" max="8202" width="7" style="11" bestFit="1" customWidth="1"/>
    <col min="8203" max="8203" width="10.7109375" style="11" bestFit="1" customWidth="1"/>
    <col min="8204" max="8204" width="1.28515625" style="11" customWidth="1"/>
    <col min="8205" max="8205" width="10.28515625" style="11" bestFit="1" customWidth="1"/>
    <col min="8206" max="8206" width="7.140625" style="11" bestFit="1" customWidth="1"/>
    <col min="8207" max="8207" width="10.7109375" style="11" bestFit="1" customWidth="1"/>
    <col min="8208" max="8208" width="7.140625" style="11" bestFit="1" customWidth="1"/>
    <col min="8209" max="8209" width="6.28515625" style="11" bestFit="1" customWidth="1"/>
    <col min="8210" max="8210" width="12" style="11" bestFit="1" customWidth="1"/>
    <col min="8211" max="8211" width="15.140625" style="11" bestFit="1" customWidth="1"/>
    <col min="8212" max="8212" width="8.7109375" style="11" bestFit="1" customWidth="1"/>
    <col min="8213" max="8213" width="6.28515625" style="11" bestFit="1" customWidth="1"/>
    <col min="8214" max="8214" width="11" style="11" bestFit="1" customWidth="1"/>
    <col min="8215" max="8448" width="8.85546875" style="11"/>
    <col min="8449" max="8449" width="7.28515625" style="11" bestFit="1" customWidth="1"/>
    <col min="8450" max="8450" width="7.5703125" style="11" bestFit="1" customWidth="1"/>
    <col min="8451" max="8451" width="29.7109375" style="11" bestFit="1" customWidth="1"/>
    <col min="8452" max="8452" width="8.140625" style="11" bestFit="1" customWidth="1"/>
    <col min="8453" max="8453" width="14.28515625" style="11" bestFit="1" customWidth="1"/>
    <col min="8454" max="8454" width="11.42578125" style="11" bestFit="1" customWidth="1"/>
    <col min="8455" max="8455" width="10.7109375" style="11" bestFit="1" customWidth="1"/>
    <col min="8456" max="8456" width="9" style="11" bestFit="1" customWidth="1"/>
    <col min="8457" max="8457" width="36.42578125" style="11" customWidth="1"/>
    <col min="8458" max="8458" width="7" style="11" bestFit="1" customWidth="1"/>
    <col min="8459" max="8459" width="10.7109375" style="11" bestFit="1" customWidth="1"/>
    <col min="8460" max="8460" width="1.28515625" style="11" customWidth="1"/>
    <col min="8461" max="8461" width="10.28515625" style="11" bestFit="1" customWidth="1"/>
    <col min="8462" max="8462" width="7.140625" style="11" bestFit="1" customWidth="1"/>
    <col min="8463" max="8463" width="10.7109375" style="11" bestFit="1" customWidth="1"/>
    <col min="8464" max="8464" width="7.140625" style="11" bestFit="1" customWidth="1"/>
    <col min="8465" max="8465" width="6.28515625" style="11" bestFit="1" customWidth="1"/>
    <col min="8466" max="8466" width="12" style="11" bestFit="1" customWidth="1"/>
    <col min="8467" max="8467" width="15.140625" style="11" bestFit="1" customWidth="1"/>
    <col min="8468" max="8468" width="8.7109375" style="11" bestFit="1" customWidth="1"/>
    <col min="8469" max="8469" width="6.28515625" style="11" bestFit="1" customWidth="1"/>
    <col min="8470" max="8470" width="11" style="11" bestFit="1" customWidth="1"/>
    <col min="8471" max="8704" width="8.85546875" style="11"/>
    <col min="8705" max="8705" width="7.28515625" style="11" bestFit="1" customWidth="1"/>
    <col min="8706" max="8706" width="7.5703125" style="11" bestFit="1" customWidth="1"/>
    <col min="8707" max="8707" width="29.7109375" style="11" bestFit="1" customWidth="1"/>
    <col min="8708" max="8708" width="8.140625" style="11" bestFit="1" customWidth="1"/>
    <col min="8709" max="8709" width="14.28515625" style="11" bestFit="1" customWidth="1"/>
    <col min="8710" max="8710" width="11.42578125" style="11" bestFit="1" customWidth="1"/>
    <col min="8711" max="8711" width="10.7109375" style="11" bestFit="1" customWidth="1"/>
    <col min="8712" max="8712" width="9" style="11" bestFit="1" customWidth="1"/>
    <col min="8713" max="8713" width="36.42578125" style="11" customWidth="1"/>
    <col min="8714" max="8714" width="7" style="11" bestFit="1" customWidth="1"/>
    <col min="8715" max="8715" width="10.7109375" style="11" bestFit="1" customWidth="1"/>
    <col min="8716" max="8716" width="1.28515625" style="11" customWidth="1"/>
    <col min="8717" max="8717" width="10.28515625" style="11" bestFit="1" customWidth="1"/>
    <col min="8718" max="8718" width="7.140625" style="11" bestFit="1" customWidth="1"/>
    <col min="8719" max="8719" width="10.7109375" style="11" bestFit="1" customWidth="1"/>
    <col min="8720" max="8720" width="7.140625" style="11" bestFit="1" customWidth="1"/>
    <col min="8721" max="8721" width="6.28515625" style="11" bestFit="1" customWidth="1"/>
    <col min="8722" max="8722" width="12" style="11" bestFit="1" customWidth="1"/>
    <col min="8723" max="8723" width="15.140625" style="11" bestFit="1" customWidth="1"/>
    <col min="8724" max="8724" width="8.7109375" style="11" bestFit="1" customWidth="1"/>
    <col min="8725" max="8725" width="6.28515625" style="11" bestFit="1" customWidth="1"/>
    <col min="8726" max="8726" width="11" style="11" bestFit="1" customWidth="1"/>
    <col min="8727" max="8960" width="8.85546875" style="11"/>
    <col min="8961" max="8961" width="7.28515625" style="11" bestFit="1" customWidth="1"/>
    <col min="8962" max="8962" width="7.5703125" style="11" bestFit="1" customWidth="1"/>
    <col min="8963" max="8963" width="29.7109375" style="11" bestFit="1" customWidth="1"/>
    <col min="8964" max="8964" width="8.140625" style="11" bestFit="1" customWidth="1"/>
    <col min="8965" max="8965" width="14.28515625" style="11" bestFit="1" customWidth="1"/>
    <col min="8966" max="8966" width="11.42578125" style="11" bestFit="1" customWidth="1"/>
    <col min="8967" max="8967" width="10.7109375" style="11" bestFit="1" customWidth="1"/>
    <col min="8968" max="8968" width="9" style="11" bestFit="1" customWidth="1"/>
    <col min="8969" max="8969" width="36.42578125" style="11" customWidth="1"/>
    <col min="8970" max="8970" width="7" style="11" bestFit="1" customWidth="1"/>
    <col min="8971" max="8971" width="10.7109375" style="11" bestFit="1" customWidth="1"/>
    <col min="8972" max="8972" width="1.28515625" style="11" customWidth="1"/>
    <col min="8973" max="8973" width="10.28515625" style="11" bestFit="1" customWidth="1"/>
    <col min="8974" max="8974" width="7.140625" style="11" bestFit="1" customWidth="1"/>
    <col min="8975" max="8975" width="10.7109375" style="11" bestFit="1" customWidth="1"/>
    <col min="8976" max="8976" width="7.140625" style="11" bestFit="1" customWidth="1"/>
    <col min="8977" max="8977" width="6.28515625" style="11" bestFit="1" customWidth="1"/>
    <col min="8978" max="8978" width="12" style="11" bestFit="1" customWidth="1"/>
    <col min="8979" max="8979" width="15.140625" style="11" bestFit="1" customWidth="1"/>
    <col min="8980" max="8980" width="8.7109375" style="11" bestFit="1" customWidth="1"/>
    <col min="8981" max="8981" width="6.28515625" style="11" bestFit="1" customWidth="1"/>
    <col min="8982" max="8982" width="11" style="11" bestFit="1" customWidth="1"/>
    <col min="8983" max="9216" width="8.85546875" style="11"/>
    <col min="9217" max="9217" width="7.28515625" style="11" bestFit="1" customWidth="1"/>
    <col min="9218" max="9218" width="7.5703125" style="11" bestFit="1" customWidth="1"/>
    <col min="9219" max="9219" width="29.7109375" style="11" bestFit="1" customWidth="1"/>
    <col min="9220" max="9220" width="8.140625" style="11" bestFit="1" customWidth="1"/>
    <col min="9221" max="9221" width="14.28515625" style="11" bestFit="1" customWidth="1"/>
    <col min="9222" max="9222" width="11.42578125" style="11" bestFit="1" customWidth="1"/>
    <col min="9223" max="9223" width="10.7109375" style="11" bestFit="1" customWidth="1"/>
    <col min="9224" max="9224" width="9" style="11" bestFit="1" customWidth="1"/>
    <col min="9225" max="9225" width="36.42578125" style="11" customWidth="1"/>
    <col min="9226" max="9226" width="7" style="11" bestFit="1" customWidth="1"/>
    <col min="9227" max="9227" width="10.7109375" style="11" bestFit="1" customWidth="1"/>
    <col min="9228" max="9228" width="1.28515625" style="11" customWidth="1"/>
    <col min="9229" max="9229" width="10.28515625" style="11" bestFit="1" customWidth="1"/>
    <col min="9230" max="9230" width="7.140625" style="11" bestFit="1" customWidth="1"/>
    <col min="9231" max="9231" width="10.7109375" style="11" bestFit="1" customWidth="1"/>
    <col min="9232" max="9232" width="7.140625" style="11" bestFit="1" customWidth="1"/>
    <col min="9233" max="9233" width="6.28515625" style="11" bestFit="1" customWidth="1"/>
    <col min="9234" max="9234" width="12" style="11" bestFit="1" customWidth="1"/>
    <col min="9235" max="9235" width="15.140625" style="11" bestFit="1" customWidth="1"/>
    <col min="9236" max="9236" width="8.7109375" style="11" bestFit="1" customWidth="1"/>
    <col min="9237" max="9237" width="6.28515625" style="11" bestFit="1" customWidth="1"/>
    <col min="9238" max="9238" width="11" style="11" bestFit="1" customWidth="1"/>
    <col min="9239" max="9472" width="8.85546875" style="11"/>
    <col min="9473" max="9473" width="7.28515625" style="11" bestFit="1" customWidth="1"/>
    <col min="9474" max="9474" width="7.5703125" style="11" bestFit="1" customWidth="1"/>
    <col min="9475" max="9475" width="29.7109375" style="11" bestFit="1" customWidth="1"/>
    <col min="9476" max="9476" width="8.140625" style="11" bestFit="1" customWidth="1"/>
    <col min="9477" max="9477" width="14.28515625" style="11" bestFit="1" customWidth="1"/>
    <col min="9478" max="9478" width="11.42578125" style="11" bestFit="1" customWidth="1"/>
    <col min="9479" max="9479" width="10.7109375" style="11" bestFit="1" customWidth="1"/>
    <col min="9480" max="9480" width="9" style="11" bestFit="1" customWidth="1"/>
    <col min="9481" max="9481" width="36.42578125" style="11" customWidth="1"/>
    <col min="9482" max="9482" width="7" style="11" bestFit="1" customWidth="1"/>
    <col min="9483" max="9483" width="10.7109375" style="11" bestFit="1" customWidth="1"/>
    <col min="9484" max="9484" width="1.28515625" style="11" customWidth="1"/>
    <col min="9485" max="9485" width="10.28515625" style="11" bestFit="1" customWidth="1"/>
    <col min="9486" max="9486" width="7.140625" style="11" bestFit="1" customWidth="1"/>
    <col min="9487" max="9487" width="10.7109375" style="11" bestFit="1" customWidth="1"/>
    <col min="9488" max="9488" width="7.140625" style="11" bestFit="1" customWidth="1"/>
    <col min="9489" max="9489" width="6.28515625" style="11" bestFit="1" customWidth="1"/>
    <col min="9490" max="9490" width="12" style="11" bestFit="1" customWidth="1"/>
    <col min="9491" max="9491" width="15.140625" style="11" bestFit="1" customWidth="1"/>
    <col min="9492" max="9492" width="8.7109375" style="11" bestFit="1" customWidth="1"/>
    <col min="9493" max="9493" width="6.28515625" style="11" bestFit="1" customWidth="1"/>
    <col min="9494" max="9494" width="11" style="11" bestFit="1" customWidth="1"/>
    <col min="9495" max="9728" width="8.85546875" style="11"/>
    <col min="9729" max="9729" width="7.28515625" style="11" bestFit="1" customWidth="1"/>
    <col min="9730" max="9730" width="7.5703125" style="11" bestFit="1" customWidth="1"/>
    <col min="9731" max="9731" width="29.7109375" style="11" bestFit="1" customWidth="1"/>
    <col min="9732" max="9732" width="8.140625" style="11" bestFit="1" customWidth="1"/>
    <col min="9733" max="9733" width="14.28515625" style="11" bestFit="1" customWidth="1"/>
    <col min="9734" max="9734" width="11.42578125" style="11" bestFit="1" customWidth="1"/>
    <col min="9735" max="9735" width="10.7109375" style="11" bestFit="1" customWidth="1"/>
    <col min="9736" max="9736" width="9" style="11" bestFit="1" customWidth="1"/>
    <col min="9737" max="9737" width="36.42578125" style="11" customWidth="1"/>
    <col min="9738" max="9738" width="7" style="11" bestFit="1" customWidth="1"/>
    <col min="9739" max="9739" width="10.7109375" style="11" bestFit="1" customWidth="1"/>
    <col min="9740" max="9740" width="1.28515625" style="11" customWidth="1"/>
    <col min="9741" max="9741" width="10.28515625" style="11" bestFit="1" customWidth="1"/>
    <col min="9742" max="9742" width="7.140625" style="11" bestFit="1" customWidth="1"/>
    <col min="9743" max="9743" width="10.7109375" style="11" bestFit="1" customWidth="1"/>
    <col min="9744" max="9744" width="7.140625" style="11" bestFit="1" customWidth="1"/>
    <col min="9745" max="9745" width="6.28515625" style="11" bestFit="1" customWidth="1"/>
    <col min="9746" max="9746" width="12" style="11" bestFit="1" customWidth="1"/>
    <col min="9747" max="9747" width="15.140625" style="11" bestFit="1" customWidth="1"/>
    <col min="9748" max="9748" width="8.7109375" style="11" bestFit="1" customWidth="1"/>
    <col min="9749" max="9749" width="6.28515625" style="11" bestFit="1" customWidth="1"/>
    <col min="9750" max="9750" width="11" style="11" bestFit="1" customWidth="1"/>
    <col min="9751" max="9984" width="8.85546875" style="11"/>
    <col min="9985" max="9985" width="7.28515625" style="11" bestFit="1" customWidth="1"/>
    <col min="9986" max="9986" width="7.5703125" style="11" bestFit="1" customWidth="1"/>
    <col min="9987" max="9987" width="29.7109375" style="11" bestFit="1" customWidth="1"/>
    <col min="9988" max="9988" width="8.140625" style="11" bestFit="1" customWidth="1"/>
    <col min="9989" max="9989" width="14.28515625" style="11" bestFit="1" customWidth="1"/>
    <col min="9990" max="9990" width="11.42578125" style="11" bestFit="1" customWidth="1"/>
    <col min="9991" max="9991" width="10.7109375" style="11" bestFit="1" customWidth="1"/>
    <col min="9992" max="9992" width="9" style="11" bestFit="1" customWidth="1"/>
    <col min="9993" max="9993" width="36.42578125" style="11" customWidth="1"/>
    <col min="9994" max="9994" width="7" style="11" bestFit="1" customWidth="1"/>
    <col min="9995" max="9995" width="10.7109375" style="11" bestFit="1" customWidth="1"/>
    <col min="9996" max="9996" width="1.28515625" style="11" customWidth="1"/>
    <col min="9997" max="9997" width="10.28515625" style="11" bestFit="1" customWidth="1"/>
    <col min="9998" max="9998" width="7.140625" style="11" bestFit="1" customWidth="1"/>
    <col min="9999" max="9999" width="10.7109375" style="11" bestFit="1" customWidth="1"/>
    <col min="10000" max="10000" width="7.140625" style="11" bestFit="1" customWidth="1"/>
    <col min="10001" max="10001" width="6.28515625" style="11" bestFit="1" customWidth="1"/>
    <col min="10002" max="10002" width="12" style="11" bestFit="1" customWidth="1"/>
    <col min="10003" max="10003" width="15.140625" style="11" bestFit="1" customWidth="1"/>
    <col min="10004" max="10004" width="8.7109375" style="11" bestFit="1" customWidth="1"/>
    <col min="10005" max="10005" width="6.28515625" style="11" bestFit="1" customWidth="1"/>
    <col min="10006" max="10006" width="11" style="11" bestFit="1" customWidth="1"/>
    <col min="10007" max="10240" width="8.85546875" style="11"/>
    <col min="10241" max="10241" width="7.28515625" style="11" bestFit="1" customWidth="1"/>
    <col min="10242" max="10242" width="7.5703125" style="11" bestFit="1" customWidth="1"/>
    <col min="10243" max="10243" width="29.7109375" style="11" bestFit="1" customWidth="1"/>
    <col min="10244" max="10244" width="8.140625" style="11" bestFit="1" customWidth="1"/>
    <col min="10245" max="10245" width="14.28515625" style="11" bestFit="1" customWidth="1"/>
    <col min="10246" max="10246" width="11.42578125" style="11" bestFit="1" customWidth="1"/>
    <col min="10247" max="10247" width="10.7109375" style="11" bestFit="1" customWidth="1"/>
    <col min="10248" max="10248" width="9" style="11" bestFit="1" customWidth="1"/>
    <col min="10249" max="10249" width="36.42578125" style="11" customWidth="1"/>
    <col min="10250" max="10250" width="7" style="11" bestFit="1" customWidth="1"/>
    <col min="10251" max="10251" width="10.7109375" style="11" bestFit="1" customWidth="1"/>
    <col min="10252" max="10252" width="1.28515625" style="11" customWidth="1"/>
    <col min="10253" max="10253" width="10.28515625" style="11" bestFit="1" customWidth="1"/>
    <col min="10254" max="10254" width="7.140625" style="11" bestFit="1" customWidth="1"/>
    <col min="10255" max="10255" width="10.7109375" style="11" bestFit="1" customWidth="1"/>
    <col min="10256" max="10256" width="7.140625" style="11" bestFit="1" customWidth="1"/>
    <col min="10257" max="10257" width="6.28515625" style="11" bestFit="1" customWidth="1"/>
    <col min="10258" max="10258" width="12" style="11" bestFit="1" customWidth="1"/>
    <col min="10259" max="10259" width="15.140625" style="11" bestFit="1" customWidth="1"/>
    <col min="10260" max="10260" width="8.7109375" style="11" bestFit="1" customWidth="1"/>
    <col min="10261" max="10261" width="6.28515625" style="11" bestFit="1" customWidth="1"/>
    <col min="10262" max="10262" width="11" style="11" bestFit="1" customWidth="1"/>
    <col min="10263" max="10496" width="8.85546875" style="11"/>
    <col min="10497" max="10497" width="7.28515625" style="11" bestFit="1" customWidth="1"/>
    <col min="10498" max="10498" width="7.5703125" style="11" bestFit="1" customWidth="1"/>
    <col min="10499" max="10499" width="29.7109375" style="11" bestFit="1" customWidth="1"/>
    <col min="10500" max="10500" width="8.140625" style="11" bestFit="1" customWidth="1"/>
    <col min="10501" max="10501" width="14.28515625" style="11" bestFit="1" customWidth="1"/>
    <col min="10502" max="10502" width="11.42578125" style="11" bestFit="1" customWidth="1"/>
    <col min="10503" max="10503" width="10.7109375" style="11" bestFit="1" customWidth="1"/>
    <col min="10504" max="10504" width="9" style="11" bestFit="1" customWidth="1"/>
    <col min="10505" max="10505" width="36.42578125" style="11" customWidth="1"/>
    <col min="10506" max="10506" width="7" style="11" bestFit="1" customWidth="1"/>
    <col min="10507" max="10507" width="10.7109375" style="11" bestFit="1" customWidth="1"/>
    <col min="10508" max="10508" width="1.28515625" style="11" customWidth="1"/>
    <col min="10509" max="10509" width="10.28515625" style="11" bestFit="1" customWidth="1"/>
    <col min="10510" max="10510" width="7.140625" style="11" bestFit="1" customWidth="1"/>
    <col min="10511" max="10511" width="10.7109375" style="11" bestFit="1" customWidth="1"/>
    <col min="10512" max="10512" width="7.140625" style="11" bestFit="1" customWidth="1"/>
    <col min="10513" max="10513" width="6.28515625" style="11" bestFit="1" customWidth="1"/>
    <col min="10514" max="10514" width="12" style="11" bestFit="1" customWidth="1"/>
    <col min="10515" max="10515" width="15.140625" style="11" bestFit="1" customWidth="1"/>
    <col min="10516" max="10516" width="8.7109375" style="11" bestFit="1" customWidth="1"/>
    <col min="10517" max="10517" width="6.28515625" style="11" bestFit="1" customWidth="1"/>
    <col min="10518" max="10518" width="11" style="11" bestFit="1" customWidth="1"/>
    <col min="10519" max="10752" width="8.85546875" style="11"/>
    <col min="10753" max="10753" width="7.28515625" style="11" bestFit="1" customWidth="1"/>
    <col min="10754" max="10754" width="7.5703125" style="11" bestFit="1" customWidth="1"/>
    <col min="10755" max="10755" width="29.7109375" style="11" bestFit="1" customWidth="1"/>
    <col min="10756" max="10756" width="8.140625" style="11" bestFit="1" customWidth="1"/>
    <col min="10757" max="10757" width="14.28515625" style="11" bestFit="1" customWidth="1"/>
    <col min="10758" max="10758" width="11.42578125" style="11" bestFit="1" customWidth="1"/>
    <col min="10759" max="10759" width="10.7109375" style="11" bestFit="1" customWidth="1"/>
    <col min="10760" max="10760" width="9" style="11" bestFit="1" customWidth="1"/>
    <col min="10761" max="10761" width="36.42578125" style="11" customWidth="1"/>
    <col min="10762" max="10762" width="7" style="11" bestFit="1" customWidth="1"/>
    <col min="10763" max="10763" width="10.7109375" style="11" bestFit="1" customWidth="1"/>
    <col min="10764" max="10764" width="1.28515625" style="11" customWidth="1"/>
    <col min="10765" max="10765" width="10.28515625" style="11" bestFit="1" customWidth="1"/>
    <col min="10766" max="10766" width="7.140625" style="11" bestFit="1" customWidth="1"/>
    <col min="10767" max="10767" width="10.7109375" style="11" bestFit="1" customWidth="1"/>
    <col min="10768" max="10768" width="7.140625" style="11" bestFit="1" customWidth="1"/>
    <col min="10769" max="10769" width="6.28515625" style="11" bestFit="1" customWidth="1"/>
    <col min="10770" max="10770" width="12" style="11" bestFit="1" customWidth="1"/>
    <col min="10771" max="10771" width="15.140625" style="11" bestFit="1" customWidth="1"/>
    <col min="10772" max="10772" width="8.7109375" style="11" bestFit="1" customWidth="1"/>
    <col min="10773" max="10773" width="6.28515625" style="11" bestFit="1" customWidth="1"/>
    <col min="10774" max="10774" width="11" style="11" bestFit="1" customWidth="1"/>
    <col min="10775" max="11008" width="8.85546875" style="11"/>
    <col min="11009" max="11009" width="7.28515625" style="11" bestFit="1" customWidth="1"/>
    <col min="11010" max="11010" width="7.5703125" style="11" bestFit="1" customWidth="1"/>
    <col min="11011" max="11011" width="29.7109375" style="11" bestFit="1" customWidth="1"/>
    <col min="11012" max="11012" width="8.140625" style="11" bestFit="1" customWidth="1"/>
    <col min="11013" max="11013" width="14.28515625" style="11" bestFit="1" customWidth="1"/>
    <col min="11014" max="11014" width="11.42578125" style="11" bestFit="1" customWidth="1"/>
    <col min="11015" max="11015" width="10.7109375" style="11" bestFit="1" customWidth="1"/>
    <col min="11016" max="11016" width="9" style="11" bestFit="1" customWidth="1"/>
    <col min="11017" max="11017" width="36.42578125" style="11" customWidth="1"/>
    <col min="11018" max="11018" width="7" style="11" bestFit="1" customWidth="1"/>
    <col min="11019" max="11019" width="10.7109375" style="11" bestFit="1" customWidth="1"/>
    <col min="11020" max="11020" width="1.28515625" style="11" customWidth="1"/>
    <col min="11021" max="11021" width="10.28515625" style="11" bestFit="1" customWidth="1"/>
    <col min="11022" max="11022" width="7.140625" style="11" bestFit="1" customWidth="1"/>
    <col min="11023" max="11023" width="10.7109375" style="11" bestFit="1" customWidth="1"/>
    <col min="11024" max="11024" width="7.140625" style="11" bestFit="1" customWidth="1"/>
    <col min="11025" max="11025" width="6.28515625" style="11" bestFit="1" customWidth="1"/>
    <col min="11026" max="11026" width="12" style="11" bestFit="1" customWidth="1"/>
    <col min="11027" max="11027" width="15.140625" style="11" bestFit="1" customWidth="1"/>
    <col min="11028" max="11028" width="8.7109375" style="11" bestFit="1" customWidth="1"/>
    <col min="11029" max="11029" width="6.28515625" style="11" bestFit="1" customWidth="1"/>
    <col min="11030" max="11030" width="11" style="11" bestFit="1" customWidth="1"/>
    <col min="11031" max="11264" width="8.85546875" style="11"/>
    <col min="11265" max="11265" width="7.28515625" style="11" bestFit="1" customWidth="1"/>
    <col min="11266" max="11266" width="7.5703125" style="11" bestFit="1" customWidth="1"/>
    <col min="11267" max="11267" width="29.7109375" style="11" bestFit="1" customWidth="1"/>
    <col min="11268" max="11268" width="8.140625" style="11" bestFit="1" customWidth="1"/>
    <col min="11269" max="11269" width="14.28515625" style="11" bestFit="1" customWidth="1"/>
    <col min="11270" max="11270" width="11.42578125" style="11" bestFit="1" customWidth="1"/>
    <col min="11271" max="11271" width="10.7109375" style="11" bestFit="1" customWidth="1"/>
    <col min="11272" max="11272" width="9" style="11" bestFit="1" customWidth="1"/>
    <col min="11273" max="11273" width="36.42578125" style="11" customWidth="1"/>
    <col min="11274" max="11274" width="7" style="11" bestFit="1" customWidth="1"/>
    <col min="11275" max="11275" width="10.7109375" style="11" bestFit="1" customWidth="1"/>
    <col min="11276" max="11276" width="1.28515625" style="11" customWidth="1"/>
    <col min="11277" max="11277" width="10.28515625" style="11" bestFit="1" customWidth="1"/>
    <col min="11278" max="11278" width="7.140625" style="11" bestFit="1" customWidth="1"/>
    <col min="11279" max="11279" width="10.7109375" style="11" bestFit="1" customWidth="1"/>
    <col min="11280" max="11280" width="7.140625" style="11" bestFit="1" customWidth="1"/>
    <col min="11281" max="11281" width="6.28515625" style="11" bestFit="1" customWidth="1"/>
    <col min="11282" max="11282" width="12" style="11" bestFit="1" customWidth="1"/>
    <col min="11283" max="11283" width="15.140625" style="11" bestFit="1" customWidth="1"/>
    <col min="11284" max="11284" width="8.7109375" style="11" bestFit="1" customWidth="1"/>
    <col min="11285" max="11285" width="6.28515625" style="11" bestFit="1" customWidth="1"/>
    <col min="11286" max="11286" width="11" style="11" bestFit="1" customWidth="1"/>
    <col min="11287" max="11520" width="8.85546875" style="11"/>
    <col min="11521" max="11521" width="7.28515625" style="11" bestFit="1" customWidth="1"/>
    <col min="11522" max="11522" width="7.5703125" style="11" bestFit="1" customWidth="1"/>
    <col min="11523" max="11523" width="29.7109375" style="11" bestFit="1" customWidth="1"/>
    <col min="11524" max="11524" width="8.140625" style="11" bestFit="1" customWidth="1"/>
    <col min="11525" max="11525" width="14.28515625" style="11" bestFit="1" customWidth="1"/>
    <col min="11526" max="11526" width="11.42578125" style="11" bestFit="1" customWidth="1"/>
    <col min="11527" max="11527" width="10.7109375" style="11" bestFit="1" customWidth="1"/>
    <col min="11528" max="11528" width="9" style="11" bestFit="1" customWidth="1"/>
    <col min="11529" max="11529" width="36.42578125" style="11" customWidth="1"/>
    <col min="11530" max="11530" width="7" style="11" bestFit="1" customWidth="1"/>
    <col min="11531" max="11531" width="10.7109375" style="11" bestFit="1" customWidth="1"/>
    <col min="11532" max="11532" width="1.28515625" style="11" customWidth="1"/>
    <col min="11533" max="11533" width="10.28515625" style="11" bestFit="1" customWidth="1"/>
    <col min="11534" max="11534" width="7.140625" style="11" bestFit="1" customWidth="1"/>
    <col min="11535" max="11535" width="10.7109375" style="11" bestFit="1" customWidth="1"/>
    <col min="11536" max="11536" width="7.140625" style="11" bestFit="1" customWidth="1"/>
    <col min="11537" max="11537" width="6.28515625" style="11" bestFit="1" customWidth="1"/>
    <col min="11538" max="11538" width="12" style="11" bestFit="1" customWidth="1"/>
    <col min="11539" max="11539" width="15.140625" style="11" bestFit="1" customWidth="1"/>
    <col min="11540" max="11540" width="8.7109375" style="11" bestFit="1" customWidth="1"/>
    <col min="11541" max="11541" width="6.28515625" style="11" bestFit="1" customWidth="1"/>
    <col min="11542" max="11542" width="11" style="11" bestFit="1" customWidth="1"/>
    <col min="11543" max="11776" width="8.85546875" style="11"/>
    <col min="11777" max="11777" width="7.28515625" style="11" bestFit="1" customWidth="1"/>
    <col min="11778" max="11778" width="7.5703125" style="11" bestFit="1" customWidth="1"/>
    <col min="11779" max="11779" width="29.7109375" style="11" bestFit="1" customWidth="1"/>
    <col min="11780" max="11780" width="8.140625" style="11" bestFit="1" customWidth="1"/>
    <col min="11781" max="11781" width="14.28515625" style="11" bestFit="1" customWidth="1"/>
    <col min="11782" max="11782" width="11.42578125" style="11" bestFit="1" customWidth="1"/>
    <col min="11783" max="11783" width="10.7109375" style="11" bestFit="1" customWidth="1"/>
    <col min="11784" max="11784" width="9" style="11" bestFit="1" customWidth="1"/>
    <col min="11785" max="11785" width="36.42578125" style="11" customWidth="1"/>
    <col min="11786" max="11786" width="7" style="11" bestFit="1" customWidth="1"/>
    <col min="11787" max="11787" width="10.7109375" style="11" bestFit="1" customWidth="1"/>
    <col min="11788" max="11788" width="1.28515625" style="11" customWidth="1"/>
    <col min="11789" max="11789" width="10.28515625" style="11" bestFit="1" customWidth="1"/>
    <col min="11790" max="11790" width="7.140625" style="11" bestFit="1" customWidth="1"/>
    <col min="11791" max="11791" width="10.7109375" style="11" bestFit="1" customWidth="1"/>
    <col min="11792" max="11792" width="7.140625" style="11" bestFit="1" customWidth="1"/>
    <col min="11793" max="11793" width="6.28515625" style="11" bestFit="1" customWidth="1"/>
    <col min="11794" max="11794" width="12" style="11" bestFit="1" customWidth="1"/>
    <col min="11795" max="11795" width="15.140625" style="11" bestFit="1" customWidth="1"/>
    <col min="11796" max="11796" width="8.7109375" style="11" bestFit="1" customWidth="1"/>
    <col min="11797" max="11797" width="6.28515625" style="11" bestFit="1" customWidth="1"/>
    <col min="11798" max="11798" width="11" style="11" bestFit="1" customWidth="1"/>
    <col min="11799" max="12032" width="8.85546875" style="11"/>
    <col min="12033" max="12033" width="7.28515625" style="11" bestFit="1" customWidth="1"/>
    <col min="12034" max="12034" width="7.5703125" style="11" bestFit="1" customWidth="1"/>
    <col min="12035" max="12035" width="29.7109375" style="11" bestFit="1" customWidth="1"/>
    <col min="12036" max="12036" width="8.140625" style="11" bestFit="1" customWidth="1"/>
    <col min="12037" max="12037" width="14.28515625" style="11" bestFit="1" customWidth="1"/>
    <col min="12038" max="12038" width="11.42578125" style="11" bestFit="1" customWidth="1"/>
    <col min="12039" max="12039" width="10.7109375" style="11" bestFit="1" customWidth="1"/>
    <col min="12040" max="12040" width="9" style="11" bestFit="1" customWidth="1"/>
    <col min="12041" max="12041" width="36.42578125" style="11" customWidth="1"/>
    <col min="12042" max="12042" width="7" style="11" bestFit="1" customWidth="1"/>
    <col min="12043" max="12043" width="10.7109375" style="11" bestFit="1" customWidth="1"/>
    <col min="12044" max="12044" width="1.28515625" style="11" customWidth="1"/>
    <col min="12045" max="12045" width="10.28515625" style="11" bestFit="1" customWidth="1"/>
    <col min="12046" max="12046" width="7.140625" style="11" bestFit="1" customWidth="1"/>
    <col min="12047" max="12047" width="10.7109375" style="11" bestFit="1" customWidth="1"/>
    <col min="12048" max="12048" width="7.140625" style="11" bestFit="1" customWidth="1"/>
    <col min="12049" max="12049" width="6.28515625" style="11" bestFit="1" customWidth="1"/>
    <col min="12050" max="12050" width="12" style="11" bestFit="1" customWidth="1"/>
    <col min="12051" max="12051" width="15.140625" style="11" bestFit="1" customWidth="1"/>
    <col min="12052" max="12052" width="8.7109375" style="11" bestFit="1" customWidth="1"/>
    <col min="12053" max="12053" width="6.28515625" style="11" bestFit="1" customWidth="1"/>
    <col min="12054" max="12054" width="11" style="11" bestFit="1" customWidth="1"/>
    <col min="12055" max="12288" width="8.85546875" style="11"/>
    <col min="12289" max="12289" width="7.28515625" style="11" bestFit="1" customWidth="1"/>
    <col min="12290" max="12290" width="7.5703125" style="11" bestFit="1" customWidth="1"/>
    <col min="12291" max="12291" width="29.7109375" style="11" bestFit="1" customWidth="1"/>
    <col min="12292" max="12292" width="8.140625" style="11" bestFit="1" customWidth="1"/>
    <col min="12293" max="12293" width="14.28515625" style="11" bestFit="1" customWidth="1"/>
    <col min="12294" max="12294" width="11.42578125" style="11" bestFit="1" customWidth="1"/>
    <col min="12295" max="12295" width="10.7109375" style="11" bestFit="1" customWidth="1"/>
    <col min="12296" max="12296" width="9" style="11" bestFit="1" customWidth="1"/>
    <col min="12297" max="12297" width="36.42578125" style="11" customWidth="1"/>
    <col min="12298" max="12298" width="7" style="11" bestFit="1" customWidth="1"/>
    <col min="12299" max="12299" width="10.7109375" style="11" bestFit="1" customWidth="1"/>
    <col min="12300" max="12300" width="1.28515625" style="11" customWidth="1"/>
    <col min="12301" max="12301" width="10.28515625" style="11" bestFit="1" customWidth="1"/>
    <col min="12302" max="12302" width="7.140625" style="11" bestFit="1" customWidth="1"/>
    <col min="12303" max="12303" width="10.7109375" style="11" bestFit="1" customWidth="1"/>
    <col min="12304" max="12304" width="7.140625" style="11" bestFit="1" customWidth="1"/>
    <col min="12305" max="12305" width="6.28515625" style="11" bestFit="1" customWidth="1"/>
    <col min="12306" max="12306" width="12" style="11" bestFit="1" customWidth="1"/>
    <col min="12307" max="12307" width="15.140625" style="11" bestFit="1" customWidth="1"/>
    <col min="12308" max="12308" width="8.7109375" style="11" bestFit="1" customWidth="1"/>
    <col min="12309" max="12309" width="6.28515625" style="11" bestFit="1" customWidth="1"/>
    <col min="12310" max="12310" width="11" style="11" bestFit="1" customWidth="1"/>
    <col min="12311" max="12544" width="8.85546875" style="11"/>
    <col min="12545" max="12545" width="7.28515625" style="11" bestFit="1" customWidth="1"/>
    <col min="12546" max="12546" width="7.5703125" style="11" bestFit="1" customWidth="1"/>
    <col min="12547" max="12547" width="29.7109375" style="11" bestFit="1" customWidth="1"/>
    <col min="12548" max="12548" width="8.140625" style="11" bestFit="1" customWidth="1"/>
    <col min="12549" max="12549" width="14.28515625" style="11" bestFit="1" customWidth="1"/>
    <col min="12550" max="12550" width="11.42578125" style="11" bestFit="1" customWidth="1"/>
    <col min="12551" max="12551" width="10.7109375" style="11" bestFit="1" customWidth="1"/>
    <col min="12552" max="12552" width="9" style="11" bestFit="1" customWidth="1"/>
    <col min="12553" max="12553" width="36.42578125" style="11" customWidth="1"/>
    <col min="12554" max="12554" width="7" style="11" bestFit="1" customWidth="1"/>
    <col min="12555" max="12555" width="10.7109375" style="11" bestFit="1" customWidth="1"/>
    <col min="12556" max="12556" width="1.28515625" style="11" customWidth="1"/>
    <col min="12557" max="12557" width="10.28515625" style="11" bestFit="1" customWidth="1"/>
    <col min="12558" max="12558" width="7.140625" style="11" bestFit="1" customWidth="1"/>
    <col min="12559" max="12559" width="10.7109375" style="11" bestFit="1" customWidth="1"/>
    <col min="12560" max="12560" width="7.140625" style="11" bestFit="1" customWidth="1"/>
    <col min="12561" max="12561" width="6.28515625" style="11" bestFit="1" customWidth="1"/>
    <col min="12562" max="12562" width="12" style="11" bestFit="1" customWidth="1"/>
    <col min="12563" max="12563" width="15.140625" style="11" bestFit="1" customWidth="1"/>
    <col min="12564" max="12564" width="8.7109375" style="11" bestFit="1" customWidth="1"/>
    <col min="12565" max="12565" width="6.28515625" style="11" bestFit="1" customWidth="1"/>
    <col min="12566" max="12566" width="11" style="11" bestFit="1" customWidth="1"/>
    <col min="12567" max="12800" width="8.85546875" style="11"/>
    <col min="12801" max="12801" width="7.28515625" style="11" bestFit="1" customWidth="1"/>
    <col min="12802" max="12802" width="7.5703125" style="11" bestFit="1" customWidth="1"/>
    <col min="12803" max="12803" width="29.7109375" style="11" bestFit="1" customWidth="1"/>
    <col min="12804" max="12804" width="8.140625" style="11" bestFit="1" customWidth="1"/>
    <col min="12805" max="12805" width="14.28515625" style="11" bestFit="1" customWidth="1"/>
    <col min="12806" max="12806" width="11.42578125" style="11" bestFit="1" customWidth="1"/>
    <col min="12807" max="12807" width="10.7109375" style="11" bestFit="1" customWidth="1"/>
    <col min="12808" max="12808" width="9" style="11" bestFit="1" customWidth="1"/>
    <col min="12809" max="12809" width="36.42578125" style="11" customWidth="1"/>
    <col min="12810" max="12810" width="7" style="11" bestFit="1" customWidth="1"/>
    <col min="12811" max="12811" width="10.7109375" style="11" bestFit="1" customWidth="1"/>
    <col min="12812" max="12812" width="1.28515625" style="11" customWidth="1"/>
    <col min="12813" max="12813" width="10.28515625" style="11" bestFit="1" customWidth="1"/>
    <col min="12814" max="12814" width="7.140625" style="11" bestFit="1" customWidth="1"/>
    <col min="12815" max="12815" width="10.7109375" style="11" bestFit="1" customWidth="1"/>
    <col min="12816" max="12816" width="7.140625" style="11" bestFit="1" customWidth="1"/>
    <col min="12817" max="12817" width="6.28515625" style="11" bestFit="1" customWidth="1"/>
    <col min="12818" max="12818" width="12" style="11" bestFit="1" customWidth="1"/>
    <col min="12819" max="12819" width="15.140625" style="11" bestFit="1" customWidth="1"/>
    <col min="12820" max="12820" width="8.7109375" style="11" bestFit="1" customWidth="1"/>
    <col min="12821" max="12821" width="6.28515625" style="11" bestFit="1" customWidth="1"/>
    <col min="12822" max="12822" width="11" style="11" bestFit="1" customWidth="1"/>
    <col min="12823" max="13056" width="8.85546875" style="11"/>
    <col min="13057" max="13057" width="7.28515625" style="11" bestFit="1" customWidth="1"/>
    <col min="13058" max="13058" width="7.5703125" style="11" bestFit="1" customWidth="1"/>
    <col min="13059" max="13059" width="29.7109375" style="11" bestFit="1" customWidth="1"/>
    <col min="13060" max="13060" width="8.140625" style="11" bestFit="1" customWidth="1"/>
    <col min="13061" max="13061" width="14.28515625" style="11" bestFit="1" customWidth="1"/>
    <col min="13062" max="13062" width="11.42578125" style="11" bestFit="1" customWidth="1"/>
    <col min="13063" max="13063" width="10.7109375" style="11" bestFit="1" customWidth="1"/>
    <col min="13064" max="13064" width="9" style="11" bestFit="1" customWidth="1"/>
    <col min="13065" max="13065" width="36.42578125" style="11" customWidth="1"/>
    <col min="13066" max="13066" width="7" style="11" bestFit="1" customWidth="1"/>
    <col min="13067" max="13067" width="10.7109375" style="11" bestFit="1" customWidth="1"/>
    <col min="13068" max="13068" width="1.28515625" style="11" customWidth="1"/>
    <col min="13069" max="13069" width="10.28515625" style="11" bestFit="1" customWidth="1"/>
    <col min="13070" max="13070" width="7.140625" style="11" bestFit="1" customWidth="1"/>
    <col min="13071" max="13071" width="10.7109375" style="11" bestFit="1" customWidth="1"/>
    <col min="13072" max="13072" width="7.140625" style="11" bestFit="1" customWidth="1"/>
    <col min="13073" max="13073" width="6.28515625" style="11" bestFit="1" customWidth="1"/>
    <col min="13074" max="13074" width="12" style="11" bestFit="1" customWidth="1"/>
    <col min="13075" max="13075" width="15.140625" style="11" bestFit="1" customWidth="1"/>
    <col min="13076" max="13076" width="8.7109375" style="11" bestFit="1" customWidth="1"/>
    <col min="13077" max="13077" width="6.28515625" style="11" bestFit="1" customWidth="1"/>
    <col min="13078" max="13078" width="11" style="11" bestFit="1" customWidth="1"/>
    <col min="13079" max="13312" width="8.85546875" style="11"/>
    <col min="13313" max="13313" width="7.28515625" style="11" bestFit="1" customWidth="1"/>
    <col min="13314" max="13314" width="7.5703125" style="11" bestFit="1" customWidth="1"/>
    <col min="13315" max="13315" width="29.7109375" style="11" bestFit="1" customWidth="1"/>
    <col min="13316" max="13316" width="8.140625" style="11" bestFit="1" customWidth="1"/>
    <col min="13317" max="13317" width="14.28515625" style="11" bestFit="1" customWidth="1"/>
    <col min="13318" max="13318" width="11.42578125" style="11" bestFit="1" customWidth="1"/>
    <col min="13319" max="13319" width="10.7109375" style="11" bestFit="1" customWidth="1"/>
    <col min="13320" max="13320" width="9" style="11" bestFit="1" customWidth="1"/>
    <col min="13321" max="13321" width="36.42578125" style="11" customWidth="1"/>
    <col min="13322" max="13322" width="7" style="11" bestFit="1" customWidth="1"/>
    <col min="13323" max="13323" width="10.7109375" style="11" bestFit="1" customWidth="1"/>
    <col min="13324" max="13324" width="1.28515625" style="11" customWidth="1"/>
    <col min="13325" max="13325" width="10.28515625" style="11" bestFit="1" customWidth="1"/>
    <col min="13326" max="13326" width="7.140625" style="11" bestFit="1" customWidth="1"/>
    <col min="13327" max="13327" width="10.7109375" style="11" bestFit="1" customWidth="1"/>
    <col min="13328" max="13328" width="7.140625" style="11" bestFit="1" customWidth="1"/>
    <col min="13329" max="13329" width="6.28515625" style="11" bestFit="1" customWidth="1"/>
    <col min="13330" max="13330" width="12" style="11" bestFit="1" customWidth="1"/>
    <col min="13331" max="13331" width="15.140625" style="11" bestFit="1" customWidth="1"/>
    <col min="13332" max="13332" width="8.7109375" style="11" bestFit="1" customWidth="1"/>
    <col min="13333" max="13333" width="6.28515625" style="11" bestFit="1" customWidth="1"/>
    <col min="13334" max="13334" width="11" style="11" bestFit="1" customWidth="1"/>
    <col min="13335" max="13568" width="8.85546875" style="11"/>
    <col min="13569" max="13569" width="7.28515625" style="11" bestFit="1" customWidth="1"/>
    <col min="13570" max="13570" width="7.5703125" style="11" bestFit="1" customWidth="1"/>
    <col min="13571" max="13571" width="29.7109375" style="11" bestFit="1" customWidth="1"/>
    <col min="13572" max="13572" width="8.140625" style="11" bestFit="1" customWidth="1"/>
    <col min="13573" max="13573" width="14.28515625" style="11" bestFit="1" customWidth="1"/>
    <col min="13574" max="13574" width="11.42578125" style="11" bestFit="1" customWidth="1"/>
    <col min="13575" max="13575" width="10.7109375" style="11" bestFit="1" customWidth="1"/>
    <col min="13576" max="13576" width="9" style="11" bestFit="1" customWidth="1"/>
    <col min="13577" max="13577" width="36.42578125" style="11" customWidth="1"/>
    <col min="13578" max="13578" width="7" style="11" bestFit="1" customWidth="1"/>
    <col min="13579" max="13579" width="10.7109375" style="11" bestFit="1" customWidth="1"/>
    <col min="13580" max="13580" width="1.28515625" style="11" customWidth="1"/>
    <col min="13581" max="13581" width="10.28515625" style="11" bestFit="1" customWidth="1"/>
    <col min="13582" max="13582" width="7.140625" style="11" bestFit="1" customWidth="1"/>
    <col min="13583" max="13583" width="10.7109375" style="11" bestFit="1" customWidth="1"/>
    <col min="13584" max="13584" width="7.140625" style="11" bestFit="1" customWidth="1"/>
    <col min="13585" max="13585" width="6.28515625" style="11" bestFit="1" customWidth="1"/>
    <col min="13586" max="13586" width="12" style="11" bestFit="1" customWidth="1"/>
    <col min="13587" max="13587" width="15.140625" style="11" bestFit="1" customWidth="1"/>
    <col min="13588" max="13588" width="8.7109375" style="11" bestFit="1" customWidth="1"/>
    <col min="13589" max="13589" width="6.28515625" style="11" bestFit="1" customWidth="1"/>
    <col min="13590" max="13590" width="11" style="11" bestFit="1" customWidth="1"/>
    <col min="13591" max="13824" width="8.85546875" style="11"/>
    <col min="13825" max="13825" width="7.28515625" style="11" bestFit="1" customWidth="1"/>
    <col min="13826" max="13826" width="7.5703125" style="11" bestFit="1" customWidth="1"/>
    <col min="13827" max="13827" width="29.7109375" style="11" bestFit="1" customWidth="1"/>
    <col min="13828" max="13828" width="8.140625" style="11" bestFit="1" customWidth="1"/>
    <col min="13829" max="13829" width="14.28515625" style="11" bestFit="1" customWidth="1"/>
    <col min="13830" max="13830" width="11.42578125" style="11" bestFit="1" customWidth="1"/>
    <col min="13831" max="13831" width="10.7109375" style="11" bestFit="1" customWidth="1"/>
    <col min="13832" max="13832" width="9" style="11" bestFit="1" customWidth="1"/>
    <col min="13833" max="13833" width="36.42578125" style="11" customWidth="1"/>
    <col min="13834" max="13834" width="7" style="11" bestFit="1" customWidth="1"/>
    <col min="13835" max="13835" width="10.7109375" style="11" bestFit="1" customWidth="1"/>
    <col min="13836" max="13836" width="1.28515625" style="11" customWidth="1"/>
    <col min="13837" max="13837" width="10.28515625" style="11" bestFit="1" customWidth="1"/>
    <col min="13838" max="13838" width="7.140625" style="11" bestFit="1" customWidth="1"/>
    <col min="13839" max="13839" width="10.7109375" style="11" bestFit="1" customWidth="1"/>
    <col min="13840" max="13840" width="7.140625" style="11" bestFit="1" customWidth="1"/>
    <col min="13841" max="13841" width="6.28515625" style="11" bestFit="1" customWidth="1"/>
    <col min="13842" max="13842" width="12" style="11" bestFit="1" customWidth="1"/>
    <col min="13843" max="13843" width="15.140625" style="11" bestFit="1" customWidth="1"/>
    <col min="13844" max="13844" width="8.7109375" style="11" bestFit="1" customWidth="1"/>
    <col min="13845" max="13845" width="6.28515625" style="11" bestFit="1" customWidth="1"/>
    <col min="13846" max="13846" width="11" style="11" bestFit="1" customWidth="1"/>
    <col min="13847" max="14080" width="8.85546875" style="11"/>
    <col min="14081" max="14081" width="7.28515625" style="11" bestFit="1" customWidth="1"/>
    <col min="14082" max="14082" width="7.5703125" style="11" bestFit="1" customWidth="1"/>
    <col min="14083" max="14083" width="29.7109375" style="11" bestFit="1" customWidth="1"/>
    <col min="14084" max="14084" width="8.140625" style="11" bestFit="1" customWidth="1"/>
    <col min="14085" max="14085" width="14.28515625" style="11" bestFit="1" customWidth="1"/>
    <col min="14086" max="14086" width="11.42578125" style="11" bestFit="1" customWidth="1"/>
    <col min="14087" max="14087" width="10.7109375" style="11" bestFit="1" customWidth="1"/>
    <col min="14088" max="14088" width="9" style="11" bestFit="1" customWidth="1"/>
    <col min="14089" max="14089" width="36.42578125" style="11" customWidth="1"/>
    <col min="14090" max="14090" width="7" style="11" bestFit="1" customWidth="1"/>
    <col min="14091" max="14091" width="10.7109375" style="11" bestFit="1" customWidth="1"/>
    <col min="14092" max="14092" width="1.28515625" style="11" customWidth="1"/>
    <col min="14093" max="14093" width="10.28515625" style="11" bestFit="1" customWidth="1"/>
    <col min="14094" max="14094" width="7.140625" style="11" bestFit="1" customWidth="1"/>
    <col min="14095" max="14095" width="10.7109375" style="11" bestFit="1" customWidth="1"/>
    <col min="14096" max="14096" width="7.140625" style="11" bestFit="1" customWidth="1"/>
    <col min="14097" max="14097" width="6.28515625" style="11" bestFit="1" customWidth="1"/>
    <col min="14098" max="14098" width="12" style="11" bestFit="1" customWidth="1"/>
    <col min="14099" max="14099" width="15.140625" style="11" bestFit="1" customWidth="1"/>
    <col min="14100" max="14100" width="8.7109375" style="11" bestFit="1" customWidth="1"/>
    <col min="14101" max="14101" width="6.28515625" style="11" bestFit="1" customWidth="1"/>
    <col min="14102" max="14102" width="11" style="11" bestFit="1" customWidth="1"/>
    <col min="14103" max="14336" width="8.85546875" style="11"/>
    <col min="14337" max="14337" width="7.28515625" style="11" bestFit="1" customWidth="1"/>
    <col min="14338" max="14338" width="7.5703125" style="11" bestFit="1" customWidth="1"/>
    <col min="14339" max="14339" width="29.7109375" style="11" bestFit="1" customWidth="1"/>
    <col min="14340" max="14340" width="8.140625" style="11" bestFit="1" customWidth="1"/>
    <col min="14341" max="14341" width="14.28515625" style="11" bestFit="1" customWidth="1"/>
    <col min="14342" max="14342" width="11.42578125" style="11" bestFit="1" customWidth="1"/>
    <col min="14343" max="14343" width="10.7109375" style="11" bestFit="1" customWidth="1"/>
    <col min="14344" max="14344" width="9" style="11" bestFit="1" customWidth="1"/>
    <col min="14345" max="14345" width="36.42578125" style="11" customWidth="1"/>
    <col min="14346" max="14346" width="7" style="11" bestFit="1" customWidth="1"/>
    <col min="14347" max="14347" width="10.7109375" style="11" bestFit="1" customWidth="1"/>
    <col min="14348" max="14348" width="1.28515625" style="11" customWidth="1"/>
    <col min="14349" max="14349" width="10.28515625" style="11" bestFit="1" customWidth="1"/>
    <col min="14350" max="14350" width="7.140625" style="11" bestFit="1" customWidth="1"/>
    <col min="14351" max="14351" width="10.7109375" style="11" bestFit="1" customWidth="1"/>
    <col min="14352" max="14352" width="7.140625" style="11" bestFit="1" customWidth="1"/>
    <col min="14353" max="14353" width="6.28515625" style="11" bestFit="1" customWidth="1"/>
    <col min="14354" max="14354" width="12" style="11" bestFit="1" customWidth="1"/>
    <col min="14355" max="14355" width="15.140625" style="11" bestFit="1" customWidth="1"/>
    <col min="14356" max="14356" width="8.7109375" style="11" bestFit="1" customWidth="1"/>
    <col min="14357" max="14357" width="6.28515625" style="11" bestFit="1" customWidth="1"/>
    <col min="14358" max="14358" width="11" style="11" bestFit="1" customWidth="1"/>
    <col min="14359" max="14592" width="8.85546875" style="11"/>
    <col min="14593" max="14593" width="7.28515625" style="11" bestFit="1" customWidth="1"/>
    <col min="14594" max="14594" width="7.5703125" style="11" bestFit="1" customWidth="1"/>
    <col min="14595" max="14595" width="29.7109375" style="11" bestFit="1" customWidth="1"/>
    <col min="14596" max="14596" width="8.140625" style="11" bestFit="1" customWidth="1"/>
    <col min="14597" max="14597" width="14.28515625" style="11" bestFit="1" customWidth="1"/>
    <col min="14598" max="14598" width="11.42578125" style="11" bestFit="1" customWidth="1"/>
    <col min="14599" max="14599" width="10.7109375" style="11" bestFit="1" customWidth="1"/>
    <col min="14600" max="14600" width="9" style="11" bestFit="1" customWidth="1"/>
    <col min="14601" max="14601" width="36.42578125" style="11" customWidth="1"/>
    <col min="14602" max="14602" width="7" style="11" bestFit="1" customWidth="1"/>
    <col min="14603" max="14603" width="10.7109375" style="11" bestFit="1" customWidth="1"/>
    <col min="14604" max="14604" width="1.28515625" style="11" customWidth="1"/>
    <col min="14605" max="14605" width="10.28515625" style="11" bestFit="1" customWidth="1"/>
    <col min="14606" max="14606" width="7.140625" style="11" bestFit="1" customWidth="1"/>
    <col min="14607" max="14607" width="10.7109375" style="11" bestFit="1" customWidth="1"/>
    <col min="14608" max="14608" width="7.140625" style="11" bestFit="1" customWidth="1"/>
    <col min="14609" max="14609" width="6.28515625" style="11" bestFit="1" customWidth="1"/>
    <col min="14610" max="14610" width="12" style="11" bestFit="1" customWidth="1"/>
    <col min="14611" max="14611" width="15.140625" style="11" bestFit="1" customWidth="1"/>
    <col min="14612" max="14612" width="8.7109375" style="11" bestFit="1" customWidth="1"/>
    <col min="14613" max="14613" width="6.28515625" style="11" bestFit="1" customWidth="1"/>
    <col min="14614" max="14614" width="11" style="11" bestFit="1" customWidth="1"/>
    <col min="14615" max="14848" width="8.85546875" style="11"/>
    <col min="14849" max="14849" width="7.28515625" style="11" bestFit="1" customWidth="1"/>
    <col min="14850" max="14850" width="7.5703125" style="11" bestFit="1" customWidth="1"/>
    <col min="14851" max="14851" width="29.7109375" style="11" bestFit="1" customWidth="1"/>
    <col min="14852" max="14852" width="8.140625" style="11" bestFit="1" customWidth="1"/>
    <col min="14853" max="14853" width="14.28515625" style="11" bestFit="1" customWidth="1"/>
    <col min="14854" max="14854" width="11.42578125" style="11" bestFit="1" customWidth="1"/>
    <col min="14855" max="14855" width="10.7109375" style="11" bestFit="1" customWidth="1"/>
    <col min="14856" max="14856" width="9" style="11" bestFit="1" customWidth="1"/>
    <col min="14857" max="14857" width="36.42578125" style="11" customWidth="1"/>
    <col min="14858" max="14858" width="7" style="11" bestFit="1" customWidth="1"/>
    <col min="14859" max="14859" width="10.7109375" style="11" bestFit="1" customWidth="1"/>
    <col min="14860" max="14860" width="1.28515625" style="11" customWidth="1"/>
    <col min="14861" max="14861" width="10.28515625" style="11" bestFit="1" customWidth="1"/>
    <col min="14862" max="14862" width="7.140625" style="11" bestFit="1" customWidth="1"/>
    <col min="14863" max="14863" width="10.7109375" style="11" bestFit="1" customWidth="1"/>
    <col min="14864" max="14864" width="7.140625" style="11" bestFit="1" customWidth="1"/>
    <col min="14865" max="14865" width="6.28515625" style="11" bestFit="1" customWidth="1"/>
    <col min="14866" max="14866" width="12" style="11" bestFit="1" customWidth="1"/>
    <col min="14867" max="14867" width="15.140625" style="11" bestFit="1" customWidth="1"/>
    <col min="14868" max="14868" width="8.7109375" style="11" bestFit="1" customWidth="1"/>
    <col min="14869" max="14869" width="6.28515625" style="11" bestFit="1" customWidth="1"/>
    <col min="14870" max="14870" width="11" style="11" bestFit="1" customWidth="1"/>
    <col min="14871" max="15104" width="8.85546875" style="11"/>
    <col min="15105" max="15105" width="7.28515625" style="11" bestFit="1" customWidth="1"/>
    <col min="15106" max="15106" width="7.5703125" style="11" bestFit="1" customWidth="1"/>
    <col min="15107" max="15107" width="29.7109375" style="11" bestFit="1" customWidth="1"/>
    <col min="15108" max="15108" width="8.140625" style="11" bestFit="1" customWidth="1"/>
    <col min="15109" max="15109" width="14.28515625" style="11" bestFit="1" customWidth="1"/>
    <col min="15110" max="15110" width="11.42578125" style="11" bestFit="1" customWidth="1"/>
    <col min="15111" max="15111" width="10.7109375" style="11" bestFit="1" customWidth="1"/>
    <col min="15112" max="15112" width="9" style="11" bestFit="1" customWidth="1"/>
    <col min="15113" max="15113" width="36.42578125" style="11" customWidth="1"/>
    <col min="15114" max="15114" width="7" style="11" bestFit="1" customWidth="1"/>
    <col min="15115" max="15115" width="10.7109375" style="11" bestFit="1" customWidth="1"/>
    <col min="15116" max="15116" width="1.28515625" style="11" customWidth="1"/>
    <col min="15117" max="15117" width="10.28515625" style="11" bestFit="1" customWidth="1"/>
    <col min="15118" max="15118" width="7.140625" style="11" bestFit="1" customWidth="1"/>
    <col min="15119" max="15119" width="10.7109375" style="11" bestFit="1" customWidth="1"/>
    <col min="15120" max="15120" width="7.140625" style="11" bestFit="1" customWidth="1"/>
    <col min="15121" max="15121" width="6.28515625" style="11" bestFit="1" customWidth="1"/>
    <col min="15122" max="15122" width="12" style="11" bestFit="1" customWidth="1"/>
    <col min="15123" max="15123" width="15.140625" style="11" bestFit="1" customWidth="1"/>
    <col min="15124" max="15124" width="8.7109375" style="11" bestFit="1" customWidth="1"/>
    <col min="15125" max="15125" width="6.28515625" style="11" bestFit="1" customWidth="1"/>
    <col min="15126" max="15126" width="11" style="11" bestFit="1" customWidth="1"/>
    <col min="15127" max="15360" width="8.85546875" style="11"/>
    <col min="15361" max="15361" width="7.28515625" style="11" bestFit="1" customWidth="1"/>
    <col min="15362" max="15362" width="7.5703125" style="11" bestFit="1" customWidth="1"/>
    <col min="15363" max="15363" width="29.7109375" style="11" bestFit="1" customWidth="1"/>
    <col min="15364" max="15364" width="8.140625" style="11" bestFit="1" customWidth="1"/>
    <col min="15365" max="15365" width="14.28515625" style="11" bestFit="1" customWidth="1"/>
    <col min="15366" max="15366" width="11.42578125" style="11" bestFit="1" customWidth="1"/>
    <col min="15367" max="15367" width="10.7109375" style="11" bestFit="1" customWidth="1"/>
    <col min="15368" max="15368" width="9" style="11" bestFit="1" customWidth="1"/>
    <col min="15369" max="15369" width="36.42578125" style="11" customWidth="1"/>
    <col min="15370" max="15370" width="7" style="11" bestFit="1" customWidth="1"/>
    <col min="15371" max="15371" width="10.7109375" style="11" bestFit="1" customWidth="1"/>
    <col min="15372" max="15372" width="1.28515625" style="11" customWidth="1"/>
    <col min="15373" max="15373" width="10.28515625" style="11" bestFit="1" customWidth="1"/>
    <col min="15374" max="15374" width="7.140625" style="11" bestFit="1" customWidth="1"/>
    <col min="15375" max="15375" width="10.7109375" style="11" bestFit="1" customWidth="1"/>
    <col min="15376" max="15376" width="7.140625" style="11" bestFit="1" customWidth="1"/>
    <col min="15377" max="15377" width="6.28515625" style="11" bestFit="1" customWidth="1"/>
    <col min="15378" max="15378" width="12" style="11" bestFit="1" customWidth="1"/>
    <col min="15379" max="15379" width="15.140625" style="11" bestFit="1" customWidth="1"/>
    <col min="15380" max="15380" width="8.7109375" style="11" bestFit="1" customWidth="1"/>
    <col min="15381" max="15381" width="6.28515625" style="11" bestFit="1" customWidth="1"/>
    <col min="15382" max="15382" width="11" style="11" bestFit="1" customWidth="1"/>
    <col min="15383" max="15616" width="8.85546875" style="11"/>
    <col min="15617" max="15617" width="7.28515625" style="11" bestFit="1" customWidth="1"/>
    <col min="15618" max="15618" width="7.5703125" style="11" bestFit="1" customWidth="1"/>
    <col min="15619" max="15619" width="29.7109375" style="11" bestFit="1" customWidth="1"/>
    <col min="15620" max="15620" width="8.140625" style="11" bestFit="1" customWidth="1"/>
    <col min="15621" max="15621" width="14.28515625" style="11" bestFit="1" customWidth="1"/>
    <col min="15622" max="15622" width="11.42578125" style="11" bestFit="1" customWidth="1"/>
    <col min="15623" max="15623" width="10.7109375" style="11" bestFit="1" customWidth="1"/>
    <col min="15624" max="15624" width="9" style="11" bestFit="1" customWidth="1"/>
    <col min="15625" max="15625" width="36.42578125" style="11" customWidth="1"/>
    <col min="15626" max="15626" width="7" style="11" bestFit="1" customWidth="1"/>
    <col min="15627" max="15627" width="10.7109375" style="11" bestFit="1" customWidth="1"/>
    <col min="15628" max="15628" width="1.28515625" style="11" customWidth="1"/>
    <col min="15629" max="15629" width="10.28515625" style="11" bestFit="1" customWidth="1"/>
    <col min="15630" max="15630" width="7.140625" style="11" bestFit="1" customWidth="1"/>
    <col min="15631" max="15631" width="10.7109375" style="11" bestFit="1" customWidth="1"/>
    <col min="15632" max="15632" width="7.140625" style="11" bestFit="1" customWidth="1"/>
    <col min="15633" max="15633" width="6.28515625" style="11" bestFit="1" customWidth="1"/>
    <col min="15634" max="15634" width="12" style="11" bestFit="1" customWidth="1"/>
    <col min="15635" max="15635" width="15.140625" style="11" bestFit="1" customWidth="1"/>
    <col min="15636" max="15636" width="8.7109375" style="11" bestFit="1" customWidth="1"/>
    <col min="15637" max="15637" width="6.28515625" style="11" bestFit="1" customWidth="1"/>
    <col min="15638" max="15638" width="11" style="11" bestFit="1" customWidth="1"/>
    <col min="15639" max="15872" width="8.85546875" style="11"/>
    <col min="15873" max="15873" width="7.28515625" style="11" bestFit="1" customWidth="1"/>
    <col min="15874" max="15874" width="7.5703125" style="11" bestFit="1" customWidth="1"/>
    <col min="15875" max="15875" width="29.7109375" style="11" bestFit="1" customWidth="1"/>
    <col min="15876" max="15876" width="8.140625" style="11" bestFit="1" customWidth="1"/>
    <col min="15877" max="15877" width="14.28515625" style="11" bestFit="1" customWidth="1"/>
    <col min="15878" max="15878" width="11.42578125" style="11" bestFit="1" customWidth="1"/>
    <col min="15879" max="15879" width="10.7109375" style="11" bestFit="1" customWidth="1"/>
    <col min="15880" max="15880" width="9" style="11" bestFit="1" customWidth="1"/>
    <col min="15881" max="15881" width="36.42578125" style="11" customWidth="1"/>
    <col min="15882" max="15882" width="7" style="11" bestFit="1" customWidth="1"/>
    <col min="15883" max="15883" width="10.7109375" style="11" bestFit="1" customWidth="1"/>
    <col min="15884" max="15884" width="1.28515625" style="11" customWidth="1"/>
    <col min="15885" max="15885" width="10.28515625" style="11" bestFit="1" customWidth="1"/>
    <col min="15886" max="15886" width="7.140625" style="11" bestFit="1" customWidth="1"/>
    <col min="15887" max="15887" width="10.7109375" style="11" bestFit="1" customWidth="1"/>
    <col min="15888" max="15888" width="7.140625" style="11" bestFit="1" customWidth="1"/>
    <col min="15889" max="15889" width="6.28515625" style="11" bestFit="1" customWidth="1"/>
    <col min="15890" max="15890" width="12" style="11" bestFit="1" customWidth="1"/>
    <col min="15891" max="15891" width="15.140625" style="11" bestFit="1" customWidth="1"/>
    <col min="15892" max="15892" width="8.7109375" style="11" bestFit="1" customWidth="1"/>
    <col min="15893" max="15893" width="6.28515625" style="11" bestFit="1" customWidth="1"/>
    <col min="15894" max="15894" width="11" style="11" bestFit="1" customWidth="1"/>
    <col min="15895" max="16128" width="8.85546875" style="11"/>
    <col min="16129" max="16129" width="7.28515625" style="11" bestFit="1" customWidth="1"/>
    <col min="16130" max="16130" width="7.5703125" style="11" bestFit="1" customWidth="1"/>
    <col min="16131" max="16131" width="29.7109375" style="11" bestFit="1" customWidth="1"/>
    <col min="16132" max="16132" width="8.140625" style="11" bestFit="1" customWidth="1"/>
    <col min="16133" max="16133" width="14.28515625" style="11" bestFit="1" customWidth="1"/>
    <col min="16134" max="16134" width="11.42578125" style="11" bestFit="1" customWidth="1"/>
    <col min="16135" max="16135" width="10.7109375" style="11" bestFit="1" customWidth="1"/>
    <col min="16136" max="16136" width="9" style="11" bestFit="1" customWidth="1"/>
    <col min="16137" max="16137" width="36.42578125" style="11" customWidth="1"/>
    <col min="16138" max="16138" width="7" style="11" bestFit="1" customWidth="1"/>
    <col min="16139" max="16139" width="10.7109375" style="11" bestFit="1" customWidth="1"/>
    <col min="16140" max="16140" width="1.28515625" style="11" customWidth="1"/>
    <col min="16141" max="16141" width="10.28515625" style="11" bestFit="1" customWidth="1"/>
    <col min="16142" max="16142" width="7.140625" style="11" bestFit="1" customWidth="1"/>
    <col min="16143" max="16143" width="10.7109375" style="11" bestFit="1" customWidth="1"/>
    <col min="16144" max="16144" width="7.140625" style="11" bestFit="1" customWidth="1"/>
    <col min="16145" max="16145" width="6.28515625" style="11" bestFit="1" customWidth="1"/>
    <col min="16146" max="16146" width="12" style="11" bestFit="1" customWidth="1"/>
    <col min="16147" max="16147" width="15.140625" style="11" bestFit="1" customWidth="1"/>
    <col min="16148" max="16148" width="8.7109375" style="11" bestFit="1" customWidth="1"/>
    <col min="16149" max="16149" width="6.28515625" style="11" bestFit="1" customWidth="1"/>
    <col min="16150" max="16150" width="11" style="11" bestFit="1" customWidth="1"/>
    <col min="16151" max="16384" width="8.85546875" style="11"/>
  </cols>
  <sheetData>
    <row r="1" spans="1:21" ht="17">
      <c r="B1" s="105" t="s">
        <v>76</v>
      </c>
      <c r="C1" s="106" t="s">
        <v>77</v>
      </c>
      <c r="D1" s="102" t="s">
        <v>95</v>
      </c>
      <c r="E1" s="12" t="s">
        <v>46</v>
      </c>
      <c r="F1" s="107" t="s">
        <v>96</v>
      </c>
      <c r="K1" s="107" t="s">
        <v>74</v>
      </c>
    </row>
    <row r="2" spans="1:21">
      <c r="B2" s="98" t="e">
        <f>IF(ROUND($D$72,0)=0,"ok","Check")</f>
        <v>#REF!</v>
      </c>
      <c r="C2" s="10" t="s">
        <v>29</v>
      </c>
      <c r="E2" s="101">
        <v>240</v>
      </c>
      <c r="F2" s="110">
        <v>220</v>
      </c>
      <c r="G2" s="99">
        <f>IF(F2=0,0,+F2/E2)</f>
        <v>0.91666666666666663</v>
      </c>
      <c r="K2" s="111">
        <v>270</v>
      </c>
    </row>
    <row r="3" spans="1:21">
      <c r="B3" s="98" t="e">
        <f>IF(ROUND($E$72,0)=0,"ok","Check")</f>
        <v>#REF!</v>
      </c>
      <c r="C3" s="10" t="s">
        <v>78</v>
      </c>
      <c r="E3" s="101">
        <f>+E2*0.85</f>
        <v>204</v>
      </c>
      <c r="F3" s="110">
        <v>129</v>
      </c>
      <c r="G3" s="99">
        <f>IF(F3=0,0,+F3/E3)</f>
        <v>0.63235294117647056</v>
      </c>
      <c r="K3" s="111">
        <v>97</v>
      </c>
    </row>
    <row r="4" spans="1:21" s="95" customFormat="1" ht="13">
      <c r="A4" s="112"/>
      <c r="B4" s="98" t="e">
        <f>IF(ROUND($F$72,0)=0,"ok","Check")</f>
        <v>#REF!</v>
      </c>
      <c r="C4" s="8" t="s">
        <v>23</v>
      </c>
      <c r="D4" s="100"/>
      <c r="E4" s="97">
        <f>ROUND(+E2/2,0)</f>
        <v>120</v>
      </c>
      <c r="F4" s="95">
        <v>126</v>
      </c>
      <c r="G4" s="6">
        <f>IF(F4=0,0,+F4/E4)</f>
        <v>1.05</v>
      </c>
      <c r="H4" s="7"/>
      <c r="I4" s="96"/>
      <c r="K4" s="97">
        <v>138</v>
      </c>
      <c r="T4" s="113"/>
      <c r="U4" s="114"/>
    </row>
    <row r="5" spans="1:21" s="118" customFormat="1" ht="10" hidden="1">
      <c r="A5" s="115"/>
      <c r="B5" s="116" t="e">
        <f>IF(ROUND(#REF!,0)=0,"ok","Check")</f>
        <v>#REF!</v>
      </c>
      <c r="C5" s="117" t="s">
        <v>45</v>
      </c>
      <c r="E5" s="119">
        <v>45170</v>
      </c>
      <c r="F5" s="120">
        <f>+E5</f>
        <v>45170</v>
      </c>
      <c r="G5" s="121">
        <f>IF(F2=0,0,ROUND(+F2/F4,1))</f>
        <v>1.7</v>
      </c>
      <c r="H5" s="122"/>
      <c r="I5" s="123"/>
      <c r="K5" s="119">
        <v>42248</v>
      </c>
      <c r="P5" s="121">
        <f>IF(K2=0,0,ROUND(+K2/K4,1))</f>
        <v>2</v>
      </c>
      <c r="T5" s="124"/>
      <c r="U5" s="125"/>
    </row>
    <row r="6" spans="1:21" s="118" customFormat="1" ht="10" hidden="1">
      <c r="A6" s="115"/>
      <c r="B6" s="116" t="e">
        <f>IF(ROUND(#REF!,0)=0,"ok","Check")</f>
        <v>#REF!</v>
      </c>
      <c r="C6" s="117" t="s">
        <v>44</v>
      </c>
      <c r="E6" s="119">
        <v>45535</v>
      </c>
      <c r="F6" s="120">
        <v>45443</v>
      </c>
      <c r="G6" s="126"/>
      <c r="H6" s="122"/>
      <c r="I6" s="123"/>
      <c r="K6" s="119">
        <v>42613</v>
      </c>
      <c r="T6" s="124"/>
      <c r="U6" s="125"/>
    </row>
    <row r="7" spans="1:21" s="118" customFormat="1" ht="13">
      <c r="A7" s="115"/>
      <c r="B7" s="98" t="e">
        <f>IF(ROUND($K$72,0)=0,"ok","Check")</f>
        <v>#REF!</v>
      </c>
      <c r="C7" s="117" t="s">
        <v>73</v>
      </c>
      <c r="E7" s="127">
        <f>+E6-E5+1</f>
        <v>366</v>
      </c>
      <c r="F7" s="118">
        <f>+F6-F5+1</f>
        <v>274</v>
      </c>
      <c r="G7" s="128">
        <f>+F7/E7</f>
        <v>0.74863387978142082</v>
      </c>
      <c r="H7" s="122"/>
      <c r="I7" s="123"/>
      <c r="K7" s="118">
        <f>+K6-K5</f>
        <v>365</v>
      </c>
      <c r="M7" s="129"/>
      <c r="T7" s="124"/>
      <c r="U7" s="125"/>
    </row>
    <row r="8" spans="1:21" s="118" customFormat="1" ht="10">
      <c r="A8" s="115"/>
      <c r="B8" s="90"/>
      <c r="C8" s="117" t="s">
        <v>72</v>
      </c>
      <c r="E8" s="127">
        <f>+E7/7</f>
        <v>52.285714285714285</v>
      </c>
      <c r="F8" s="118">
        <f>+F7/7</f>
        <v>39.142857142857146</v>
      </c>
      <c r="G8" s="128">
        <f>+F8/E8</f>
        <v>0.74863387978142082</v>
      </c>
      <c r="H8" s="122"/>
      <c r="I8" s="123"/>
      <c r="K8" s="118">
        <f>+K7/7</f>
        <v>52.142857142857146</v>
      </c>
      <c r="T8" s="124"/>
      <c r="U8" s="125"/>
    </row>
    <row r="9" spans="1:21" s="90" customFormat="1" ht="5" thickBot="1">
      <c r="A9" s="131"/>
      <c r="C9" s="132"/>
      <c r="D9" s="132"/>
      <c r="E9" s="132"/>
      <c r="F9" s="132"/>
      <c r="G9" s="132"/>
      <c r="H9" s="133"/>
      <c r="I9" s="94"/>
      <c r="K9" s="132"/>
      <c r="T9" s="134"/>
      <c r="U9" s="135"/>
    </row>
    <row r="10" spans="1:21" ht="35" thickBot="1">
      <c r="B10" s="90"/>
      <c r="C10" s="11" t="s">
        <v>71</v>
      </c>
      <c r="D10" s="91" t="s">
        <v>79</v>
      </c>
      <c r="E10" s="91" t="s">
        <v>80</v>
      </c>
      <c r="F10" s="136" t="s">
        <v>43</v>
      </c>
      <c r="G10" s="93" t="s">
        <v>70</v>
      </c>
      <c r="H10" s="137" t="s">
        <v>81</v>
      </c>
      <c r="K10" s="138" t="s">
        <v>43</v>
      </c>
      <c r="M10" s="91" t="s">
        <v>69</v>
      </c>
      <c r="N10" s="92" t="s">
        <v>67</v>
      </c>
      <c r="O10" s="92" t="s">
        <v>68</v>
      </c>
      <c r="P10" s="91" t="s">
        <v>67</v>
      </c>
      <c r="S10" s="139" t="s">
        <v>82</v>
      </c>
    </row>
    <row r="11" spans="1:21" ht="29" thickBot="1">
      <c r="B11" s="90"/>
      <c r="C11" s="89" t="s">
        <v>83</v>
      </c>
      <c r="D11" s="87" t="str">
        <f>+$D$1</f>
        <v>2024</v>
      </c>
      <c r="E11" s="87" t="str">
        <f>+$D$1</f>
        <v>2024</v>
      </c>
      <c r="F11" s="140" t="str">
        <f>+$D$1</f>
        <v>2024</v>
      </c>
      <c r="G11" s="88" t="s">
        <v>66</v>
      </c>
      <c r="H11" s="60"/>
      <c r="I11" s="88" t="s">
        <v>42</v>
      </c>
      <c r="K11" s="141">
        <v>2023</v>
      </c>
      <c r="M11" s="87" t="str">
        <f>+$D$1</f>
        <v>2024</v>
      </c>
      <c r="N11" s="87" t="str">
        <f>+$D$1</f>
        <v>2024</v>
      </c>
      <c r="O11" s="88" t="s">
        <v>66</v>
      </c>
      <c r="P11" s="142">
        <f>+K11</f>
        <v>2023</v>
      </c>
      <c r="S11" s="143">
        <f>+SUM(S12:S51)</f>
        <v>3475.416666666667</v>
      </c>
    </row>
    <row r="12" spans="1:21" s="90" customFormat="1" ht="4">
      <c r="A12" s="131"/>
      <c r="C12" s="132"/>
      <c r="D12" s="132"/>
      <c r="E12" s="132"/>
      <c r="F12" s="132"/>
      <c r="G12" s="132"/>
      <c r="H12" s="146"/>
      <c r="I12" s="94"/>
      <c r="K12" s="132"/>
      <c r="T12" s="134"/>
      <c r="U12" s="135"/>
    </row>
    <row r="13" spans="1:21">
      <c r="C13" s="85" t="s">
        <v>41</v>
      </c>
      <c r="D13" s="1"/>
      <c r="E13" s="1"/>
      <c r="F13" s="144"/>
      <c r="G13" s="1"/>
      <c r="H13" s="60"/>
      <c r="K13" s="144"/>
    </row>
    <row r="14" spans="1:21">
      <c r="C14" s="1" t="s">
        <v>40</v>
      </c>
      <c r="D14" s="66">
        <f>+$E$2*8</f>
        <v>1920</v>
      </c>
      <c r="E14" s="66">
        <f>IF($F$2=0,0,+D14/$E$2*$F$2)</f>
        <v>1760</v>
      </c>
      <c r="F14" s="148">
        <v>430</v>
      </c>
      <c r="G14" s="66">
        <f>(F14-E14)+(F15-E15)</f>
        <v>-180</v>
      </c>
      <c r="H14" s="60" t="s">
        <v>78</v>
      </c>
      <c r="K14" s="148">
        <v>887</v>
      </c>
      <c r="M14" s="11">
        <f>IF($E$2=0,0,+D14/$E$2)</f>
        <v>8</v>
      </c>
      <c r="N14" s="11">
        <f>IF($F$2=0,0,+F14/$F$2)</f>
        <v>1.9545454545454546</v>
      </c>
      <c r="O14" s="11">
        <f>+N14-M14</f>
        <v>-6.045454545454545</v>
      </c>
      <c r="P14" s="11">
        <f>+K14/$K$2</f>
        <v>3.2851851851851852</v>
      </c>
    </row>
    <row r="15" spans="1:21">
      <c r="C15" s="1" t="s">
        <v>39</v>
      </c>
      <c r="D15" s="66">
        <f>-D14*0.6</f>
        <v>-1152</v>
      </c>
      <c r="E15" s="66">
        <f>-E14*0.8</f>
        <v>-1408</v>
      </c>
      <c r="F15" s="148">
        <v>-258</v>
      </c>
      <c r="G15" s="66"/>
      <c r="H15" s="86">
        <f>IF(F14=0,0,-F15/F14)</f>
        <v>0.6</v>
      </c>
      <c r="K15" s="148">
        <v>-487.85</v>
      </c>
    </row>
    <row r="16" spans="1:21">
      <c r="C16" s="1" t="s">
        <v>65</v>
      </c>
      <c r="D16" s="66">
        <f>-(D14+D15)*0.1</f>
        <v>-76.800000000000011</v>
      </c>
      <c r="E16" s="66">
        <v>0</v>
      </c>
      <c r="F16" s="148">
        <v>0</v>
      </c>
      <c r="G16" s="66">
        <f t="shared" ref="G16:G18" si="0">F16-E16</f>
        <v>0</v>
      </c>
      <c r="H16" s="60"/>
      <c r="K16" s="148">
        <v>0</v>
      </c>
    </row>
    <row r="17" spans="1:22">
      <c r="C17" s="1" t="s">
        <v>64</v>
      </c>
      <c r="D17" s="66">
        <v>200</v>
      </c>
      <c r="E17" s="66">
        <f>IF($F$2=0,0,+D17/$E$2*$F$2)</f>
        <v>183.33333333333334</v>
      </c>
      <c r="F17" s="148">
        <v>0</v>
      </c>
      <c r="G17" s="66">
        <f t="shared" si="0"/>
        <v>-183.33333333333334</v>
      </c>
      <c r="H17" s="60" t="s">
        <v>78</v>
      </c>
      <c r="K17" s="148">
        <v>150</v>
      </c>
      <c r="M17" s="11">
        <f>IF($E$2=0,0,+D17/$E$2)</f>
        <v>0.83333333333333337</v>
      </c>
      <c r="N17" s="11">
        <f>IF($F$2=0,0,+F17/$F$2)</f>
        <v>0</v>
      </c>
      <c r="O17" s="11">
        <f>+N17-M17</f>
        <v>-0.83333333333333337</v>
      </c>
      <c r="P17" s="11">
        <f>+K17/$K$2</f>
        <v>0.55555555555555558</v>
      </c>
    </row>
    <row r="18" spans="1:22">
      <c r="C18" s="1" t="s">
        <v>84</v>
      </c>
      <c r="D18" s="66">
        <v>0</v>
      </c>
      <c r="E18" s="66">
        <f>IF($F$2=0,0,+D18/$E$2*$F$2)</f>
        <v>0</v>
      </c>
      <c r="F18" s="148">
        <v>0</v>
      </c>
      <c r="G18" s="66">
        <f t="shared" si="0"/>
        <v>0</v>
      </c>
      <c r="H18" s="60" t="s">
        <v>78</v>
      </c>
      <c r="K18" s="148">
        <v>0</v>
      </c>
      <c r="M18" s="11">
        <f>IF($E$2=0,0,+D18/$E$2)</f>
        <v>0</v>
      </c>
      <c r="N18" s="11">
        <f>IF($F$2=0,0,+F18/$F$2)</f>
        <v>0</v>
      </c>
      <c r="O18" s="11">
        <f>+N18-M18</f>
        <v>0</v>
      </c>
      <c r="P18" s="11">
        <f>+K18/$K$2</f>
        <v>0</v>
      </c>
    </row>
    <row r="19" spans="1:22">
      <c r="C19" s="76" t="s">
        <v>1</v>
      </c>
      <c r="D19" s="1"/>
      <c r="E19" s="1"/>
      <c r="F19" s="144"/>
      <c r="G19" s="1"/>
      <c r="H19" s="60"/>
      <c r="K19" s="144"/>
    </row>
    <row r="20" spans="1:22">
      <c r="C20" s="149" t="s">
        <v>37</v>
      </c>
      <c r="D20" s="73">
        <f>SUM(D13:D19)</f>
        <v>891.2</v>
      </c>
      <c r="E20" s="73">
        <f>SUM(E13:E19)</f>
        <v>535.33333333333337</v>
      </c>
      <c r="F20" s="152">
        <f>SUM(F13:F19)</f>
        <v>172</v>
      </c>
      <c r="G20" s="73">
        <f>SUM(G13:G19)</f>
        <v>-363.33333333333337</v>
      </c>
      <c r="H20" s="60">
        <f>+F20-E20-G20</f>
        <v>0</v>
      </c>
      <c r="K20" s="152">
        <f>SUM(K13:K19)</f>
        <v>549.15</v>
      </c>
    </row>
    <row r="21" spans="1:22" s="90" customFormat="1" ht="4">
      <c r="A21" s="131"/>
      <c r="C21" s="132"/>
      <c r="D21" s="132"/>
      <c r="E21" s="132"/>
      <c r="F21" s="132"/>
      <c r="G21" s="132"/>
      <c r="H21" s="146"/>
      <c r="I21" s="94"/>
      <c r="K21" s="132"/>
      <c r="T21" s="134"/>
      <c r="U21" s="135"/>
    </row>
    <row r="22" spans="1:22">
      <c r="C22" s="2" t="s">
        <v>36</v>
      </c>
      <c r="D22" s="1"/>
      <c r="E22" s="1"/>
      <c r="F22" s="144"/>
      <c r="G22" s="1"/>
      <c r="H22" s="60"/>
      <c r="K22" s="144"/>
    </row>
    <row r="23" spans="1:22" s="77" customFormat="1">
      <c r="A23" s="153"/>
      <c r="C23" s="2" t="s">
        <v>63</v>
      </c>
      <c r="D23" s="75">
        <v>1800</v>
      </c>
      <c r="E23" s="75">
        <f>+D23*$G$7</f>
        <v>1347.5409836065576</v>
      </c>
      <c r="F23" s="154">
        <v>1453.1999999999998</v>
      </c>
      <c r="G23" s="75">
        <f>E23-F23</f>
        <v>-105.65901639344224</v>
      </c>
      <c r="H23" s="78" t="s">
        <v>78</v>
      </c>
      <c r="I23" s="59" t="s">
        <v>85</v>
      </c>
      <c r="K23" s="154">
        <v>1763.97</v>
      </c>
      <c r="M23" s="77">
        <f>IF($E$2=0,0,+D23/$E$2)</f>
        <v>7.5</v>
      </c>
      <c r="N23" s="77">
        <f>IF($F$2=0,0,+F23/$F$2)</f>
        <v>6.6054545454545446</v>
      </c>
      <c r="O23" s="77">
        <f>+M23-N23</f>
        <v>0.89454545454545542</v>
      </c>
      <c r="P23" s="77">
        <f>+K23/$K$2</f>
        <v>6.5332222222222223</v>
      </c>
      <c r="S23" s="77">
        <f>200000/480</f>
        <v>416.66666666666669</v>
      </c>
      <c r="T23" s="150">
        <f>+F23+S23</f>
        <v>1869.8666666666666</v>
      </c>
      <c r="U23" s="151">
        <f>+D23-T23</f>
        <v>-69.866666666666561</v>
      </c>
      <c r="V23" s="11"/>
    </row>
    <row r="24" spans="1:22" s="80" customFormat="1">
      <c r="A24" s="155"/>
      <c r="C24" s="83" t="s">
        <v>35</v>
      </c>
      <c r="D24" s="85">
        <f>SUM(D25:D28)</f>
        <v>42570</v>
      </c>
      <c r="E24" s="85">
        <f>SUM(E25:E28)</f>
        <v>37848.82</v>
      </c>
      <c r="F24" s="147">
        <f>SUM(F25:F28)</f>
        <v>41738.82</v>
      </c>
      <c r="G24" s="85">
        <f>SUM(G25:G28)</f>
        <v>-3890</v>
      </c>
      <c r="H24" s="81"/>
      <c r="I24" s="59"/>
      <c r="K24" s="147">
        <f>SUM(K25:K28)</f>
        <v>47755.6</v>
      </c>
      <c r="T24" s="156"/>
      <c r="U24" s="157"/>
    </row>
    <row r="25" spans="1:22" ht="17">
      <c r="C25" s="79" t="s">
        <v>34</v>
      </c>
      <c r="D25" s="66">
        <v>9540</v>
      </c>
      <c r="E25" s="66">
        <f>IF($G$2&gt;1,D25,IF($F$2=0,0,+D25/$E$2*$F$2))</f>
        <v>8745</v>
      </c>
      <c r="F25" s="148">
        <v>11360</v>
      </c>
      <c r="G25" s="3">
        <f>E25-F25</f>
        <v>-2615</v>
      </c>
      <c r="H25" s="60"/>
      <c r="I25" s="145" t="s">
        <v>97</v>
      </c>
      <c r="K25" s="148">
        <v>7850</v>
      </c>
    </row>
    <row r="26" spans="1:22">
      <c r="C26" s="79" t="s">
        <v>33</v>
      </c>
      <c r="D26" s="66">
        <v>22950</v>
      </c>
      <c r="E26" s="66">
        <f>IF(F26&gt;D26,D26,IF($G$2&gt;1,+D26*$G$2,IF(G7=1,D26,IF(D26&gt;F26,F26,IF($F$3=0,0,+D26/$E$3*$F$3)))))</f>
        <v>22950</v>
      </c>
      <c r="F26" s="148">
        <v>24225</v>
      </c>
      <c r="G26" s="3">
        <f>E26-F26</f>
        <v>-1275</v>
      </c>
      <c r="H26" s="60" t="s">
        <v>78</v>
      </c>
      <c r="I26" s="59" t="s">
        <v>98</v>
      </c>
      <c r="K26" s="148">
        <v>28545</v>
      </c>
      <c r="M26" s="11">
        <f>IF($E$2=0,0,+D26/$E$2)</f>
        <v>95.625</v>
      </c>
      <c r="N26" s="11">
        <f>IF($F$2=0,0,+F26/$F$2)</f>
        <v>110.11363636363636</v>
      </c>
      <c r="O26" s="11">
        <f>+M26-N26</f>
        <v>-14.48863636363636</v>
      </c>
      <c r="P26" s="11">
        <f>+K26/$K$2</f>
        <v>105.72222222222223</v>
      </c>
      <c r="R26" s="5">
        <f>+O26/M26</f>
        <v>-0.15151515151515146</v>
      </c>
      <c r="S26" s="11">
        <f>670*2</f>
        <v>1340</v>
      </c>
      <c r="T26" s="150">
        <f>+F26+S26</f>
        <v>25565</v>
      </c>
      <c r="U26" s="151">
        <f>+D26-T26</f>
        <v>-2615</v>
      </c>
    </row>
    <row r="27" spans="1:22">
      <c r="C27" s="79" t="s">
        <v>32</v>
      </c>
      <c r="D27" s="66">
        <f>10080-D28</f>
        <v>10080</v>
      </c>
      <c r="E27" s="66">
        <f>IF($G$7=1,+D27,IF(F27&gt;D27,D27,+F27))</f>
        <v>6153.82</v>
      </c>
      <c r="F27" s="148">
        <v>6153.82</v>
      </c>
      <c r="G27" s="66">
        <f>E27-F27</f>
        <v>0</v>
      </c>
      <c r="H27" s="60"/>
      <c r="K27" s="148">
        <v>11360.6</v>
      </c>
      <c r="S27" s="11">
        <f>(235000+100000)/480</f>
        <v>697.91666666666663</v>
      </c>
      <c r="T27" s="150">
        <f>+F27+S27</f>
        <v>6851.7366666666667</v>
      </c>
      <c r="U27" s="151">
        <f>+D27-T27</f>
        <v>3228.2633333333333</v>
      </c>
      <c r="V27" s="11" t="s">
        <v>86</v>
      </c>
    </row>
    <row r="28" spans="1:22">
      <c r="C28" s="79" t="s">
        <v>31</v>
      </c>
      <c r="D28" s="66">
        <f>+F28</f>
        <v>0</v>
      </c>
      <c r="E28" s="66">
        <f>IF($G$7=1,+D28,IF(F28&gt;D28,D28,+F28))</f>
        <v>0</v>
      </c>
      <c r="F28" s="148">
        <v>0</v>
      </c>
      <c r="G28" s="3">
        <f>E28-F28</f>
        <v>0</v>
      </c>
      <c r="H28" s="60"/>
      <c r="K28" s="148">
        <v>0</v>
      </c>
      <c r="T28" s="150">
        <f>+F28+S28</f>
        <v>0</v>
      </c>
      <c r="U28" s="151">
        <f>+D28-T28</f>
        <v>0</v>
      </c>
    </row>
    <row r="29" spans="1:22" s="77" customFormat="1">
      <c r="A29" s="153"/>
      <c r="C29" s="84" t="s">
        <v>62</v>
      </c>
      <c r="D29" s="75">
        <f>ROUND(+$E$2*65,0)</f>
        <v>15600</v>
      </c>
      <c r="E29" s="66">
        <f>+F2*M29</f>
        <v>14300</v>
      </c>
      <c r="F29" s="154">
        <v>13355.87</v>
      </c>
      <c r="G29" s="75">
        <f>E29-F29</f>
        <v>944.1299999999992</v>
      </c>
      <c r="H29" s="78" t="s">
        <v>29</v>
      </c>
      <c r="I29" s="59"/>
      <c r="K29" s="154">
        <v>17226.399999999998</v>
      </c>
      <c r="M29" s="77">
        <f>IF($E$2=0,0,+D29/$E$2)</f>
        <v>65</v>
      </c>
      <c r="N29" s="77">
        <f>IF($F$2=0,0,+F29/$F$2)</f>
        <v>60.708500000000001</v>
      </c>
      <c r="O29" s="77">
        <f t="shared" ref="O29:O34" si="1">+M29-N29</f>
        <v>4.2914999999999992</v>
      </c>
      <c r="P29" s="77">
        <f t="shared" ref="P29:P35" si="2">+K29/$K$2</f>
        <v>63.801481481481474</v>
      </c>
      <c r="R29" s="158">
        <f>+O29/M29</f>
        <v>6.6023076923076907E-2</v>
      </c>
      <c r="T29" s="150"/>
      <c r="U29" s="151"/>
      <c r="V29" s="11"/>
    </row>
    <row r="30" spans="1:22" s="80" customFormat="1">
      <c r="A30" s="155"/>
      <c r="C30" s="83" t="s">
        <v>30</v>
      </c>
      <c r="D30" s="67">
        <f>SUM(D31:D33)</f>
        <v>5800</v>
      </c>
      <c r="E30" s="67">
        <f>SUM(E31:E33)</f>
        <v>5055.0599999999995</v>
      </c>
      <c r="F30" s="159">
        <f>SUM(F31:F33)</f>
        <v>5842.8899999999976</v>
      </c>
      <c r="G30" s="82">
        <f>SUM(G31:G33)</f>
        <v>-787.82999999999811</v>
      </c>
      <c r="H30" s="60"/>
      <c r="I30" s="59"/>
      <c r="J30" s="11"/>
      <c r="K30" s="159">
        <f>SUM(K31:K33)</f>
        <v>5532.7099999999991</v>
      </c>
      <c r="L30" s="11"/>
      <c r="M30" s="11">
        <f t="shared" ref="M30:M35" si="3">IF($E$2=0,0,+D30/$E$2)</f>
        <v>24.166666666666668</v>
      </c>
      <c r="N30" s="11">
        <f t="shared" ref="N30:N35" si="4">IF($F$2=0,0,+F30/$F$2)</f>
        <v>26.558590909090899</v>
      </c>
      <c r="O30" s="11">
        <f t="shared" si="1"/>
        <v>-2.3919242424242313</v>
      </c>
      <c r="P30" s="11">
        <f t="shared" si="2"/>
        <v>20.491518518518514</v>
      </c>
      <c r="Q30" s="11"/>
      <c r="R30" s="11"/>
      <c r="S30" s="11"/>
      <c r="T30" s="108"/>
      <c r="U30" s="157"/>
    </row>
    <row r="31" spans="1:22">
      <c r="C31" s="79" t="s">
        <v>28</v>
      </c>
      <c r="D31" s="66">
        <f>500+500-D33</f>
        <v>602.39</v>
      </c>
      <c r="E31" s="66">
        <f>IF($G$7=1,+D31,IF(F31&lt;D31,F31,(+D31/$E$2*$F$2)))</f>
        <v>257.45</v>
      </c>
      <c r="F31" s="148">
        <v>257.45</v>
      </c>
      <c r="G31" s="3">
        <f t="shared" ref="G31:G37" si="5">E31-F31</f>
        <v>0</v>
      </c>
      <c r="H31" s="60" t="s">
        <v>29</v>
      </c>
      <c r="K31" s="148">
        <v>81.289999999999992</v>
      </c>
      <c r="M31" s="11">
        <f t="shared" si="3"/>
        <v>2.5099583333333331</v>
      </c>
      <c r="N31" s="11">
        <f t="shared" si="4"/>
        <v>1.1702272727272727</v>
      </c>
      <c r="O31" s="11">
        <f t="shared" si="1"/>
        <v>1.3397310606060604</v>
      </c>
      <c r="P31" s="11">
        <f t="shared" si="2"/>
        <v>0.30107407407407405</v>
      </c>
      <c r="S31" s="11">
        <f>80000/480</f>
        <v>166.66666666666666</v>
      </c>
      <c r="T31" s="150">
        <f>+F31+S31</f>
        <v>424.11666666666667</v>
      </c>
      <c r="U31" s="151">
        <f>+E31-T31</f>
        <v>-166.66666666666669</v>
      </c>
    </row>
    <row r="32" spans="1:22">
      <c r="C32" s="79" t="s">
        <v>27</v>
      </c>
      <c r="D32" s="66">
        <f>ROUND((+$E$2*20),0)</f>
        <v>4800</v>
      </c>
      <c r="E32" s="66">
        <f>IF($G$7=1,+D32,IF(F32&lt;D32,F32,(+D32/$E$2*$F$2)))</f>
        <v>4400</v>
      </c>
      <c r="F32" s="148">
        <v>5187.8299999999981</v>
      </c>
      <c r="G32" s="66">
        <f t="shared" si="5"/>
        <v>-787.82999999999811</v>
      </c>
      <c r="H32" s="60" t="s">
        <v>29</v>
      </c>
      <c r="K32" s="148">
        <v>5114.4699999999993</v>
      </c>
      <c r="M32" s="11">
        <f t="shared" si="3"/>
        <v>20</v>
      </c>
      <c r="N32" s="11">
        <f t="shared" si="4"/>
        <v>23.581045454545446</v>
      </c>
      <c r="O32" s="11">
        <f t="shared" si="1"/>
        <v>-3.5810454545454462</v>
      </c>
      <c r="P32" s="11">
        <f t="shared" si="2"/>
        <v>18.942481481481479</v>
      </c>
      <c r="S32" s="11">
        <f>100000/480</f>
        <v>208.33333333333334</v>
      </c>
      <c r="T32" s="150">
        <f>+F32+S32</f>
        <v>5396.1633333333311</v>
      </c>
      <c r="U32" s="151">
        <f>+D32-T32</f>
        <v>-596.16333333333114</v>
      </c>
    </row>
    <row r="33" spans="1:22">
      <c r="C33" s="79" t="s">
        <v>26</v>
      </c>
      <c r="D33" s="66">
        <f>+F33</f>
        <v>397.61</v>
      </c>
      <c r="E33" s="66">
        <f>+F33</f>
        <v>397.61</v>
      </c>
      <c r="F33" s="148">
        <v>397.61</v>
      </c>
      <c r="G33" s="66">
        <f t="shared" si="5"/>
        <v>0</v>
      </c>
      <c r="H33" s="60" t="s">
        <v>29</v>
      </c>
      <c r="I33" s="160"/>
      <c r="K33" s="148">
        <v>336.95</v>
      </c>
      <c r="M33" s="11">
        <f t="shared" si="3"/>
        <v>1.6567083333333334</v>
      </c>
      <c r="N33" s="11">
        <f t="shared" si="4"/>
        <v>1.8073181818181818</v>
      </c>
      <c r="O33" s="11">
        <f t="shared" si="1"/>
        <v>-0.15060984848484837</v>
      </c>
      <c r="P33" s="11">
        <f t="shared" si="2"/>
        <v>1.2479629629629629</v>
      </c>
      <c r="T33" s="150">
        <f>+F33+S33</f>
        <v>397.61</v>
      </c>
      <c r="U33" s="151">
        <f>+D33-T33</f>
        <v>0</v>
      </c>
    </row>
    <row r="34" spans="1:22" s="77" customFormat="1">
      <c r="A34" s="153"/>
      <c r="C34" s="84" t="s">
        <v>25</v>
      </c>
      <c r="D34" s="75">
        <f>+$E$2*23</f>
        <v>5520</v>
      </c>
      <c r="E34" s="75">
        <f>IF(G2&gt;1,+D34*G2,IF($G$7=1,D34,IF(F34&lt;D34,F34,D34)))</f>
        <v>5520</v>
      </c>
      <c r="F34" s="154">
        <v>5525</v>
      </c>
      <c r="G34" s="75">
        <f t="shared" si="5"/>
        <v>-5</v>
      </c>
      <c r="H34" s="161">
        <f>IF(F34=0,0,+F34/D34)</f>
        <v>1.0009057971014492</v>
      </c>
      <c r="I34" s="59" t="s">
        <v>99</v>
      </c>
      <c r="K34" s="154">
        <v>6200</v>
      </c>
      <c r="M34" s="77">
        <f t="shared" si="3"/>
        <v>23</v>
      </c>
      <c r="N34" s="77">
        <f t="shared" si="4"/>
        <v>25.113636363636363</v>
      </c>
      <c r="O34" s="77">
        <f t="shared" si="1"/>
        <v>-2.1136363636363633</v>
      </c>
      <c r="P34" s="77">
        <f t="shared" si="2"/>
        <v>22.962962962962962</v>
      </c>
      <c r="T34" s="150"/>
      <c r="U34" s="151"/>
      <c r="V34" s="11"/>
    </row>
    <row r="35" spans="1:22" s="77" customFormat="1">
      <c r="A35" s="153"/>
      <c r="C35" s="84" t="s">
        <v>61</v>
      </c>
      <c r="D35" s="75">
        <v>2500</v>
      </c>
      <c r="E35" s="75">
        <f>IF($G$7=1,D35,IF(F35&lt;D35,F35,D35))</f>
        <v>1953.6999999999996</v>
      </c>
      <c r="F35" s="154">
        <v>1953.6999999999996</v>
      </c>
      <c r="G35" s="75">
        <f t="shared" si="5"/>
        <v>0</v>
      </c>
      <c r="H35" s="78"/>
      <c r="I35" s="59"/>
      <c r="K35" s="154">
        <v>2632.0400000000004</v>
      </c>
      <c r="M35" s="77">
        <f t="shared" si="3"/>
        <v>10.416666666666666</v>
      </c>
      <c r="N35" s="77">
        <f t="shared" si="4"/>
        <v>8.880454545454544</v>
      </c>
      <c r="O35" s="77">
        <f>+M35-N35</f>
        <v>1.536212121212122</v>
      </c>
      <c r="P35" s="77">
        <f t="shared" si="2"/>
        <v>9.7482962962962976</v>
      </c>
      <c r="S35" s="11"/>
      <c r="T35" s="150">
        <f>+F35+S35</f>
        <v>1953.6999999999996</v>
      </c>
      <c r="U35" s="151">
        <f>+D35-T35</f>
        <v>546.30000000000041</v>
      </c>
      <c r="V35" s="11"/>
    </row>
    <row r="36" spans="1:22" s="77" customFormat="1">
      <c r="A36" s="153"/>
      <c r="C36" s="84" t="s">
        <v>24</v>
      </c>
      <c r="D36" s="75">
        <v>1500</v>
      </c>
      <c r="E36" s="75">
        <f>IF($G$7=1,D36,IF(F36&lt;D36,F36,D36))</f>
        <v>1138.0999999999999</v>
      </c>
      <c r="F36" s="154">
        <v>1138.0999999999999</v>
      </c>
      <c r="G36" s="4">
        <f t="shared" si="5"/>
        <v>0</v>
      </c>
      <c r="H36" s="78"/>
      <c r="I36" s="59"/>
      <c r="K36" s="154">
        <v>1723.61</v>
      </c>
      <c r="T36" s="150"/>
      <c r="U36" s="151"/>
      <c r="V36" s="11"/>
    </row>
    <row r="37" spans="1:22" s="77" customFormat="1">
      <c r="A37" s="153"/>
      <c r="C37" s="84" t="s">
        <v>87</v>
      </c>
      <c r="D37" s="75">
        <v>0</v>
      </c>
      <c r="E37" s="75">
        <f>IF($F$2=0,0,+D37/$E$2*$F$2)</f>
        <v>0</v>
      </c>
      <c r="F37" s="154">
        <v>0</v>
      </c>
      <c r="G37" s="75">
        <f t="shared" si="5"/>
        <v>0</v>
      </c>
      <c r="H37" s="78" t="s">
        <v>23</v>
      </c>
      <c r="I37" s="59"/>
      <c r="K37" s="154">
        <v>0</v>
      </c>
      <c r="M37" s="77">
        <f>IF($E$4=0,0,+D37/$E$4)</f>
        <v>0</v>
      </c>
      <c r="N37" s="77">
        <f>IF($F$4=0,0,+F37/$F$4)</f>
        <v>0</v>
      </c>
      <c r="O37" s="77">
        <f>+M37-N37</f>
        <v>0</v>
      </c>
      <c r="P37" s="77">
        <f>+K37/$K$4</f>
        <v>0</v>
      </c>
      <c r="T37" s="150"/>
      <c r="U37" s="151"/>
      <c r="V37" s="11"/>
    </row>
    <row r="38" spans="1:22" s="80" customFormat="1">
      <c r="A38" s="155"/>
      <c r="C38" s="83" t="s">
        <v>22</v>
      </c>
      <c r="D38" s="67">
        <f>SUM(D39:D41)</f>
        <v>15000</v>
      </c>
      <c r="E38" s="67">
        <f>SUM(E39:E41)</f>
        <v>15000</v>
      </c>
      <c r="F38" s="159">
        <f>SUM(F39:F41)</f>
        <v>15817.229999999998</v>
      </c>
      <c r="G38" s="82">
        <f>SUM(G39:G41)</f>
        <v>-817.22999999999774</v>
      </c>
      <c r="H38" s="161">
        <f>+F38/D38</f>
        <v>1.0544819999999999</v>
      </c>
      <c r="I38" s="59"/>
      <c r="K38" s="159">
        <f>SUM(K39:K41)</f>
        <v>10601.669999999998</v>
      </c>
      <c r="T38" s="156"/>
      <c r="U38" s="157"/>
    </row>
    <row r="39" spans="1:22">
      <c r="C39" s="79" t="s">
        <v>21</v>
      </c>
      <c r="D39" s="66">
        <f>8000+5500+1500-D41-D40</f>
        <v>6633.119999999999</v>
      </c>
      <c r="E39" s="66">
        <f>IF(G7=1,D39,IF($G$2&lt;1,IF(F39&lt;D39,F39,D39),D39))</f>
        <v>6633.119999999999</v>
      </c>
      <c r="F39" s="148">
        <v>7450.3499999999967</v>
      </c>
      <c r="G39" s="66">
        <f t="shared" ref="G39:G45" si="6">E39-F39</f>
        <v>-817.22999999999774</v>
      </c>
      <c r="H39" s="60"/>
      <c r="I39" s="59" t="s">
        <v>100</v>
      </c>
      <c r="K39" s="148">
        <v>4133.5699999999988</v>
      </c>
      <c r="S39" s="11">
        <f>250000/480</f>
        <v>520.83333333333337</v>
      </c>
      <c r="T39" s="150">
        <f>+F39+S39</f>
        <v>7971.1833333333298</v>
      </c>
      <c r="U39" s="151">
        <f>+D39-T39</f>
        <v>-1338.0633333333308</v>
      </c>
    </row>
    <row r="40" spans="1:22">
      <c r="C40" s="79" t="s">
        <v>20</v>
      </c>
      <c r="D40" s="66">
        <f>+F40</f>
        <v>2890.32</v>
      </c>
      <c r="E40" s="66">
        <f>IF(G7=1,D40,IF($G$2&lt;1,IF(F40&lt;D40,F40,D40),D40))</f>
        <v>2890.32</v>
      </c>
      <c r="F40" s="148">
        <v>2890.32</v>
      </c>
      <c r="G40" s="66">
        <f t="shared" si="6"/>
        <v>0</v>
      </c>
      <c r="H40" s="60"/>
      <c r="K40" s="148">
        <v>5626.03</v>
      </c>
      <c r="M40" s="11">
        <f>IF($E$2=0,0,+D40/$E$2)</f>
        <v>12.043000000000001</v>
      </c>
      <c r="N40" s="11">
        <f>IF($F$2=0,0,+F40/$F$2)</f>
        <v>13.137818181818183</v>
      </c>
      <c r="O40" s="11">
        <f>+M40-N40</f>
        <v>-1.0948181818181819</v>
      </c>
      <c r="T40" s="150">
        <f>+F40+S40</f>
        <v>2890.32</v>
      </c>
      <c r="U40" s="151">
        <f>+D40-T40</f>
        <v>0</v>
      </c>
    </row>
    <row r="41" spans="1:22">
      <c r="C41" s="79" t="s">
        <v>19</v>
      </c>
      <c r="D41" s="66">
        <f>+F41</f>
        <v>5476.5600000000013</v>
      </c>
      <c r="E41" s="66">
        <f>IF($G$2&lt;1,IF(F41&lt;D41,F41,D41),D41)</f>
        <v>5476.5600000000013</v>
      </c>
      <c r="F41" s="148">
        <v>5476.5600000000013</v>
      </c>
      <c r="G41" s="3">
        <f t="shared" si="6"/>
        <v>0</v>
      </c>
      <c r="H41" s="60"/>
      <c r="K41" s="148">
        <v>842.06999999999994</v>
      </c>
    </row>
    <row r="42" spans="1:22" s="77" customFormat="1">
      <c r="A42" s="153"/>
      <c r="C42" s="2" t="s">
        <v>18</v>
      </c>
      <c r="D42" s="75">
        <v>150</v>
      </c>
      <c r="E42" s="75">
        <f>IF($G$7=1,D42,IF(F42&lt;D42,F42,D42))</f>
        <v>105.06</v>
      </c>
      <c r="F42" s="154">
        <v>105.06</v>
      </c>
      <c r="G42" s="4">
        <f t="shared" si="6"/>
        <v>0</v>
      </c>
      <c r="H42" s="78" t="s">
        <v>78</v>
      </c>
      <c r="I42" s="59"/>
      <c r="K42" s="154">
        <v>121.46</v>
      </c>
      <c r="M42" s="77">
        <f>IF($E$2=0,0,+D42/$E$2)</f>
        <v>0.625</v>
      </c>
      <c r="N42" s="77">
        <f>IF($F$2=0,0,+F42/$F$2)</f>
        <v>0.47754545454545455</v>
      </c>
      <c r="O42" s="77">
        <f>+M42-N42</f>
        <v>0.14745454545454545</v>
      </c>
      <c r="P42" s="77">
        <f>+K42/$K$2</f>
        <v>0.44985185185185184</v>
      </c>
      <c r="S42" s="77">
        <v>25</v>
      </c>
      <c r="T42" s="150">
        <f>+F42+S42</f>
        <v>130.06</v>
      </c>
      <c r="U42" s="151">
        <f>+D42-T42</f>
        <v>19.939999999999998</v>
      </c>
      <c r="V42" s="11"/>
    </row>
    <row r="43" spans="1:22" s="77" customFormat="1">
      <c r="A43" s="153"/>
      <c r="C43" s="2" t="s">
        <v>17</v>
      </c>
      <c r="D43" s="75">
        <v>500</v>
      </c>
      <c r="E43" s="75">
        <f>IF($G$7=1,D43,IF(F43&lt;D43,F43,D43))</f>
        <v>500</v>
      </c>
      <c r="F43" s="154">
        <v>1300</v>
      </c>
      <c r="G43" s="4">
        <f t="shared" si="6"/>
        <v>-800</v>
      </c>
      <c r="H43" s="161">
        <f>+F43/D43</f>
        <v>2.6</v>
      </c>
      <c r="I43" s="59" t="s">
        <v>101</v>
      </c>
      <c r="K43" s="154">
        <v>407.57000000000005</v>
      </c>
      <c r="S43" s="77">
        <f>50*2</f>
        <v>100</v>
      </c>
      <c r="T43" s="150">
        <f>+F43+S43</f>
        <v>1400</v>
      </c>
      <c r="U43" s="151">
        <f>+D43-T43</f>
        <v>-900</v>
      </c>
      <c r="V43" s="11"/>
    </row>
    <row r="44" spans="1:22" s="77" customFormat="1">
      <c r="A44" s="153"/>
      <c r="C44" s="2" t="s">
        <v>16</v>
      </c>
      <c r="D44" s="75">
        <v>0</v>
      </c>
      <c r="E44" s="75">
        <f>IF($G$7=1,D44,IF(F44&lt;D44,F44,D44))</f>
        <v>0</v>
      </c>
      <c r="F44" s="154">
        <v>25.45</v>
      </c>
      <c r="G44" s="4">
        <f t="shared" si="6"/>
        <v>-25.45</v>
      </c>
      <c r="H44" s="161" t="e">
        <f>+F44/D44</f>
        <v>#DIV/0!</v>
      </c>
      <c r="I44" s="59"/>
      <c r="K44" s="154">
        <v>23.29</v>
      </c>
      <c r="T44" s="150"/>
      <c r="U44" s="151"/>
      <c r="V44" s="11"/>
    </row>
    <row r="45" spans="1:22" s="77" customFormat="1">
      <c r="A45" s="153"/>
      <c r="C45" s="2" t="s">
        <v>59</v>
      </c>
      <c r="D45" s="75">
        <v>1500</v>
      </c>
      <c r="E45" s="75">
        <f>IF($G$7=1,D45,IF(F45&lt;D45,F45,D45))</f>
        <v>1053.25</v>
      </c>
      <c r="F45" s="154">
        <v>1053.25</v>
      </c>
      <c r="G45" s="4">
        <f t="shared" si="6"/>
        <v>0</v>
      </c>
      <c r="H45" s="161">
        <f>+F45/D45</f>
        <v>0.70216666666666672</v>
      </c>
      <c r="I45" s="59"/>
      <c r="K45" s="154">
        <v>1864.09</v>
      </c>
      <c r="S45" s="77">
        <v>0</v>
      </c>
      <c r="T45" s="150"/>
      <c r="U45" s="151"/>
      <c r="V45" s="11"/>
    </row>
    <row r="46" spans="1:22">
      <c r="C46" s="76" t="s">
        <v>1</v>
      </c>
      <c r="D46" s="75"/>
      <c r="E46" s="75"/>
      <c r="F46" s="154"/>
      <c r="G46" s="74"/>
      <c r="H46" s="60"/>
      <c r="K46" s="154"/>
    </row>
    <row r="47" spans="1:22">
      <c r="C47" s="149" t="s">
        <v>15</v>
      </c>
      <c r="D47" s="72" t="e">
        <f>+D45+D44+D43+D42+D38+D35+D34+D30+D29+D24+D23+D37+D36+#REF!+#REF!</f>
        <v>#REF!</v>
      </c>
      <c r="E47" s="72" t="e">
        <f>+E45+E44+E43+E42+E38+E35+E34+E30+E29+E24+E23+E37+E36+#REF!+#REF!</f>
        <v>#REF!</v>
      </c>
      <c r="F47" s="162" t="e">
        <f>+F45+F44+F43+F42+F38+F35+F34+F30+F29+F24+F23+F37+F36+#REF!+#REF!</f>
        <v>#REF!</v>
      </c>
      <c r="G47" s="73" t="e">
        <f>E47-F47</f>
        <v>#REF!</v>
      </c>
      <c r="H47" s="60"/>
      <c r="K47" s="162" t="e">
        <f>+K45+K44+K43+K42+K38+K35+K34+K30+K29+K24+K23+K37+K36+#REF!+#REF!</f>
        <v>#REF!</v>
      </c>
    </row>
    <row r="48" spans="1:22" s="90" customFormat="1" ht="4">
      <c r="A48" s="131"/>
      <c r="C48" s="132"/>
      <c r="D48" s="132"/>
      <c r="E48" s="132"/>
      <c r="F48" s="132"/>
      <c r="G48" s="132"/>
      <c r="H48" s="146"/>
      <c r="I48" s="94"/>
      <c r="K48" s="132"/>
      <c r="T48" s="134"/>
      <c r="U48" s="135"/>
    </row>
    <row r="49" spans="1:22" s="69" customFormat="1" ht="17">
      <c r="A49" s="130"/>
      <c r="C49" s="1" t="s">
        <v>14</v>
      </c>
      <c r="D49" s="70">
        <f>-D69</f>
        <v>-120000</v>
      </c>
      <c r="E49" s="70">
        <f>-E69</f>
        <v>-120000</v>
      </c>
      <c r="F49" s="164">
        <f>-F69</f>
        <v>-79415.550000000017</v>
      </c>
      <c r="G49" s="3">
        <f>-E49+F49</f>
        <v>40584.449999999983</v>
      </c>
      <c r="H49" s="161">
        <f>+F49/D49</f>
        <v>0.6617962500000002</v>
      </c>
      <c r="I49" s="165" t="s">
        <v>58</v>
      </c>
      <c r="K49" s="164">
        <f>-K69</f>
        <v>-20059.73</v>
      </c>
      <c r="T49" s="150">
        <f>+F49+S49</f>
        <v>-79415.550000000017</v>
      </c>
      <c r="U49" s="151">
        <f>T49-D49</f>
        <v>40584.449999999983</v>
      </c>
      <c r="V49" s="11"/>
    </row>
    <row r="50" spans="1:22" s="69" customFormat="1">
      <c r="A50" s="130"/>
      <c r="C50" s="1" t="s">
        <v>57</v>
      </c>
      <c r="D50" s="70">
        <f>+E50</f>
        <v>0</v>
      </c>
      <c r="E50" s="70">
        <v>0</v>
      </c>
      <c r="F50" s="164"/>
      <c r="G50" s="3">
        <f>-E50+F50</f>
        <v>0</v>
      </c>
      <c r="H50" s="70"/>
      <c r="I50" s="71"/>
      <c r="K50" s="164">
        <v>0</v>
      </c>
      <c r="T50" s="108"/>
      <c r="U50" s="109"/>
    </row>
    <row r="51" spans="1:22" s="90" customFormat="1" ht="4">
      <c r="A51" s="131"/>
      <c r="C51" s="132"/>
      <c r="D51" s="132"/>
      <c r="E51" s="132"/>
      <c r="F51" s="132"/>
      <c r="G51" s="132"/>
      <c r="H51" s="146"/>
      <c r="I51" s="94"/>
      <c r="K51" s="132"/>
      <c r="T51" s="134"/>
      <c r="U51" s="135"/>
    </row>
    <row r="52" spans="1:22">
      <c r="C52" s="68" t="s">
        <v>88</v>
      </c>
      <c r="D52" s="2">
        <v>2000</v>
      </c>
      <c r="E52" s="2">
        <f>+D52</f>
        <v>2000</v>
      </c>
      <c r="F52" s="166">
        <v>4112</v>
      </c>
      <c r="G52" s="1">
        <f>+E52-F52</f>
        <v>-2112</v>
      </c>
      <c r="H52" s="60"/>
      <c r="I52" s="59" t="s">
        <v>102</v>
      </c>
      <c r="K52" s="166">
        <v>1580</v>
      </c>
    </row>
    <row r="53" spans="1:22" s="90" customFormat="1" ht="4">
      <c r="A53" s="131"/>
      <c r="C53" s="132"/>
      <c r="D53" s="132"/>
      <c r="E53" s="132"/>
      <c r="F53" s="132"/>
      <c r="G53" s="132"/>
      <c r="H53" s="146"/>
      <c r="I53" s="94"/>
      <c r="K53" s="132"/>
      <c r="T53" s="134"/>
      <c r="U53" s="135"/>
    </row>
    <row r="54" spans="1:22">
      <c r="C54" s="67" t="s">
        <v>56</v>
      </c>
      <c r="D54" s="3"/>
      <c r="E54" s="3"/>
      <c r="F54" s="148"/>
      <c r="G54" s="3"/>
      <c r="H54" s="60"/>
      <c r="K54" s="148"/>
    </row>
    <row r="55" spans="1:22" s="90" customFormat="1" ht="4">
      <c r="A55" s="131"/>
      <c r="C55" s="132"/>
      <c r="D55" s="132"/>
      <c r="E55" s="132"/>
      <c r="F55" s="132"/>
      <c r="G55" s="132"/>
      <c r="H55" s="146"/>
      <c r="I55" s="94"/>
      <c r="K55" s="132"/>
      <c r="T55" s="134"/>
      <c r="U55" s="135"/>
    </row>
    <row r="56" spans="1:22">
      <c r="C56" s="163" t="s">
        <v>2</v>
      </c>
      <c r="D56" s="66">
        <f>+F56</f>
        <v>0</v>
      </c>
      <c r="E56" s="66">
        <f t="shared" ref="E56:E66" si="7">+D56</f>
        <v>0</v>
      </c>
      <c r="F56" s="148">
        <v>0</v>
      </c>
      <c r="G56" s="1">
        <f t="shared" ref="G56:G67" si="8">E56-F56</f>
        <v>0</v>
      </c>
      <c r="H56" s="60"/>
      <c r="K56" s="148">
        <v>0</v>
      </c>
    </row>
    <row r="57" spans="1:22">
      <c r="C57" s="163" t="s">
        <v>13</v>
      </c>
      <c r="D57" s="66">
        <f t="shared" ref="D57:D67" si="9">+F57</f>
        <v>0</v>
      </c>
      <c r="E57" s="66">
        <f t="shared" si="7"/>
        <v>0</v>
      </c>
      <c r="F57" s="148">
        <v>0</v>
      </c>
      <c r="G57" s="1">
        <f t="shared" si="8"/>
        <v>0</v>
      </c>
      <c r="H57" s="60"/>
      <c r="K57" s="148">
        <v>0</v>
      </c>
    </row>
    <row r="58" spans="1:22">
      <c r="C58" s="163" t="s">
        <v>12</v>
      </c>
      <c r="D58" s="66">
        <f t="shared" si="9"/>
        <v>0</v>
      </c>
      <c r="E58" s="66">
        <f t="shared" si="7"/>
        <v>0</v>
      </c>
      <c r="F58" s="148">
        <v>0</v>
      </c>
      <c r="G58" s="1">
        <f t="shared" si="8"/>
        <v>0</v>
      </c>
      <c r="H58" s="60"/>
      <c r="J58" s="65"/>
      <c r="K58" s="148">
        <v>0</v>
      </c>
    </row>
    <row r="59" spans="1:22">
      <c r="C59" s="163" t="s">
        <v>11</v>
      </c>
      <c r="D59" s="66">
        <f>+F59</f>
        <v>37683.470000000008</v>
      </c>
      <c r="E59" s="66">
        <f>IF(G7=1,D59,IF($G$2&lt;1,IF(F59&lt;D59,F59,D59),D59))</f>
        <v>37683.470000000008</v>
      </c>
      <c r="F59" s="148">
        <v>37683.470000000008</v>
      </c>
      <c r="G59" s="1">
        <f t="shared" si="8"/>
        <v>0</v>
      </c>
      <c r="H59" s="60"/>
      <c r="I59" s="71"/>
      <c r="J59" s="62"/>
      <c r="K59" s="148">
        <v>4686.6499999999996</v>
      </c>
    </row>
    <row r="60" spans="1:22">
      <c r="C60" s="163" t="s">
        <v>10</v>
      </c>
      <c r="D60" s="66">
        <f>+F60</f>
        <v>3862.97</v>
      </c>
      <c r="E60" s="66">
        <f t="shared" si="7"/>
        <v>3862.97</v>
      </c>
      <c r="F60" s="148">
        <v>3862.97</v>
      </c>
      <c r="G60" s="1">
        <f t="shared" si="8"/>
        <v>0</v>
      </c>
      <c r="H60" s="60"/>
      <c r="J60" s="62"/>
      <c r="K60" s="148">
        <v>104.21000000000001</v>
      </c>
    </row>
    <row r="61" spans="1:22">
      <c r="C61" s="163" t="s">
        <v>9</v>
      </c>
      <c r="D61" s="66">
        <f>120000-SUM(D56:D60)-SUM(D62:D68)</f>
        <v>54842.81</v>
      </c>
      <c r="E61" s="66">
        <f t="shared" si="7"/>
        <v>54842.81</v>
      </c>
      <c r="F61" s="148">
        <v>14258.36</v>
      </c>
      <c r="G61" s="1">
        <f t="shared" si="8"/>
        <v>40584.449999999997</v>
      </c>
      <c r="H61" s="60"/>
      <c r="J61" s="62"/>
      <c r="K61" s="148">
        <v>11400.289999999997</v>
      </c>
    </row>
    <row r="62" spans="1:22">
      <c r="C62" s="163" t="s">
        <v>8</v>
      </c>
      <c r="D62" s="66">
        <f t="shared" si="9"/>
        <v>0</v>
      </c>
      <c r="E62" s="66">
        <f t="shared" si="7"/>
        <v>0</v>
      </c>
      <c r="F62" s="148">
        <v>0</v>
      </c>
      <c r="G62" s="1">
        <f t="shared" si="8"/>
        <v>0</v>
      </c>
      <c r="H62" s="60"/>
      <c r="K62" s="148">
        <v>0</v>
      </c>
    </row>
    <row r="63" spans="1:22">
      <c r="C63" s="163" t="s">
        <v>7</v>
      </c>
      <c r="D63" s="66">
        <f t="shared" si="9"/>
        <v>0</v>
      </c>
      <c r="E63" s="66">
        <f t="shared" si="7"/>
        <v>0</v>
      </c>
      <c r="F63" s="148">
        <v>0</v>
      </c>
      <c r="G63" s="1">
        <f t="shared" si="8"/>
        <v>0</v>
      </c>
      <c r="H63" s="60"/>
      <c r="K63" s="148">
        <v>996.36</v>
      </c>
    </row>
    <row r="64" spans="1:22">
      <c r="C64" s="163" t="s">
        <v>6</v>
      </c>
      <c r="D64" s="66">
        <f t="shared" si="9"/>
        <v>1621.04</v>
      </c>
      <c r="E64" s="66">
        <f t="shared" si="7"/>
        <v>1621.04</v>
      </c>
      <c r="F64" s="148">
        <v>1621.04</v>
      </c>
      <c r="G64" s="1">
        <f t="shared" si="8"/>
        <v>0</v>
      </c>
      <c r="H64" s="60"/>
      <c r="K64" s="148">
        <v>2158.2900000000004</v>
      </c>
    </row>
    <row r="65" spans="3:21">
      <c r="C65" s="163" t="s">
        <v>5</v>
      </c>
      <c r="D65" s="66">
        <f t="shared" si="9"/>
        <v>21191.4</v>
      </c>
      <c r="E65" s="66">
        <f t="shared" si="7"/>
        <v>21191.4</v>
      </c>
      <c r="F65" s="148">
        <v>21191.4</v>
      </c>
      <c r="G65" s="1">
        <f t="shared" si="8"/>
        <v>0</v>
      </c>
      <c r="H65" s="60"/>
      <c r="K65" s="148">
        <v>0</v>
      </c>
    </row>
    <row r="66" spans="3:21">
      <c r="C66" s="163" t="s">
        <v>4</v>
      </c>
      <c r="D66" s="66">
        <f t="shared" si="9"/>
        <v>798.31000000000006</v>
      </c>
      <c r="E66" s="66">
        <f t="shared" si="7"/>
        <v>798.31000000000006</v>
      </c>
      <c r="F66" s="148">
        <v>798.31000000000006</v>
      </c>
      <c r="G66" s="1">
        <f t="shared" si="8"/>
        <v>0</v>
      </c>
      <c r="H66" s="60"/>
      <c r="K66" s="148">
        <v>713.93</v>
      </c>
    </row>
    <row r="67" spans="3:21">
      <c r="C67" s="163" t="s">
        <v>3</v>
      </c>
      <c r="D67" s="66">
        <f t="shared" si="9"/>
        <v>0</v>
      </c>
      <c r="E67" s="66">
        <f>+D67</f>
        <v>0</v>
      </c>
      <c r="F67" s="148">
        <v>0</v>
      </c>
      <c r="G67" s="1">
        <f t="shared" si="8"/>
        <v>0</v>
      </c>
      <c r="H67" s="60"/>
      <c r="K67" s="148">
        <v>0</v>
      </c>
    </row>
    <row r="68" spans="3:21" ht="17" thickBot="1">
      <c r="C68" s="64" t="s">
        <v>1</v>
      </c>
      <c r="D68" s="61"/>
      <c r="E68" s="61"/>
      <c r="F68" s="167"/>
      <c r="G68" s="63">
        <f>E68-F68</f>
        <v>0</v>
      </c>
      <c r="H68" s="60"/>
      <c r="K68" s="167"/>
    </row>
    <row r="69" spans="3:21" ht="35" thickBot="1">
      <c r="C69" s="58" t="s">
        <v>0</v>
      </c>
      <c r="D69" s="58">
        <f>SUM(D56:D68)</f>
        <v>120000</v>
      </c>
      <c r="E69" s="58">
        <f>SUM(E56:E68)</f>
        <v>120000</v>
      </c>
      <c r="F69" s="168">
        <f>SUM(F56:F68)</f>
        <v>79415.550000000017</v>
      </c>
      <c r="G69" s="58">
        <f>E69-F69</f>
        <v>40584.449999999983</v>
      </c>
      <c r="H69" s="60"/>
      <c r="I69" s="145" t="s">
        <v>103</v>
      </c>
      <c r="K69" s="168">
        <f>SUM(K56:K68)</f>
        <v>20059.73</v>
      </c>
    </row>
    <row r="70" spans="3:21">
      <c r="C70" s="1"/>
      <c r="D70" s="1"/>
      <c r="E70" s="1"/>
      <c r="F70" s="144"/>
      <c r="G70" s="1"/>
      <c r="H70" s="60"/>
      <c r="K70" s="144"/>
    </row>
    <row r="71" spans="3:21" s="104" customFormat="1" hidden="1">
      <c r="C71" s="104" t="s">
        <v>104</v>
      </c>
      <c r="D71" s="104">
        <v>215331.20000000001</v>
      </c>
      <c r="E71" s="104">
        <v>206356.8643169399</v>
      </c>
      <c r="F71" s="192">
        <v>173008.12</v>
      </c>
      <c r="H71" s="193"/>
      <c r="I71" s="194"/>
      <c r="K71" s="192">
        <v>118041.28999999998</v>
      </c>
      <c r="T71" s="195"/>
      <c r="U71" s="196"/>
    </row>
    <row r="72" spans="3:21" hidden="1">
      <c r="C72" s="197" t="s">
        <v>89</v>
      </c>
      <c r="D72" s="11" t="e">
        <f>+D20+D47+D52+D69-D71</f>
        <v>#REF!</v>
      </c>
      <c r="E72" s="11" t="e">
        <f>+E20+E47+E52+E69-E71</f>
        <v>#REF!</v>
      </c>
      <c r="F72" s="11" t="e">
        <f>+F20+F47+F52+F69-F71</f>
        <v>#REF!</v>
      </c>
      <c r="K72" s="11" t="e">
        <f>+K20+K47+K52+K69-K71</f>
        <v>#REF!</v>
      </c>
    </row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</sheetData>
  <conditionalFormatting sqref="F14:F18 K14:K18 F23 K23 F25:F29 K25:K29 F31:F37 K31:K37 F39:F45 K39:K45 G49:G50 F56:F67">
    <cfRule type="cellIs" dxfId="2" priority="2" stopIfTrue="1" operator="lessThan">
      <formula>0</formula>
    </cfRule>
  </conditionalFormatting>
  <conditionalFormatting sqref="K56:K67">
    <cfRule type="cellIs" dxfId="1" priority="1" stopIfTrue="1" operator="lessThan">
      <formula>0</formula>
    </cfRule>
  </conditionalFormatting>
  <printOptions horizontalCentered="1" gridLines="1"/>
  <pageMargins left="0.19685039370078741" right="0.19685039370078741" top="0.19685039370078741" bottom="0.19685039370078741" header="0" footer="0"/>
  <pageSetup paperSize="5" scale="44" orientation="portrait" r:id="rId1"/>
  <headerFooter alignWithMargins="0"/>
  <ignoredErrors>
    <ignoredError sqref="D61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A9131-0755-7F47-BC30-98EE61E8815B}">
  <dimension ref="B1:P68"/>
  <sheetViews>
    <sheetView showGridLines="0" tabSelected="1" topLeftCell="A3" zoomScale="110" zoomScaleNormal="110" workbookViewId="0">
      <selection activeCell="D50" sqref="D50"/>
    </sheetView>
  </sheetViews>
  <sheetFormatPr baseColWidth="10" defaultRowHeight="16" outlineLevelRow="1"/>
  <cols>
    <col min="1" max="1" width="5" customWidth="1"/>
    <col min="2" max="2" width="42.140625" style="207" customWidth="1"/>
    <col min="3" max="3" width="31.140625" customWidth="1"/>
    <col min="4" max="5" width="16.140625" customWidth="1"/>
    <col min="6" max="6" width="11.5703125" bestFit="1" customWidth="1"/>
    <col min="7" max="7" width="13.5703125" customWidth="1"/>
    <col min="8" max="9" width="15.28515625" customWidth="1"/>
    <col min="12" max="13" width="11.85546875" bestFit="1" customWidth="1"/>
  </cols>
  <sheetData>
    <row r="1" spans="3:14" hidden="1">
      <c r="C1" t="s">
        <v>15</v>
      </c>
      <c r="D1" t="s">
        <v>93</v>
      </c>
      <c r="F1" s="15" t="e">
        <f ca="1">VLOOKUP($C1,INDIRECT(#REF!),#REF!,FALSE)</f>
        <v>#REF!</v>
      </c>
      <c r="G1" s="26" t="e">
        <f ca="1">VLOOKUP($C1,INDIRECT(#REF!),#REF!,FALSE)</f>
        <v>#REF!</v>
      </c>
    </row>
    <row r="2" spans="3:14" hidden="1">
      <c r="F2" t="e">
        <f ca="1">IF(F1=E26,"OK","ERROR")</f>
        <v>#REF!</v>
      </c>
      <c r="G2" t="e">
        <f ca="1">IF(G1=F26,"OK","ERROR")</f>
        <v>#REF!</v>
      </c>
    </row>
    <row r="3" spans="3:14">
      <c r="G3" s="13" t="s">
        <v>113</v>
      </c>
      <c r="H3" s="13">
        <v>1450</v>
      </c>
    </row>
    <row r="5" spans="3:14" ht="50">
      <c r="D5" s="267" t="s">
        <v>91</v>
      </c>
      <c r="E5" s="267"/>
      <c r="F5" s="267"/>
      <c r="G5" s="267"/>
      <c r="H5" s="267"/>
      <c r="I5" s="267"/>
      <c r="J5" s="267"/>
      <c r="K5" s="267"/>
      <c r="L5" s="267"/>
      <c r="M5" s="267"/>
      <c r="N5" s="267"/>
    </row>
    <row r="6" spans="3:14" ht="25">
      <c r="D6" s="268" t="s">
        <v>108</v>
      </c>
      <c r="E6" s="268"/>
      <c r="F6" s="268"/>
      <c r="G6" s="268"/>
      <c r="H6" s="268"/>
      <c r="I6" s="268"/>
      <c r="J6" s="268"/>
      <c r="K6" s="268"/>
      <c r="L6" s="268"/>
      <c r="M6" s="268"/>
      <c r="N6" s="268"/>
    </row>
    <row r="7" spans="3:14" ht="17">
      <c r="D7" s="269"/>
      <c r="E7" s="269"/>
      <c r="F7" s="269"/>
      <c r="G7" s="269"/>
      <c r="H7" s="269"/>
      <c r="I7" s="269"/>
      <c r="J7" s="269"/>
      <c r="K7" s="269"/>
      <c r="L7" s="269"/>
      <c r="M7" s="269"/>
      <c r="N7" s="269"/>
    </row>
    <row r="8" spans="3:14" ht="17" hidden="1">
      <c r="C8" s="173" t="s">
        <v>15</v>
      </c>
      <c r="D8" s="174"/>
      <c r="E8" s="174"/>
      <c r="F8" s="175" t="e">
        <f ca="1">VLOOKUP($C8,INDIRECT(#REF!),#REF!,FALSE)</f>
        <v>#REF!</v>
      </c>
      <c r="G8" s="176" t="e">
        <f ca="1">VLOOKUP($C8,INDIRECT(#REF!),#REF!,FALSE)</f>
        <v>#REF!</v>
      </c>
      <c r="H8" s="172"/>
      <c r="I8" s="172"/>
      <c r="J8" s="172"/>
      <c r="K8" s="172"/>
      <c r="L8" s="172"/>
      <c r="M8" s="172"/>
      <c r="N8" s="172"/>
    </row>
    <row r="9" spans="3:14" hidden="1">
      <c r="C9" s="178" t="s">
        <v>90</v>
      </c>
      <c r="F9" s="15" t="e">
        <f ca="1">VLOOKUP($C9,INDIRECT(#REF!),#REF!,FALSE)</f>
        <v>#REF!</v>
      </c>
      <c r="G9" s="177" t="e">
        <f ca="1">VLOOKUP($C9,INDIRECT(#REF!),#REF!,FALSE)</f>
        <v>#REF!</v>
      </c>
    </row>
    <row r="10" spans="3:14" ht="17" thickBot="1">
      <c r="C10" s="179"/>
      <c r="D10" s="270" t="s">
        <v>48</v>
      </c>
      <c r="E10" s="271"/>
      <c r="F10" s="272"/>
      <c r="G10" s="273" t="s">
        <v>49</v>
      </c>
      <c r="H10" s="274"/>
      <c r="I10" s="274"/>
      <c r="J10" s="273" t="s">
        <v>50</v>
      </c>
      <c r="K10" s="278"/>
      <c r="L10" s="275" t="s">
        <v>42</v>
      </c>
      <c r="M10" s="276"/>
      <c r="N10" s="277"/>
    </row>
    <row r="11" spans="3:14" ht="19" thickBot="1">
      <c r="C11" s="180"/>
      <c r="D11" s="31" t="s">
        <v>105</v>
      </c>
      <c r="E11" s="32" t="s">
        <v>107</v>
      </c>
      <c r="F11" s="33" t="s">
        <v>106</v>
      </c>
      <c r="G11" s="31" t="s">
        <v>105</v>
      </c>
      <c r="H11" s="32" t="s">
        <v>107</v>
      </c>
      <c r="I11" s="33" t="s">
        <v>106</v>
      </c>
      <c r="J11" s="31" t="s">
        <v>94</v>
      </c>
      <c r="K11" s="33" t="s">
        <v>54</v>
      </c>
      <c r="L11" s="32"/>
      <c r="M11" s="32"/>
      <c r="N11" s="33"/>
    </row>
    <row r="12" spans="3:14" ht="17" customHeight="1">
      <c r="C12" s="181" t="s">
        <v>47</v>
      </c>
      <c r="D12" s="20"/>
      <c r="F12" s="24"/>
      <c r="J12" s="20"/>
      <c r="K12" s="24"/>
      <c r="N12" s="24"/>
    </row>
    <row r="13" spans="3:14">
      <c r="C13" s="182" t="s">
        <v>29</v>
      </c>
      <c r="D13" s="21">
        <v>375</v>
      </c>
      <c r="E13" s="15">
        <v>328</v>
      </c>
      <c r="F13" s="26">
        <v>220</v>
      </c>
      <c r="J13" s="20"/>
      <c r="K13" s="24"/>
      <c r="N13" s="24"/>
    </row>
    <row r="14" spans="3:14">
      <c r="C14" s="182" t="s">
        <v>78</v>
      </c>
      <c r="D14" s="21">
        <f>D13*0.85</f>
        <v>318.75</v>
      </c>
      <c r="E14" s="15">
        <v>279</v>
      </c>
      <c r="F14" s="210"/>
      <c r="G14" s="20"/>
      <c r="J14" s="20"/>
      <c r="K14" s="24"/>
      <c r="N14" s="24"/>
    </row>
    <row r="15" spans="3:14">
      <c r="C15" s="182" t="s">
        <v>23</v>
      </c>
      <c r="D15" s="21">
        <f>D13/2</f>
        <v>187.5</v>
      </c>
      <c r="E15" s="15">
        <v>184</v>
      </c>
      <c r="F15" s="15">
        <v>120</v>
      </c>
      <c r="G15" s="20"/>
      <c r="J15" s="20"/>
      <c r="K15" s="24"/>
      <c r="N15" s="24"/>
    </row>
    <row r="16" spans="3:14">
      <c r="C16" s="182" t="s">
        <v>53</v>
      </c>
      <c r="D16" s="34">
        <v>45901</v>
      </c>
      <c r="E16" s="183">
        <v>44805</v>
      </c>
      <c r="F16" s="183">
        <v>44805</v>
      </c>
      <c r="G16" s="20"/>
      <c r="J16" s="20"/>
      <c r="K16" s="24"/>
      <c r="N16" s="24"/>
    </row>
    <row r="17" spans="2:16">
      <c r="C17" s="182" t="s">
        <v>52</v>
      </c>
      <c r="D17" s="34">
        <v>46265</v>
      </c>
      <c r="E17" s="183">
        <v>45169</v>
      </c>
      <c r="F17" s="183">
        <v>45169</v>
      </c>
      <c r="G17" s="20"/>
      <c r="J17" s="20"/>
      <c r="K17" s="24"/>
      <c r="N17" s="24"/>
    </row>
    <row r="18" spans="2:16">
      <c r="C18" s="182" t="s">
        <v>51</v>
      </c>
      <c r="D18" s="20">
        <f>D17-D16</f>
        <v>364</v>
      </c>
      <c r="E18">
        <v>364</v>
      </c>
      <c r="F18">
        <v>364</v>
      </c>
      <c r="G18" s="20"/>
      <c r="J18" s="20"/>
      <c r="K18" s="24"/>
      <c r="N18" s="24"/>
    </row>
    <row r="19" spans="2:16">
      <c r="C19" s="20"/>
      <c r="D19" s="20"/>
      <c r="F19" s="24"/>
      <c r="J19" s="20"/>
      <c r="K19" s="24"/>
      <c r="N19" s="24"/>
    </row>
    <row r="20" spans="2:16" ht="19" thickBot="1">
      <c r="B20" s="208"/>
      <c r="C20" s="184" t="s">
        <v>41</v>
      </c>
      <c r="D20" s="22">
        <f>SUBTOTAL(9,D21:D24)</f>
        <v>675</v>
      </c>
      <c r="E20" s="17">
        <f>SUM(E21:E24)</f>
        <v>537.97</v>
      </c>
      <c r="F20" s="25">
        <v>172</v>
      </c>
      <c r="G20" s="22">
        <f>D20/D$13</f>
        <v>1.8</v>
      </c>
      <c r="H20" s="17">
        <f t="shared" ref="H20" si="0">E20/E$20</f>
        <v>1</v>
      </c>
      <c r="I20" s="25">
        <v>1</v>
      </c>
      <c r="J20" s="47">
        <f>IF(E20=0,0,D20/E20)</f>
        <v>1.2547168057698384</v>
      </c>
      <c r="K20" s="48">
        <f>IF(F20=0,0,D20/F20)</f>
        <v>3.9244186046511627</v>
      </c>
      <c r="L20" s="19"/>
      <c r="M20" s="19"/>
      <c r="N20" s="185"/>
    </row>
    <row r="21" spans="2:16">
      <c r="C21" s="182" t="s">
        <v>40</v>
      </c>
      <c r="D21" s="169">
        <f>4*D13</f>
        <v>1500</v>
      </c>
      <c r="E21" s="15">
        <v>1097</v>
      </c>
      <c r="F21" s="26">
        <v>430</v>
      </c>
      <c r="G21" s="15">
        <f>D21/D$13</f>
        <v>4</v>
      </c>
      <c r="H21" s="15">
        <f t="shared" ref="H21:H49" si="1">E21/E$13</f>
        <v>3.3445121951219514</v>
      </c>
      <c r="I21" s="15">
        <v>1.9545454545454546</v>
      </c>
      <c r="J21" s="49">
        <f>IF(E21=0,0,D21/E21)</f>
        <v>1.3673655423883317</v>
      </c>
      <c r="K21" s="50">
        <f>IF(F21=0,0,D21/F21)</f>
        <v>3.4883720930232558</v>
      </c>
      <c r="N21" s="24"/>
    </row>
    <row r="22" spans="2:16">
      <c r="C22" s="182" t="s">
        <v>39</v>
      </c>
      <c r="D22" s="169">
        <f>D21*-0.5</f>
        <v>-750</v>
      </c>
      <c r="E22" s="15">
        <v>-559.03</v>
      </c>
      <c r="F22" s="26">
        <v>-258</v>
      </c>
      <c r="G22" s="15">
        <f>D22/D$13</f>
        <v>-2</v>
      </c>
      <c r="H22" s="15">
        <f t="shared" si="1"/>
        <v>-1.704359756097561</v>
      </c>
      <c r="I22" s="15">
        <v>-1.1727272727272726</v>
      </c>
      <c r="J22" s="49">
        <f>IF(E22=0,0,D22/E22)</f>
        <v>1.3416095737259182</v>
      </c>
      <c r="K22" s="50">
        <f>IF(F22=0,0,D22/F22)</f>
        <v>2.9069767441860463</v>
      </c>
      <c r="N22" s="24"/>
    </row>
    <row r="23" spans="2:16">
      <c r="C23" s="182" t="s">
        <v>38</v>
      </c>
      <c r="D23" s="169">
        <f>(D21+D22)*-0.1</f>
        <v>-75</v>
      </c>
      <c r="E23" s="15">
        <v>0</v>
      </c>
      <c r="F23" s="26">
        <v>0</v>
      </c>
      <c r="G23" s="15">
        <f>D23/D$13</f>
        <v>-0.2</v>
      </c>
      <c r="H23" s="15">
        <f t="shared" si="1"/>
        <v>0</v>
      </c>
      <c r="I23" s="15">
        <v>0</v>
      </c>
      <c r="J23" s="49">
        <f>IF(E23=0,0,D23/E23)</f>
        <v>0</v>
      </c>
      <c r="K23" s="50">
        <f>IF(F23=0,0,D23/F23)</f>
        <v>0</v>
      </c>
      <c r="N23" s="24"/>
    </row>
    <row r="24" spans="2:16">
      <c r="C24" s="182" t="s">
        <v>75</v>
      </c>
      <c r="D24" s="21">
        <v>0</v>
      </c>
      <c r="E24" s="15">
        <v>0</v>
      </c>
      <c r="F24" s="26">
        <v>0</v>
      </c>
      <c r="G24" s="15">
        <f>D24/D$13</f>
        <v>0</v>
      </c>
      <c r="H24" s="15">
        <f t="shared" si="1"/>
        <v>0</v>
      </c>
      <c r="I24" s="15">
        <v>0</v>
      </c>
      <c r="J24" s="49">
        <f>IF(E24=0,0,D24/E24)</f>
        <v>0</v>
      </c>
      <c r="K24" s="50">
        <f>IF(F24=0,0,D24/F24)</f>
        <v>0</v>
      </c>
      <c r="N24" s="24"/>
    </row>
    <row r="25" spans="2:16">
      <c r="C25" s="20"/>
      <c r="D25" s="170"/>
      <c r="E25" s="15"/>
      <c r="F25" s="26"/>
      <c r="G25" s="15"/>
      <c r="H25" s="15"/>
      <c r="I25" s="15"/>
      <c r="J25" s="49"/>
      <c r="K25" s="50"/>
      <c r="N25" s="24"/>
    </row>
    <row r="26" spans="2:16" ht="19" thickBot="1">
      <c r="C26" s="186" t="s">
        <v>36</v>
      </c>
      <c r="D26" s="28">
        <f>SUM(D27:D49)-D28-D34-D42</f>
        <v>186500.69827586206</v>
      </c>
      <c r="E26" s="29">
        <f>SUM(E27:E49)-E28-E34-E42</f>
        <v>172506.19000000003</v>
      </c>
      <c r="F26" s="29">
        <v>89308.510000000009</v>
      </c>
      <c r="G26" s="28">
        <f>D26/D$13</f>
        <v>497.33519540229884</v>
      </c>
      <c r="H26" s="29">
        <f>E26/E$13</f>
        <v>525.93350609756112</v>
      </c>
      <c r="I26" s="30">
        <v>405.94777272727276</v>
      </c>
      <c r="J26" s="51">
        <f t="shared" ref="J26:J49" si="2">IF(E26=0,0,D26/E26)</f>
        <v>1.0811246731254225</v>
      </c>
      <c r="K26" s="52">
        <f t="shared" ref="K26:K49" si="3">IF(F26=0,0,D26/F26)</f>
        <v>2.0882746591098882</v>
      </c>
      <c r="L26" s="18"/>
      <c r="M26" s="18"/>
      <c r="N26" s="187"/>
    </row>
    <row r="27" spans="2:16" ht="68">
      <c r="B27" s="208" t="s">
        <v>109</v>
      </c>
      <c r="C27" s="211" t="s">
        <v>63</v>
      </c>
      <c r="D27" s="212">
        <v>2200</v>
      </c>
      <c r="E27" s="213">
        <v>4021</v>
      </c>
      <c r="F27" s="214">
        <v>1453.1999999999998</v>
      </c>
      <c r="G27" s="213">
        <f t="shared" ref="G27:G49" si="4">D27/D$13</f>
        <v>5.8666666666666663</v>
      </c>
      <c r="H27" s="213">
        <f t="shared" si="1"/>
        <v>12.259146341463415</v>
      </c>
      <c r="I27" s="213">
        <v>6.6054545454545446</v>
      </c>
      <c r="J27" s="215">
        <f t="shared" si="2"/>
        <v>0.54712758020392938</v>
      </c>
      <c r="K27" s="216">
        <f t="shared" si="3"/>
        <v>1.5139003578309937</v>
      </c>
      <c r="L27" s="217"/>
      <c r="M27" s="217"/>
      <c r="N27" s="218"/>
      <c r="O27" s="217"/>
      <c r="P27" s="217"/>
    </row>
    <row r="28" spans="2:16" outlineLevel="1">
      <c r="C28" s="202" t="s">
        <v>35</v>
      </c>
      <c r="D28" s="201">
        <f>SUM(D29:D32)</f>
        <v>106217.24137931035</v>
      </c>
      <c r="E28" s="198">
        <v>94044.25999999998</v>
      </c>
      <c r="F28" s="203">
        <v>41738.82</v>
      </c>
      <c r="G28" s="198">
        <f t="shared" si="4"/>
        <v>283.24597701149423</v>
      </c>
      <c r="H28" s="198">
        <f t="shared" si="1"/>
        <v>286.72030487804869</v>
      </c>
      <c r="I28" s="198">
        <v>189.72190909090909</v>
      </c>
      <c r="J28" s="199">
        <f t="shared" si="2"/>
        <v>1.1294388554847512</v>
      </c>
      <c r="K28" s="200">
        <f t="shared" si="3"/>
        <v>2.5448070017147191</v>
      </c>
      <c r="N28" s="24"/>
    </row>
    <row r="29" spans="2:16" outlineLevel="1">
      <c r="C29" s="188" t="s">
        <v>34</v>
      </c>
      <c r="D29" s="23">
        <f>Sueldos!H6</f>
        <v>17637.931034482761</v>
      </c>
      <c r="E29" s="16">
        <v>14186.940000000002</v>
      </c>
      <c r="F29" s="27">
        <v>11360</v>
      </c>
      <c r="G29" s="15">
        <f t="shared" si="4"/>
        <v>47.034482758620697</v>
      </c>
      <c r="H29" s="15">
        <f t="shared" si="1"/>
        <v>43.252865853658541</v>
      </c>
      <c r="I29" s="15">
        <v>51.636363636363633</v>
      </c>
      <c r="J29" s="49">
        <f t="shared" si="2"/>
        <v>1.2432512602776045</v>
      </c>
      <c r="K29" s="50">
        <f t="shared" si="3"/>
        <v>1.5526347741622148</v>
      </c>
      <c r="N29" s="24"/>
    </row>
    <row r="30" spans="2:16" outlineLevel="1">
      <c r="C30" s="188" t="s">
        <v>33</v>
      </c>
      <c r="D30" s="23">
        <f>Sueldos!D23</f>
        <v>47600</v>
      </c>
      <c r="E30" s="16">
        <v>45154.979999999996</v>
      </c>
      <c r="F30" s="27">
        <v>24225</v>
      </c>
      <c r="G30" s="15">
        <f t="shared" si="4"/>
        <v>126.93333333333334</v>
      </c>
      <c r="H30" s="15">
        <f t="shared" si="1"/>
        <v>137.6676219512195</v>
      </c>
      <c r="I30" s="15">
        <v>110.11363636363636</v>
      </c>
      <c r="J30" s="49">
        <f t="shared" si="2"/>
        <v>1.0541472944955352</v>
      </c>
      <c r="K30" s="50">
        <f t="shared" si="3"/>
        <v>1.9649122807017543</v>
      </c>
      <c r="N30" s="24"/>
    </row>
    <row r="31" spans="2:16" outlineLevel="1">
      <c r="C31" s="188" t="s">
        <v>32</v>
      </c>
      <c r="D31" s="23">
        <f>Sueldos!H14</f>
        <v>34151.724137931036</v>
      </c>
      <c r="E31" s="16">
        <v>30778.139999999989</v>
      </c>
      <c r="F31" s="27">
        <v>6153.82</v>
      </c>
      <c r="G31" s="15">
        <f t="shared" si="4"/>
        <v>91.071264367816099</v>
      </c>
      <c r="H31" s="15">
        <f t="shared" si="1"/>
        <v>93.835792682926794</v>
      </c>
      <c r="I31" s="15">
        <v>27.97190909090909</v>
      </c>
      <c r="J31" s="49">
        <f t="shared" si="2"/>
        <v>1.1096097469805208</v>
      </c>
      <c r="K31" s="50">
        <f t="shared" si="3"/>
        <v>5.5496787585485174</v>
      </c>
      <c r="N31" s="24"/>
    </row>
    <row r="32" spans="2:16">
      <c r="C32" s="188" t="s">
        <v>31</v>
      </c>
      <c r="D32" s="23">
        <f>Sueldos!B29</f>
        <v>6827.5862068965507</v>
      </c>
      <c r="E32" s="16">
        <v>3924.2</v>
      </c>
      <c r="F32" s="27">
        <v>0</v>
      </c>
      <c r="G32" s="15">
        <f t="shared" si="4"/>
        <v>18.206896551724135</v>
      </c>
      <c r="H32" s="15">
        <f t="shared" si="1"/>
        <v>11.964024390243901</v>
      </c>
      <c r="I32" s="15">
        <v>0</v>
      </c>
      <c r="J32" s="49">
        <f t="shared" si="2"/>
        <v>1.7398670319801619</v>
      </c>
      <c r="K32" s="50">
        <f t="shared" si="3"/>
        <v>0</v>
      </c>
      <c r="N32" s="24"/>
    </row>
    <row r="33" spans="2:14" ht="68">
      <c r="B33" s="208" t="s">
        <v>110</v>
      </c>
      <c r="C33" s="219" t="s">
        <v>62</v>
      </c>
      <c r="D33" s="220">
        <f>100*D13</f>
        <v>37500</v>
      </c>
      <c r="E33" s="213">
        <v>34990.730000000018</v>
      </c>
      <c r="F33" s="221">
        <v>13355.87</v>
      </c>
      <c r="G33" s="222">
        <f t="shared" si="4"/>
        <v>100</v>
      </c>
      <c r="H33" s="222">
        <f t="shared" si="1"/>
        <v>106.67905487804883</v>
      </c>
      <c r="I33" s="222">
        <v>60.708500000000001</v>
      </c>
      <c r="J33" s="223">
        <f t="shared" si="2"/>
        <v>1.0717124221186578</v>
      </c>
      <c r="K33" s="224">
        <f t="shared" si="3"/>
        <v>2.8077541934744796</v>
      </c>
      <c r="L33" s="225"/>
      <c r="M33" s="225"/>
      <c r="N33" s="226"/>
    </row>
    <row r="34" spans="2:14" outlineLevel="1">
      <c r="C34" s="204" t="s">
        <v>30</v>
      </c>
      <c r="D34" s="205">
        <f>SUM(D35:D37)</f>
        <v>13800.887931034482</v>
      </c>
      <c r="E34" s="206">
        <v>10635.609999999999</v>
      </c>
      <c r="F34" s="203">
        <v>5842.8899999999976</v>
      </c>
      <c r="G34" s="198">
        <f t="shared" si="4"/>
        <v>36.802367816091952</v>
      </c>
      <c r="H34" s="198">
        <f t="shared" si="1"/>
        <v>32.425640243902436</v>
      </c>
      <c r="I34" s="198">
        <v>26.558590909090899</v>
      </c>
      <c r="J34" s="199">
        <f t="shared" si="2"/>
        <v>1.297611319993351</v>
      </c>
      <c r="K34" s="200">
        <f t="shared" si="3"/>
        <v>2.3619968767227326</v>
      </c>
      <c r="N34" s="24"/>
    </row>
    <row r="35" spans="2:14" outlineLevel="1">
      <c r="C35" s="188" t="s">
        <v>28</v>
      </c>
      <c r="D35" s="23">
        <v>3000</v>
      </c>
      <c r="E35" s="16">
        <v>3025.9100000000003</v>
      </c>
      <c r="F35" s="27">
        <v>257.45</v>
      </c>
      <c r="G35" s="15">
        <f t="shared" si="4"/>
        <v>8</v>
      </c>
      <c r="H35" s="15">
        <f t="shared" si="1"/>
        <v>9.2253353658536597</v>
      </c>
      <c r="I35" s="15">
        <v>1.1702272727272727</v>
      </c>
      <c r="J35" s="49">
        <f t="shared" si="2"/>
        <v>0.99143728663443387</v>
      </c>
      <c r="K35" s="50">
        <f t="shared" si="3"/>
        <v>11.652748106428433</v>
      </c>
      <c r="N35" s="24"/>
    </row>
    <row r="36" spans="2:14" ht="187" outlineLevel="1">
      <c r="B36" s="208" t="s">
        <v>116</v>
      </c>
      <c r="C36" s="227" t="s">
        <v>27</v>
      </c>
      <c r="D36" s="228">
        <f>(((((D14/2)*1.15)*40)*1622)/H3)+1600</f>
        <v>9800.8879310344819</v>
      </c>
      <c r="E36" s="229">
        <v>6651.9999999999982</v>
      </c>
      <c r="F36" s="230">
        <v>5187.8299999999981</v>
      </c>
      <c r="G36" s="213">
        <f t="shared" si="4"/>
        <v>26.135701149425284</v>
      </c>
      <c r="H36" s="213">
        <f t="shared" si="1"/>
        <v>20.280487804878042</v>
      </c>
      <c r="I36" s="213">
        <v>23.581045454545446</v>
      </c>
      <c r="J36" s="215">
        <f t="shared" si="2"/>
        <v>1.4733746138055448</v>
      </c>
      <c r="K36" s="216">
        <f t="shared" si="3"/>
        <v>1.8892076130163258</v>
      </c>
      <c r="L36" s="217"/>
      <c r="M36" s="217"/>
      <c r="N36" s="218"/>
    </row>
    <row r="37" spans="2:14">
      <c r="C37" s="189" t="s">
        <v>26</v>
      </c>
      <c r="D37" s="37">
        <v>1000</v>
      </c>
      <c r="E37" s="38">
        <v>957.69999999999993</v>
      </c>
      <c r="F37" s="39">
        <v>397.61</v>
      </c>
      <c r="G37" s="41">
        <f t="shared" si="4"/>
        <v>2.6666666666666665</v>
      </c>
      <c r="H37" s="41">
        <f t="shared" si="1"/>
        <v>2.9198170731707314</v>
      </c>
      <c r="I37" s="41">
        <v>1.8073181818181818</v>
      </c>
      <c r="J37" s="53">
        <f t="shared" si="2"/>
        <v>1.0441683199331733</v>
      </c>
      <c r="K37" s="54">
        <f t="shared" si="3"/>
        <v>2.5150272880460753</v>
      </c>
      <c r="L37" s="36"/>
      <c r="M37" s="36"/>
      <c r="N37" s="103"/>
    </row>
    <row r="38" spans="2:14">
      <c r="B38" s="209"/>
      <c r="C38" s="20" t="s">
        <v>25</v>
      </c>
      <c r="D38" s="21">
        <v>0</v>
      </c>
      <c r="E38" s="15">
        <v>0</v>
      </c>
      <c r="F38" s="26">
        <v>5525</v>
      </c>
      <c r="G38" s="15">
        <f t="shared" si="4"/>
        <v>0</v>
      </c>
      <c r="H38" s="15">
        <f t="shared" si="1"/>
        <v>0</v>
      </c>
      <c r="I38" s="15">
        <v>25.113636363636363</v>
      </c>
      <c r="J38" s="49">
        <f t="shared" si="2"/>
        <v>0</v>
      </c>
      <c r="K38" s="50">
        <f t="shared" si="3"/>
        <v>0</v>
      </c>
      <c r="N38" s="24"/>
    </row>
    <row r="39" spans="2:14" ht="51">
      <c r="B39" s="231" t="s">
        <v>115</v>
      </c>
      <c r="C39" s="211" t="s">
        <v>61</v>
      </c>
      <c r="D39" s="212">
        <v>4000</v>
      </c>
      <c r="E39" s="213">
        <v>8898.4300000000057</v>
      </c>
      <c r="F39" s="214">
        <v>1953.6999999999996</v>
      </c>
      <c r="G39" s="213">
        <f t="shared" si="4"/>
        <v>10.666666666666666</v>
      </c>
      <c r="H39" s="213">
        <f t="shared" si="1"/>
        <v>27.129359756097578</v>
      </c>
      <c r="I39" s="213">
        <v>8.880454545454544</v>
      </c>
      <c r="J39" s="215">
        <f t="shared" si="2"/>
        <v>0.44951749915434491</v>
      </c>
      <c r="K39" s="216">
        <f t="shared" si="3"/>
        <v>2.0473972462507044</v>
      </c>
      <c r="L39" s="217"/>
      <c r="M39" s="217"/>
      <c r="N39" s="218"/>
    </row>
    <row r="40" spans="2:14">
      <c r="C40" s="20" t="s">
        <v>24</v>
      </c>
      <c r="D40" s="21">
        <v>2500</v>
      </c>
      <c r="E40" s="15">
        <v>2761.0200000000004</v>
      </c>
      <c r="F40" s="26">
        <v>1138.0999999999999</v>
      </c>
      <c r="G40" s="15">
        <f t="shared" si="4"/>
        <v>6.666666666666667</v>
      </c>
      <c r="H40" s="15">
        <f t="shared" si="1"/>
        <v>8.4177439024390264</v>
      </c>
      <c r="I40" s="15">
        <v>5.1731818181818179</v>
      </c>
      <c r="J40" s="49">
        <f t="shared" si="2"/>
        <v>0.90546247401322688</v>
      </c>
      <c r="K40" s="50">
        <f t="shared" si="3"/>
        <v>2.1966435286881647</v>
      </c>
      <c r="N40" s="24"/>
    </row>
    <row r="41" spans="2:14">
      <c r="C41" s="170" t="s">
        <v>60</v>
      </c>
      <c r="D41" s="40">
        <v>0</v>
      </c>
      <c r="E41" s="41">
        <v>125.24</v>
      </c>
      <c r="F41" s="35">
        <v>0</v>
      </c>
      <c r="G41" s="41">
        <f t="shared" si="4"/>
        <v>0</v>
      </c>
      <c r="H41" s="41">
        <f t="shared" si="1"/>
        <v>0.38182926829268293</v>
      </c>
      <c r="I41" s="41">
        <v>0</v>
      </c>
      <c r="J41" s="53">
        <f t="shared" si="2"/>
        <v>0</v>
      </c>
      <c r="K41" s="54">
        <f t="shared" si="3"/>
        <v>0</v>
      </c>
      <c r="L41" s="36"/>
      <c r="M41" s="36"/>
      <c r="N41" s="103"/>
    </row>
    <row r="42" spans="2:14" outlineLevel="1">
      <c r="C42" s="202" t="s">
        <v>22</v>
      </c>
      <c r="D42" s="201">
        <f>SUM(D43:D45)</f>
        <v>15000</v>
      </c>
      <c r="E42" s="198">
        <v>12674.940000000002</v>
      </c>
      <c r="F42" s="203">
        <v>15817.229999999998</v>
      </c>
      <c r="G42" s="198">
        <f t="shared" si="4"/>
        <v>40</v>
      </c>
      <c r="H42" s="198">
        <f t="shared" si="1"/>
        <v>38.643109756097566</v>
      </c>
      <c r="I42" s="198">
        <v>71.896499999999989</v>
      </c>
      <c r="J42" s="199">
        <f t="shared" si="2"/>
        <v>1.1834375547339866</v>
      </c>
      <c r="K42" s="200">
        <f t="shared" si="3"/>
        <v>0.94833292555017545</v>
      </c>
      <c r="N42" s="24"/>
    </row>
    <row r="43" spans="2:14" outlineLevel="1">
      <c r="B43" s="266" t="s">
        <v>114</v>
      </c>
      <c r="C43" s="188" t="s">
        <v>21</v>
      </c>
      <c r="D43" s="23">
        <v>8000</v>
      </c>
      <c r="E43" s="16">
        <v>7633.7400000000025</v>
      </c>
      <c r="F43" s="27">
        <v>7450.3499999999967</v>
      </c>
      <c r="G43" s="15">
        <f t="shared" si="4"/>
        <v>21.333333333333332</v>
      </c>
      <c r="H43" s="15">
        <f t="shared" si="1"/>
        <v>23.273597560975617</v>
      </c>
      <c r="I43" s="15">
        <v>33.86522727272726</v>
      </c>
      <c r="J43" s="49">
        <f t="shared" si="2"/>
        <v>1.0479791032966799</v>
      </c>
      <c r="K43" s="50">
        <f t="shared" si="3"/>
        <v>1.0737750575476324</v>
      </c>
      <c r="N43" s="24"/>
    </row>
    <row r="44" spans="2:14" outlineLevel="1">
      <c r="B44" s="266"/>
      <c r="C44" s="188" t="s">
        <v>20</v>
      </c>
      <c r="D44" s="23">
        <v>6000</v>
      </c>
      <c r="E44" s="16">
        <v>1430.2599999999998</v>
      </c>
      <c r="F44" s="27">
        <v>2890.32</v>
      </c>
      <c r="G44" s="15">
        <f t="shared" si="4"/>
        <v>16</v>
      </c>
      <c r="H44" s="15">
        <f t="shared" si="1"/>
        <v>4.3605487804878038</v>
      </c>
      <c r="I44" s="15">
        <v>13.137818181818183</v>
      </c>
      <c r="J44" s="49">
        <f t="shared" si="2"/>
        <v>4.1950414609931066</v>
      </c>
      <c r="K44" s="50">
        <f t="shared" si="3"/>
        <v>2.0758947106202772</v>
      </c>
      <c r="N44" s="24"/>
    </row>
    <row r="45" spans="2:14">
      <c r="B45" s="266"/>
      <c r="C45" s="189" t="s">
        <v>19</v>
      </c>
      <c r="D45" s="37">
        <v>1000</v>
      </c>
      <c r="E45" s="38">
        <v>3610.9400000000005</v>
      </c>
      <c r="F45" s="39">
        <v>5476.5600000000013</v>
      </c>
      <c r="G45" s="41">
        <f t="shared" si="4"/>
        <v>2.6666666666666665</v>
      </c>
      <c r="H45" s="41">
        <f t="shared" si="1"/>
        <v>11.008963414634147</v>
      </c>
      <c r="I45" s="41">
        <v>24.893454545454553</v>
      </c>
      <c r="J45" s="53">
        <f t="shared" si="2"/>
        <v>0.27693619943837333</v>
      </c>
      <c r="K45" s="54">
        <f t="shared" si="3"/>
        <v>0.18259637436639053</v>
      </c>
      <c r="L45" s="36"/>
      <c r="M45" s="36"/>
      <c r="N45" s="103"/>
    </row>
    <row r="46" spans="2:14">
      <c r="B46" s="207" t="s">
        <v>112</v>
      </c>
      <c r="C46" s="20" t="s">
        <v>18</v>
      </c>
      <c r="D46" s="21">
        <f>(56800*12)/H3</f>
        <v>470.06896551724139</v>
      </c>
      <c r="E46" s="15">
        <v>707.89</v>
      </c>
      <c r="F46" s="26">
        <v>105</v>
      </c>
      <c r="G46" s="15">
        <f t="shared" si="4"/>
        <v>1.2535172413793103</v>
      </c>
      <c r="H46" s="15">
        <f t="shared" si="1"/>
        <v>2.1582012195121951</v>
      </c>
      <c r="I46" s="15">
        <v>0.47727272727272729</v>
      </c>
      <c r="J46" s="49">
        <f t="shared" si="2"/>
        <v>0.66404238725966092</v>
      </c>
      <c r="K46" s="50">
        <f t="shared" si="3"/>
        <v>4.4768472906403947</v>
      </c>
      <c r="N46" s="24"/>
    </row>
    <row r="47" spans="2:14" ht="34">
      <c r="B47" s="231" t="s">
        <v>111</v>
      </c>
      <c r="C47" s="211" t="s">
        <v>17</v>
      </c>
      <c r="D47" s="212">
        <v>1000</v>
      </c>
      <c r="E47" s="213">
        <v>1250</v>
      </c>
      <c r="F47" s="214">
        <v>1300</v>
      </c>
      <c r="G47" s="213">
        <f t="shared" si="4"/>
        <v>2.6666666666666665</v>
      </c>
      <c r="H47" s="213">
        <f t="shared" si="1"/>
        <v>3.8109756097560976</v>
      </c>
      <c r="I47" s="213">
        <v>5.9090909090909092</v>
      </c>
      <c r="J47" s="215">
        <f t="shared" si="2"/>
        <v>0.8</v>
      </c>
      <c r="K47" s="216">
        <f t="shared" si="3"/>
        <v>0.76923076923076927</v>
      </c>
      <c r="L47" s="217"/>
      <c r="N47" s="24"/>
    </row>
    <row r="48" spans="2:14">
      <c r="C48" s="20" t="s">
        <v>16</v>
      </c>
      <c r="D48" s="21">
        <v>0</v>
      </c>
      <c r="E48" s="15">
        <v>0</v>
      </c>
      <c r="F48" s="26">
        <v>25.45</v>
      </c>
      <c r="G48" s="15">
        <f t="shared" si="4"/>
        <v>0</v>
      </c>
      <c r="H48" s="15">
        <f t="shared" si="1"/>
        <v>0</v>
      </c>
      <c r="I48" s="15">
        <v>0.11568181818181818</v>
      </c>
      <c r="J48" s="49">
        <f t="shared" si="2"/>
        <v>0</v>
      </c>
      <c r="K48" s="50">
        <f t="shared" si="3"/>
        <v>0</v>
      </c>
      <c r="N48" s="24"/>
    </row>
    <row r="49" spans="2:14" ht="51">
      <c r="B49" s="208" t="s">
        <v>142</v>
      </c>
      <c r="C49" s="170" t="s">
        <v>59</v>
      </c>
      <c r="D49" s="40">
        <f>2500+(7*D15)</f>
        <v>3812.5</v>
      </c>
      <c r="E49" s="41">
        <v>2397.0699999999997</v>
      </c>
      <c r="F49" s="35">
        <v>1053.25</v>
      </c>
      <c r="G49" s="41">
        <f t="shared" si="4"/>
        <v>10.166666666666666</v>
      </c>
      <c r="H49" s="41">
        <f t="shared" si="1"/>
        <v>7.3081402439024385</v>
      </c>
      <c r="I49" s="41">
        <v>4.7874999999999996</v>
      </c>
      <c r="J49" s="53">
        <f t="shared" si="2"/>
        <v>1.5904833817952753</v>
      </c>
      <c r="K49" s="54">
        <f t="shared" si="3"/>
        <v>3.619748397816283</v>
      </c>
      <c r="L49" s="36"/>
      <c r="M49" s="36"/>
      <c r="N49" s="103"/>
    </row>
    <row r="50" spans="2:14">
      <c r="E50" s="14"/>
      <c r="F50" s="14"/>
      <c r="G50" s="14"/>
      <c r="H50" s="14"/>
      <c r="I50" s="14"/>
      <c r="J50" s="55"/>
      <c r="K50" s="55"/>
    </row>
    <row r="51" spans="2:14">
      <c r="C51" s="13"/>
      <c r="G51" s="14"/>
      <c r="H51" s="14"/>
      <c r="I51" s="14"/>
      <c r="J51" s="55"/>
      <c r="K51" s="55"/>
    </row>
    <row r="52" spans="2:14">
      <c r="E52" s="14"/>
      <c r="F52" s="14"/>
      <c r="G52" s="14"/>
      <c r="H52" s="14"/>
      <c r="I52" s="14"/>
      <c r="J52" s="55"/>
      <c r="K52" s="55"/>
    </row>
    <row r="53" spans="2:14" ht="18">
      <c r="C53" s="190" t="s">
        <v>55</v>
      </c>
      <c r="D53" s="42">
        <f>SUBTOTAL(9,D54:D68)</f>
        <v>15000</v>
      </c>
      <c r="E53" s="43">
        <f>SUBTOTAL(9,E54:E66)</f>
        <v>85098</v>
      </c>
      <c r="F53" s="44">
        <v>79415.550000000017</v>
      </c>
      <c r="G53" s="46">
        <f t="shared" ref="G53:G67" si="5">D53/D$13</f>
        <v>40</v>
      </c>
      <c r="H53" s="46">
        <f t="shared" ref="H53:H67" si="6">E53/E$13</f>
        <v>259.44512195121951</v>
      </c>
      <c r="I53" s="46">
        <v>360.9797727272728</v>
      </c>
      <c r="J53" s="56">
        <f t="shared" ref="J53:J67" si="7">IF(E53=0,0,D53/E53)</f>
        <v>0.17626736233519003</v>
      </c>
      <c r="K53" s="57">
        <f t="shared" ref="K53:K67" si="8">IF(F53=0,0,D53/F53)</f>
        <v>0.18887988561434124</v>
      </c>
      <c r="L53" s="45"/>
      <c r="M53" s="45"/>
      <c r="N53" s="191"/>
    </row>
    <row r="54" spans="2:14">
      <c r="C54" s="20" t="s">
        <v>2</v>
      </c>
      <c r="D54" s="21">
        <v>0</v>
      </c>
      <c r="E54" s="15">
        <v>0</v>
      </c>
      <c r="F54" s="26">
        <v>0</v>
      </c>
      <c r="G54" s="15">
        <f t="shared" si="5"/>
        <v>0</v>
      </c>
      <c r="H54" s="15">
        <f t="shared" si="6"/>
        <v>0</v>
      </c>
      <c r="I54" s="15">
        <v>0</v>
      </c>
      <c r="J54" s="49">
        <f t="shared" si="7"/>
        <v>0</v>
      </c>
      <c r="K54" s="50">
        <f t="shared" si="8"/>
        <v>0</v>
      </c>
      <c r="N54" s="24"/>
    </row>
    <row r="55" spans="2:14">
      <c r="C55" s="20" t="s">
        <v>13</v>
      </c>
      <c r="D55" s="21">
        <v>0</v>
      </c>
      <c r="E55" s="15">
        <v>0</v>
      </c>
      <c r="F55" s="26">
        <v>0</v>
      </c>
      <c r="G55" s="15">
        <f t="shared" si="5"/>
        <v>0</v>
      </c>
      <c r="H55" s="15">
        <f t="shared" si="6"/>
        <v>0</v>
      </c>
      <c r="I55" s="15">
        <v>0</v>
      </c>
      <c r="J55" s="49">
        <f t="shared" si="7"/>
        <v>0</v>
      </c>
      <c r="K55" s="50">
        <f t="shared" si="8"/>
        <v>0</v>
      </c>
      <c r="N55" s="24"/>
    </row>
    <row r="56" spans="2:14">
      <c r="C56" s="20" t="s">
        <v>12</v>
      </c>
      <c r="D56" s="21">
        <v>0</v>
      </c>
      <c r="E56" s="15">
        <v>0</v>
      </c>
      <c r="F56" s="26">
        <v>0</v>
      </c>
      <c r="G56" s="15">
        <f t="shared" si="5"/>
        <v>0</v>
      </c>
      <c r="H56" s="15">
        <f t="shared" si="6"/>
        <v>0</v>
      </c>
      <c r="I56" s="15">
        <v>0</v>
      </c>
      <c r="J56" s="49">
        <f t="shared" si="7"/>
        <v>0</v>
      </c>
      <c r="K56" s="50">
        <f t="shared" si="8"/>
        <v>0</v>
      </c>
      <c r="N56" s="24"/>
    </row>
    <row r="57" spans="2:14">
      <c r="B57" s="207" t="s">
        <v>140</v>
      </c>
      <c r="C57" s="20" t="s">
        <v>11</v>
      </c>
      <c r="D57" s="21">
        <v>5000</v>
      </c>
      <c r="E57" s="15">
        <v>44637</v>
      </c>
      <c r="F57" s="26">
        <v>37683.470000000008</v>
      </c>
      <c r="G57" s="15">
        <f t="shared" si="5"/>
        <v>13.333333333333334</v>
      </c>
      <c r="H57" s="15">
        <f t="shared" si="6"/>
        <v>136.08841463414635</v>
      </c>
      <c r="I57" s="15">
        <v>171.28850000000003</v>
      </c>
      <c r="J57" s="49">
        <f t="shared" si="7"/>
        <v>0.11201469632815825</v>
      </c>
      <c r="K57" s="50">
        <f t="shared" si="8"/>
        <v>0.13268417160096985</v>
      </c>
      <c r="N57" s="24"/>
    </row>
    <row r="58" spans="2:14">
      <c r="C58" s="20" t="s">
        <v>10</v>
      </c>
      <c r="D58" s="21">
        <v>0</v>
      </c>
      <c r="E58" s="15">
        <v>25642</v>
      </c>
      <c r="F58" s="26">
        <v>3862.97</v>
      </c>
      <c r="G58" s="15">
        <f t="shared" si="5"/>
        <v>0</v>
      </c>
      <c r="H58" s="15">
        <f t="shared" si="6"/>
        <v>78.176829268292678</v>
      </c>
      <c r="I58" s="15">
        <v>17.558954545454544</v>
      </c>
      <c r="J58" s="49">
        <f t="shared" si="7"/>
        <v>0</v>
      </c>
      <c r="K58" s="50">
        <f t="shared" si="8"/>
        <v>0</v>
      </c>
      <c r="N58" s="24"/>
    </row>
    <row r="59" spans="2:14">
      <c r="B59" s="207" t="s">
        <v>141</v>
      </c>
      <c r="C59" s="20" t="s">
        <v>9</v>
      </c>
      <c r="D59" s="21">
        <v>5000</v>
      </c>
      <c r="E59" s="15">
        <v>9257</v>
      </c>
      <c r="F59" s="26">
        <v>14258.36</v>
      </c>
      <c r="G59" s="15">
        <f t="shared" si="5"/>
        <v>13.333333333333334</v>
      </c>
      <c r="H59" s="15">
        <f t="shared" si="6"/>
        <v>28.222560975609756</v>
      </c>
      <c r="I59" s="15">
        <v>64.810727272727277</v>
      </c>
      <c r="J59" s="49">
        <f t="shared" si="7"/>
        <v>0.54013179215728635</v>
      </c>
      <c r="K59" s="50">
        <f t="shared" si="8"/>
        <v>0.35067146572256558</v>
      </c>
      <c r="N59" s="24"/>
    </row>
    <row r="60" spans="2:14">
      <c r="C60" s="20" t="s">
        <v>8</v>
      </c>
      <c r="D60" s="21">
        <v>0</v>
      </c>
      <c r="E60" s="15">
        <v>0</v>
      </c>
      <c r="F60" s="26">
        <v>0</v>
      </c>
      <c r="G60" s="15">
        <f t="shared" si="5"/>
        <v>0</v>
      </c>
      <c r="H60" s="15">
        <f t="shared" si="6"/>
        <v>0</v>
      </c>
      <c r="I60" s="15">
        <v>0</v>
      </c>
      <c r="J60" s="49">
        <f t="shared" si="7"/>
        <v>0</v>
      </c>
      <c r="K60" s="50">
        <f t="shared" si="8"/>
        <v>0</v>
      </c>
      <c r="N60" s="24"/>
    </row>
    <row r="61" spans="2:14">
      <c r="C61" s="20" t="s">
        <v>7</v>
      </c>
      <c r="D61" s="21">
        <v>0</v>
      </c>
      <c r="E61" s="15">
        <v>0</v>
      </c>
      <c r="F61" s="26">
        <v>0</v>
      </c>
      <c r="G61" s="15">
        <f t="shared" si="5"/>
        <v>0</v>
      </c>
      <c r="H61" s="15">
        <f t="shared" si="6"/>
        <v>0</v>
      </c>
      <c r="I61" s="15">
        <v>0</v>
      </c>
      <c r="J61" s="49">
        <f t="shared" si="7"/>
        <v>0</v>
      </c>
      <c r="K61" s="50">
        <f t="shared" si="8"/>
        <v>0</v>
      </c>
      <c r="N61" s="24"/>
    </row>
    <row r="62" spans="2:14">
      <c r="C62" s="20" t="s">
        <v>6</v>
      </c>
      <c r="D62" s="21">
        <v>0</v>
      </c>
      <c r="E62" s="15">
        <v>4957</v>
      </c>
      <c r="F62" s="26">
        <v>1621.04</v>
      </c>
      <c r="G62" s="15">
        <f t="shared" si="5"/>
        <v>0</v>
      </c>
      <c r="H62" s="15">
        <f t="shared" si="6"/>
        <v>15.112804878048781</v>
      </c>
      <c r="I62" s="15">
        <v>7.368363636363636</v>
      </c>
      <c r="J62" s="49">
        <f t="shared" si="7"/>
        <v>0</v>
      </c>
      <c r="K62" s="50">
        <f t="shared" si="8"/>
        <v>0</v>
      </c>
      <c r="N62" s="24"/>
    </row>
    <row r="63" spans="2:14">
      <c r="C63" s="20" t="s">
        <v>92</v>
      </c>
      <c r="D63" s="21">
        <v>0</v>
      </c>
      <c r="E63" s="15">
        <v>0</v>
      </c>
      <c r="F63" s="26">
        <v>21191.4</v>
      </c>
      <c r="G63" s="15">
        <f t="shared" si="5"/>
        <v>0</v>
      </c>
      <c r="H63" s="15">
        <f t="shared" si="6"/>
        <v>0</v>
      </c>
      <c r="I63" s="15">
        <v>96.324545454545458</v>
      </c>
      <c r="J63" s="49">
        <f t="shared" si="7"/>
        <v>0</v>
      </c>
      <c r="K63" s="50">
        <f t="shared" si="8"/>
        <v>0</v>
      </c>
      <c r="N63" s="24"/>
    </row>
    <row r="64" spans="2:14">
      <c r="C64" s="20" t="s">
        <v>4</v>
      </c>
      <c r="D64" s="21">
        <v>0</v>
      </c>
      <c r="E64" s="15">
        <v>605</v>
      </c>
      <c r="F64" s="26">
        <v>798.31000000000006</v>
      </c>
      <c r="G64" s="15">
        <f t="shared" si="5"/>
        <v>0</v>
      </c>
      <c r="H64" s="15">
        <f t="shared" si="6"/>
        <v>1.8445121951219512</v>
      </c>
      <c r="I64" s="15">
        <v>3.6286818181818186</v>
      </c>
      <c r="J64" s="49">
        <f t="shared" si="7"/>
        <v>0</v>
      </c>
      <c r="K64" s="50">
        <f t="shared" si="8"/>
        <v>0</v>
      </c>
      <c r="N64" s="24"/>
    </row>
    <row r="65" spans="3:14">
      <c r="C65" s="20" t="s">
        <v>3</v>
      </c>
      <c r="D65" s="21">
        <v>0</v>
      </c>
      <c r="E65" s="15">
        <v>0</v>
      </c>
      <c r="F65" s="26">
        <v>0</v>
      </c>
      <c r="G65" s="15">
        <f t="shared" si="5"/>
        <v>0</v>
      </c>
      <c r="H65" s="15">
        <f t="shared" si="6"/>
        <v>0</v>
      </c>
      <c r="I65" s="15">
        <v>0</v>
      </c>
      <c r="J65" s="49">
        <f t="shared" si="7"/>
        <v>0</v>
      </c>
      <c r="K65" s="50">
        <f t="shared" si="8"/>
        <v>0</v>
      </c>
      <c r="N65" s="24"/>
    </row>
    <row r="66" spans="3:14">
      <c r="C66" s="20" t="s">
        <v>2</v>
      </c>
      <c r="D66" s="21">
        <v>0</v>
      </c>
      <c r="E66" s="15">
        <v>0</v>
      </c>
      <c r="F66" s="26">
        <v>0</v>
      </c>
      <c r="G66" s="15">
        <f t="shared" si="5"/>
        <v>0</v>
      </c>
      <c r="H66" s="15">
        <f t="shared" si="6"/>
        <v>0</v>
      </c>
      <c r="I66" s="15">
        <v>0</v>
      </c>
      <c r="J66" s="49">
        <f t="shared" si="7"/>
        <v>0</v>
      </c>
      <c r="K66" s="50">
        <f t="shared" si="8"/>
        <v>0</v>
      </c>
      <c r="N66" s="24"/>
    </row>
    <row r="67" spans="3:14">
      <c r="C67" s="170" t="s">
        <v>59</v>
      </c>
      <c r="D67" s="40">
        <v>5000</v>
      </c>
      <c r="E67" s="41">
        <v>0</v>
      </c>
      <c r="F67" s="35">
        <v>0</v>
      </c>
      <c r="G67" s="41">
        <f t="shared" si="5"/>
        <v>13.333333333333334</v>
      </c>
      <c r="H67" s="41">
        <f t="shared" si="6"/>
        <v>0</v>
      </c>
      <c r="I67" s="41">
        <v>0</v>
      </c>
      <c r="J67" s="53">
        <f t="shared" si="7"/>
        <v>0</v>
      </c>
      <c r="K67" s="54">
        <f t="shared" si="8"/>
        <v>0</v>
      </c>
      <c r="L67" s="36"/>
      <c r="M67" s="36"/>
      <c r="N67" s="103"/>
    </row>
    <row r="68" spans="3:14">
      <c r="F68" s="14"/>
      <c r="G68" s="14"/>
      <c r="J68" s="171"/>
      <c r="K68" s="171"/>
    </row>
  </sheetData>
  <mergeCells count="8">
    <mergeCell ref="B43:B45"/>
    <mergeCell ref="D5:N5"/>
    <mergeCell ref="D6:N6"/>
    <mergeCell ref="D7:N7"/>
    <mergeCell ref="D10:F10"/>
    <mergeCell ref="G10:I10"/>
    <mergeCell ref="L10:N10"/>
    <mergeCell ref="J10:K10"/>
  </mergeCells>
  <conditionalFormatting sqref="F8">
    <cfRule type="cellIs" dxfId="0" priority="1" operator="notEqual">
      <formula>$E$26</formula>
    </cfRule>
  </conditionalFormatting>
  <pageMargins left="0.7" right="0.7" top="0.75" bottom="0.75" header="0.3" footer="0.3"/>
  <ignoredErrors>
    <ignoredError sqref="E53 D42" formulaRange="1"/>
    <ignoredError sqref="G53:G67 H20:H24 G21:G24 H27:H49 G27:G49" evalError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AD42B-EA20-7346-AEBD-E33AAC449A4A}">
  <dimension ref="A1:H29"/>
  <sheetViews>
    <sheetView workbookViewId="0">
      <selection activeCell="C2" sqref="C2"/>
    </sheetView>
  </sheetViews>
  <sheetFormatPr baseColWidth="10" defaultRowHeight="16"/>
  <cols>
    <col min="1" max="1" width="28.7109375" bestFit="1" customWidth="1"/>
    <col min="2" max="2" width="12.5703125" customWidth="1"/>
    <col min="3" max="3" width="12.140625" customWidth="1"/>
    <col min="4" max="4" width="11.42578125" bestFit="1" customWidth="1"/>
    <col min="5" max="5" width="11.42578125" customWidth="1"/>
    <col min="8" max="8" width="11.42578125" bestFit="1" customWidth="1"/>
  </cols>
  <sheetData>
    <row r="1" spans="1:8">
      <c r="B1" t="s">
        <v>113</v>
      </c>
      <c r="C1">
        <f>'Budget Del 25-26'!H3</f>
        <v>1450</v>
      </c>
    </row>
    <row r="3" spans="1:8" ht="86" thickBot="1">
      <c r="A3" s="248" t="s">
        <v>117</v>
      </c>
      <c r="B3" s="231" t="s">
        <v>126</v>
      </c>
      <c r="C3" s="232" t="s">
        <v>127</v>
      </c>
      <c r="D3" s="231" t="s">
        <v>128</v>
      </c>
      <c r="E3" s="231" t="s">
        <v>129</v>
      </c>
      <c r="F3" s="231" t="s">
        <v>137</v>
      </c>
      <c r="G3" s="231" t="s">
        <v>130</v>
      </c>
      <c r="H3" s="217" t="s">
        <v>138</v>
      </c>
    </row>
    <row r="4" spans="1:8">
      <c r="A4" s="173" t="s">
        <v>118</v>
      </c>
      <c r="B4" s="233">
        <v>75</v>
      </c>
      <c r="C4" s="233">
        <v>2000</v>
      </c>
      <c r="D4" s="233">
        <v>80</v>
      </c>
      <c r="E4" s="233">
        <f>(B4*D4)+(C4*3)</f>
        <v>12000</v>
      </c>
      <c r="F4" s="253">
        <f t="shared" ref="F4" si="0">550000/$C$1</f>
        <v>379.31034482758622</v>
      </c>
      <c r="G4" s="254">
        <f t="shared" ref="G4" si="1">F4*0.25*12</f>
        <v>1137.9310344827586</v>
      </c>
      <c r="H4" s="255">
        <f>G4+E4</f>
        <v>13137.931034482759</v>
      </c>
    </row>
    <row r="5" spans="1:8" ht="17" thickBot="1">
      <c r="A5" s="234" t="s">
        <v>134</v>
      </c>
      <c r="B5" s="235">
        <v>30</v>
      </c>
      <c r="C5" s="235"/>
      <c r="D5" s="235">
        <v>150</v>
      </c>
      <c r="E5" s="235">
        <f>D5*B5</f>
        <v>4500</v>
      </c>
      <c r="F5" s="235"/>
      <c r="G5" s="235"/>
      <c r="H5" s="246">
        <f>E5+G5</f>
        <v>4500</v>
      </c>
    </row>
    <row r="6" spans="1:8" ht="17" thickBot="1">
      <c r="H6" s="247">
        <f>SUM(H4:H5)</f>
        <v>17637.931034482761</v>
      </c>
    </row>
    <row r="8" spans="1:8" ht="17" thickBot="1"/>
    <row r="9" spans="1:8" ht="86" thickBot="1">
      <c r="A9" s="236" t="s">
        <v>32</v>
      </c>
      <c r="B9" s="261" t="s">
        <v>126</v>
      </c>
      <c r="C9" s="262" t="s">
        <v>127</v>
      </c>
      <c r="D9" s="261" t="s">
        <v>128</v>
      </c>
      <c r="E9" s="261" t="s">
        <v>129</v>
      </c>
      <c r="F9" s="261" t="s">
        <v>137</v>
      </c>
      <c r="G9" s="261" t="s">
        <v>130</v>
      </c>
      <c r="H9" s="263" t="s">
        <v>138</v>
      </c>
    </row>
    <row r="10" spans="1:8">
      <c r="A10" s="173" t="s">
        <v>119</v>
      </c>
      <c r="B10" s="233">
        <v>65</v>
      </c>
      <c r="C10" s="233">
        <v>1500</v>
      </c>
      <c r="D10" s="233">
        <v>80</v>
      </c>
      <c r="E10" s="252">
        <f>(B10*D10)+(C10*3)</f>
        <v>9700</v>
      </c>
      <c r="F10" s="253">
        <f>550000/$C$1</f>
        <v>379.31034482758622</v>
      </c>
      <c r="G10" s="254">
        <f>F10*0.25*12</f>
        <v>1137.9310344827586</v>
      </c>
      <c r="H10" s="255">
        <f>G10+E10</f>
        <v>10837.931034482759</v>
      </c>
    </row>
    <row r="11" spans="1:8">
      <c r="A11" s="178" t="s">
        <v>120</v>
      </c>
      <c r="C11">
        <v>600</v>
      </c>
      <c r="E11" s="242">
        <f>C11*12</f>
        <v>7200</v>
      </c>
      <c r="F11" s="249">
        <f t="shared" ref="F11:F13" si="2">550000/$C$1</f>
        <v>379.31034482758622</v>
      </c>
      <c r="G11" s="250">
        <f t="shared" ref="G11:G13" si="3">F11*0.25*12</f>
        <v>1137.9310344827586</v>
      </c>
      <c r="H11" s="256">
        <f t="shared" ref="H11:H13" si="4">G11+E11</f>
        <v>8337.9310344827591</v>
      </c>
    </row>
    <row r="12" spans="1:8">
      <c r="A12" s="178" t="s">
        <v>121</v>
      </c>
      <c r="B12">
        <v>65</v>
      </c>
      <c r="C12">
        <v>1500</v>
      </c>
      <c r="D12">
        <v>80</v>
      </c>
      <c r="E12" s="251">
        <f>(B12*D12)+(C12*3)</f>
        <v>9700</v>
      </c>
      <c r="F12" s="249">
        <f t="shared" si="2"/>
        <v>379.31034482758622</v>
      </c>
      <c r="G12" s="250">
        <f t="shared" si="3"/>
        <v>1137.9310344827586</v>
      </c>
      <c r="H12" s="256">
        <f t="shared" si="4"/>
        <v>10837.931034482759</v>
      </c>
    </row>
    <row r="13" spans="1:8" ht="17" thickBot="1">
      <c r="A13" s="234" t="s">
        <v>133</v>
      </c>
      <c r="B13" s="235">
        <v>50</v>
      </c>
      <c r="C13" s="235"/>
      <c r="D13" s="235">
        <v>60</v>
      </c>
      <c r="E13" s="243">
        <f>D13*B13</f>
        <v>3000</v>
      </c>
      <c r="F13" s="257">
        <f t="shared" si="2"/>
        <v>379.31034482758622</v>
      </c>
      <c r="G13" s="258">
        <f t="shared" si="3"/>
        <v>1137.9310344827586</v>
      </c>
      <c r="H13" s="259">
        <f t="shared" si="4"/>
        <v>4137.9310344827591</v>
      </c>
    </row>
    <row r="14" spans="1:8" ht="17" thickBot="1">
      <c r="E14" s="242"/>
      <c r="H14" s="260">
        <f>SUM(H10:H13)</f>
        <v>34151.724137931036</v>
      </c>
    </row>
    <row r="17" spans="1:4" ht="17" thickBot="1"/>
    <row r="18" spans="1:4" ht="52" thickBot="1">
      <c r="A18" s="237" t="s">
        <v>122</v>
      </c>
      <c r="B18" s="238" t="s">
        <v>131</v>
      </c>
      <c r="C18" s="239" t="s">
        <v>132</v>
      </c>
      <c r="D18" s="240" t="s">
        <v>136</v>
      </c>
    </row>
    <row r="19" spans="1:4">
      <c r="A19" s="173" t="s">
        <v>123</v>
      </c>
      <c r="B19" s="241">
        <v>200</v>
      </c>
      <c r="C19" s="233">
        <v>100</v>
      </c>
      <c r="D19" s="244">
        <f>C19*B19</f>
        <v>20000</v>
      </c>
    </row>
    <row r="20" spans="1:4">
      <c r="A20" s="178" t="s">
        <v>124</v>
      </c>
      <c r="B20" s="242">
        <v>280</v>
      </c>
      <c r="C20">
        <v>70</v>
      </c>
      <c r="D20" s="245">
        <f>C20*B20</f>
        <v>19600</v>
      </c>
    </row>
    <row r="21" spans="1:4">
      <c r="A21" s="178" t="s">
        <v>125</v>
      </c>
      <c r="B21" s="242">
        <v>200</v>
      </c>
      <c r="C21">
        <v>35</v>
      </c>
      <c r="D21" s="245">
        <f>C21*B21</f>
        <v>7000</v>
      </c>
    </row>
    <row r="22" spans="1:4" ht="17" thickBot="1">
      <c r="A22" s="234" t="s">
        <v>135</v>
      </c>
      <c r="B22" s="243">
        <v>50</v>
      </c>
      <c r="C22" s="235">
        <v>20</v>
      </c>
      <c r="D22" s="246">
        <f>C22*B22</f>
        <v>1000</v>
      </c>
    </row>
    <row r="23" spans="1:4" ht="17" thickBot="1">
      <c r="D23" s="247">
        <f>SUM(D19:D22)</f>
        <v>47600</v>
      </c>
    </row>
    <row r="25" spans="1:4">
      <c r="A25" t="s">
        <v>31</v>
      </c>
    </row>
    <row r="26" spans="1:4">
      <c r="A26" t="s">
        <v>117</v>
      </c>
      <c r="B26" s="250">
        <f>F10*0.3*12</f>
        <v>1365.5172413793102</v>
      </c>
    </row>
    <row r="27" spans="1:4">
      <c r="A27" t="s">
        <v>32</v>
      </c>
      <c r="B27" s="250">
        <f>SUM(F10:F13)*0.3*12</f>
        <v>5462.0689655172409</v>
      </c>
    </row>
    <row r="28" spans="1:4" ht="17" thickBot="1">
      <c r="A28" t="s">
        <v>122</v>
      </c>
      <c r="B28">
        <v>0</v>
      </c>
    </row>
    <row r="29" spans="1:4" ht="17" thickBot="1">
      <c r="A29" s="264" t="s">
        <v>139</v>
      </c>
      <c r="B29" s="265">
        <f>SUM(B26:B28)</f>
        <v>6827.5862068965507</v>
      </c>
    </row>
  </sheetData>
  <pageMargins left="0.7" right="0.7" top="0.75" bottom="0.75" header="0.3" footer="0.3"/>
  <ignoredErrors>
    <ignoredError sqref="E1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Real 2024</vt:lpstr>
      <vt:lpstr>Budget Del 25-26</vt:lpstr>
      <vt:lpstr>Sueldos</vt:lpstr>
      <vt:lpstr>'Real 2024'!Área_de_impresión</vt:lpstr>
      <vt:lpstr>DeltaLodgeTabla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Braun</dc:creator>
  <cp:lastModifiedBy>Marina Soledad García</cp:lastModifiedBy>
  <dcterms:created xsi:type="dcterms:W3CDTF">2023-08-07T13:20:10Z</dcterms:created>
  <dcterms:modified xsi:type="dcterms:W3CDTF">2025-12-09T03:33:24Z</dcterms:modified>
</cp:coreProperties>
</file>